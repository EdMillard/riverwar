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comments8.xml" ContentType="application/vnd.openxmlformats-officedocument.spreadsheetml.comments+xml"/>
  <Override PartName="/xl/comments7.xml" ContentType="application/vnd.openxmlformats-officedocument.spreadsheetml.comments+xml"/>
  <Override PartName="/xl/drawings/vmlDrawing8.vml" ContentType="application/vnd.openxmlformats-officedocument.vmlDrawing"/>
  <Override PartName="/xl/drawings/vmlDrawing12.vml" ContentType="application/vnd.openxmlformats-officedocument.vmlDrawing"/>
  <Override PartName="/xl/drawings/vmlDrawing7.vml" ContentType="application/vnd.openxmlformats-officedocument.vmlDrawing"/>
  <Override PartName="/xl/drawings/vmlDrawing11.vml" ContentType="application/vnd.openxmlformats-officedocument.vmlDrawing"/>
  <Override PartName="/xl/drawings/vmlDrawing6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vmlDrawing9.vml" ContentType="application/vnd.openxmlformats-officedocument.vmlDrawing"/>
  <Override PartName="/xl/drawings/vmlDrawing5.vml" ContentType="application/vnd.openxmlformats-officedocument.vmlDrawing"/>
  <Override PartName="/xl/drawings/vmlDrawing10.vml" ContentType="application/vnd.openxmlformats-officedocument.vmlDrawing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vmlDrawing4.vml" ContentType="application/vnd.openxmlformats-officedocument.vmlDrawing"/>
  <Override PartName="/xl/comments2.xml" ContentType="application/vnd.openxmlformats-officedocument.spreadsheetml.comments+xml"/>
  <Override PartName="/xl/comments12.xml" ContentType="application/vnd.openxmlformats-officedocument.spreadsheetml.comments+xml"/>
  <Override PartName="/xl/comments11.xml" ContentType="application/vnd.openxmlformats-officedocument.spreadsheetml.comment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9.xml" ContentType="application/vnd.openxmlformats-officedocument.spreadsheetml.comment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12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11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NOV" sheetId="1" state="visible" r:id="rId2"/>
    <sheet name="DEC" sheetId="2" state="visible" r:id="rId3"/>
    <sheet name="JAN" sheetId="3" state="visible" r:id="rId4"/>
    <sheet name="FEB" sheetId="4" state="visible" r:id="rId5"/>
    <sheet name="MAR" sheetId="5" state="visible" r:id="rId6"/>
    <sheet name="APR" sheetId="6" state="visible" r:id="rId7"/>
    <sheet name="MAY" sheetId="7" state="visible" r:id="rId8"/>
    <sheet name="JUN" sheetId="8" state="visible" r:id="rId9"/>
    <sheet name="JUL" sheetId="9" state="visible" r:id="rId10"/>
    <sheet name="AUG" sheetId="10" state="visible" r:id="rId11"/>
    <sheet name="SEP" sheetId="11" state="visible" r:id="rId12"/>
    <sheet name="OCT" sheetId="12" state="visible" r:id="rId13"/>
  </sheets>
  <definedNames>
    <definedName function="false" hidden="false" localSheetId="5" name="_xlnm.Print_Area" vbProcedure="false">APR!$A$1:$AZ$56</definedName>
    <definedName function="false" hidden="false" localSheetId="9" name="_xlnm.Print_Area" vbProcedure="false">AUG!$A$1:$AZ$60</definedName>
    <definedName function="false" hidden="false" localSheetId="1" name="_xlnm.Print_Area" vbProcedure="false">DEC!$A$1:$AZ$60</definedName>
    <definedName function="false" hidden="false" localSheetId="3" name="_xlnm.Print_Area" vbProcedure="false">FEB!$A$1:$AZ$61</definedName>
    <definedName function="false" hidden="false" localSheetId="2" name="_xlnm.Print_Area" vbProcedure="false">JAN!$A$1:$AZ$60</definedName>
    <definedName function="false" hidden="false" localSheetId="8" name="_xlnm.Print_Area" vbProcedure="false">JUL!$A$1:$AZ$59</definedName>
    <definedName function="false" hidden="false" localSheetId="7" name="_xlnm.Print_Area" vbProcedure="false">JUN!$A$1:$AZ$56</definedName>
    <definedName function="false" hidden="false" localSheetId="4" name="_xlnm.Print_Area" vbProcedure="false">MAR!$A$1:$AZ$60</definedName>
    <definedName function="false" hidden="false" localSheetId="6" name="_xlnm.Print_Area" vbProcedure="false">MAY!$A$1:$AZ$60</definedName>
    <definedName function="false" hidden="false" localSheetId="11" name="_xlnm.Print_Area" vbProcedure="false">OCT!$A$1:$BA$60</definedName>
    <definedName function="false" hidden="false" localSheetId="10" name="_xlnm.Print_Area" vbProcedure="false">SEP!$A$1:$AZ$60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R9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Cortez Non-project water is limited to 4.2 cfs/day.</t>
        </r>
      </text>
    </comment>
    <comment ref="T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The formula is =(daily use from the Towaoc file*1.06)*1.04</t>
        </r>
      </text>
    </comment>
    <comment ref="V21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8.7 cfs of this was stock water</t>
        </r>
      </text>
    </comment>
    <comment ref="V22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13 cfs of this was stock water</t>
        </r>
      </text>
    </comment>
    <comment ref="V23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13 cfs of this was stock water</t>
        </r>
      </text>
    </comment>
    <comment ref="V24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13 cfs of this water stock water</t>
        </r>
      </text>
    </comment>
    <comment ref="V25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6.5 cfs of this was stock water</t>
        </r>
      </text>
    </comment>
    <comment ref="AC15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We're storing the Totten Exchange water when there is still water available to MVIC and these numbers come from the MVIC"S Water (Oct16th-March 31th) worksheet.</t>
        </r>
      </text>
    </comment>
    <comment ref="AI5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This column runs from April 1st to March 31th as according to contract.</t>
        </r>
      </text>
    </comment>
    <comment ref="AO21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MVIC started their stock water run</t>
        </r>
      </text>
    </comment>
    <comment ref="AO26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MVIC finished their stock water run.</t>
        </r>
      </text>
    </comment>
    <comment ref="AU15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This water was in Towaoc Canal Reaches 1 &amp; 2, not diverted from the Reservior this water year.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R9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Cortez Non-project water is limited to 4.2 cfs/day.</t>
        </r>
      </text>
    </comment>
    <comment ref="T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The formula is =(daily use from the Towaoc file*1.06)*1.04</t>
        </r>
      </text>
    </comment>
    <comment ref="AI5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This column runs from April 1st to March 31th as according to contract.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R9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Cortez Non-project water is limited to 4.2 cfs/day.</t>
        </r>
      </text>
    </comment>
    <comment ref="T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The formula is =(daily use from the Towaoc file*1.06)*1.04</t>
        </r>
      </text>
    </comment>
    <comment ref="AI5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This column runs from April 1st to March 31th as according to contract.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R9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Cortez Non-project water is limited to 4.2 cfs/day.</t>
        </r>
      </text>
    </comment>
    <comment ref="T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The formula is =(daily use from the Towaoc file*1.06)*1.04</t>
        </r>
      </text>
    </comment>
    <comment ref="V2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Had to turn the Lone Pine off as the 5 x 5 gate isn't operating right-need to check out.</t>
        </r>
      </text>
    </comment>
    <comment ref="V37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Lone Pine Gate back in service.</t>
        </r>
      </text>
    </comment>
    <comment ref="V43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MVIC-Brad Reed called and asked for the Lone Pine to shut off @ 5:00 PM-they have some work to be done above Narr.</t>
        </r>
      </text>
    </comment>
    <comment ref="AI5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This column runs from April 1st to March 31th as according to contract.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O40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Only one flowmeter working</t>
        </r>
      </text>
    </comment>
    <comment ref="R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If the formula =((daily reading)*1.04)-Col T # gives you more than 4.20, you need to enter the following formula in the Cortez Project column. =(((daily reading)*1.04)-col T #)-4.20. Then just enter 4.20 in this column.</t>
        </r>
      </text>
    </comment>
    <comment ref="R9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Cortez Non-project water is limited to 4.20 cfs/day.</t>
        </r>
      </text>
    </comment>
    <comment ref="T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The formula is =(daily use from the Towaoc file*1.06)*1.04</t>
        </r>
      </text>
    </comment>
    <comment ref="V42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MVIC shut off Narr. for the weekend</t>
        </r>
      </text>
    </comment>
    <comment ref="AC33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Totten Exchange is done.</t>
        </r>
      </text>
    </comment>
    <comment ref="AI5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This column runs from April 1st to March 31th as according to contract.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N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Of the 800 Ac. Ft. of Fish &amp; Wildlife water 400 Ac. Ft.goes into the Wetlands &amp; 400 Ac. ft. goes into Totten.</t>
        </r>
      </text>
    </comment>
    <comment ref="O16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Got both flowmeters working around noon</t>
        </r>
      </text>
    </comment>
    <comment ref="R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If the formula =((daily reading)*1.04)-Col T # gives you more than 4.20, you need to enter the following formula in the Cortez Project column. =(((daily reading)*1.04)-col T #)-4.20. Then just enter 4.20 in this column.</t>
        </r>
      </text>
    </comment>
    <comment ref="R9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Cortez Non-project water is limited to 4.20 cfs/day.</t>
        </r>
      </text>
    </comment>
    <comment ref="T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The formula is =(daily use from the Towaoc file*1.06)*1.04</t>
        </r>
      </text>
    </comment>
    <comment ref="V16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MVIC started topping off Narr. so this is over and above their 72000.</t>
        </r>
      </text>
    </comment>
    <comment ref="V1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MVIC said Narr. Res. Full</t>
        </r>
      </text>
    </comment>
    <comment ref="Y30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Began Stock Run</t>
        </r>
      </text>
    </comment>
    <comment ref="Y49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Includes 121.1 cfs of water to fill Narr. Res.</t>
        </r>
      </text>
    </comment>
    <comment ref="AB16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The filling of Narr. isn't part of this water.</t>
        </r>
      </text>
    </comment>
    <comment ref="AI5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This column runs from April 1st to March 31th as according to contract.</t>
        </r>
      </text>
    </comment>
    <comment ref="AI15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Only charging 50 cfs against fish pool the extra is spill water.</t>
        </r>
      </text>
    </comment>
    <comment ref="AN1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Narr is full according to MVIC.</t>
        </r>
      </text>
    </comment>
    <comment ref="AO30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13.97 is East Lat. &amp; 8.26 is West Lat. Flows</t>
        </r>
      </text>
    </comment>
    <comment ref="AO31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East Lat-14 cfs &amp; West Lat-13.2 cfs</t>
        </r>
      </text>
    </comment>
    <comment ref="AO32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East Lat-17.6 cfs &amp; West Lat-18.5 cfs</t>
        </r>
      </text>
    </comment>
    <comment ref="AO33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East Lat-19 cfs &amp; West Lat-20 cfs</t>
        </r>
      </text>
    </comment>
    <comment ref="AO34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East Lat-19 cfs &amp; West Lat-20 cfs</t>
        </r>
      </text>
    </comment>
    <comment ref="AO35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East Lat-19.4 cfs &amp; West Lat-20 cfs</t>
        </r>
      </text>
    </comment>
    <comment ref="AO36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East Lat-20 cfs &amp; West Lat-20 cfs</t>
        </r>
      </text>
    </comment>
    <comment ref="AO37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Don M. from MVIC decided to call 7.0 cfs per day stock water until it is gone (3000 Ac. Ft)</t>
        </r>
      </text>
    </comment>
    <comment ref="AT7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Of the 800 Ac. Ft. of Fish &amp; Wildlife water 400 Ac. Ft. goes into Totten.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H45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Approved USGS numbers to here.</t>
        </r>
      </text>
    </comment>
    <comment ref="P36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Began running the 14.5 Ac. Ft. for Questar</t>
        </r>
      </text>
    </comment>
    <comment ref="P37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This completes Questar Water for the year.</t>
        </r>
      </text>
    </comment>
    <comment ref="R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If the formula =((daily reading)*1.04)-Col T # gives you more than 4.20, you need to enter the following formula in the Cortez Project column. =(((daily reading)*1.04)-col T #)-4.20. Then just enter 4.20 in this column.</t>
        </r>
      </text>
    </comment>
    <comment ref="R9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Cortez Non-project water is limited to 4.20 cfs/day.</t>
        </r>
      </text>
    </comment>
    <comment ref="T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The formula is =(daily use from the Towaoc file*1.06)*1.04</t>
        </r>
      </text>
    </comment>
    <comment ref="Y50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Includes 121.1 cfs of water to fill Narr. Res.</t>
        </r>
      </text>
    </comment>
    <comment ref="Z37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Began using Call water</t>
        </r>
      </text>
    </comment>
    <comment ref="AB37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Reached the 72,000 for Apr-June, so started using Call Water.</t>
        </r>
      </text>
    </comment>
    <comment ref="AI39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Charge only 50 cfs against fish pool as we had a gate problem for a while.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R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If the formula =(daily reading*1.04)-Col T # gives you more than 4.20, you need to enter the following formula in the Cortez Project column. =((daily reading*1.04)-col T #)-4.20. Then just enter 4.20 in this column.</t>
        </r>
      </text>
    </comment>
    <comment ref="R9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Cortez Non-project water is limited to 4.20 cfs/day.</t>
        </r>
      </text>
    </comment>
    <comment ref="T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The formula is =(daily use from the Towaoc file*1.06)*1.04</t>
        </r>
      </text>
    </comment>
    <comment ref="Y49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Includes 121.1 cfs of water to fill Narr. Res.</t>
        </r>
      </text>
    </comment>
    <comment ref="AH26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Doing mechanic work on plant</t>
        </r>
      </text>
    </comment>
    <comment ref="AH27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Doing mechanic work on the plant</t>
        </r>
      </text>
    </comment>
    <comment ref="AT56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201.85 Ac. ft. of Fish &amp; Wildlife water left as of 7/1/11
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25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MVIC increase Groundhog release to 50 cfs</t>
        </r>
      </text>
    </comment>
    <comment ref="G37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MVIC Has increased the release from Groundhog to 82 cfs.</t>
        </r>
      </text>
    </comment>
    <comment ref="R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If the formula =((daily reading)*1.04)-Col T # gives you more than 4.20, you need to enter the following formula in the Cortez Project column. =(((daily reading)*1.04)-col T #)-4.20. Then just enter 4.20 in this column.</t>
        </r>
      </text>
    </comment>
    <comment ref="R9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Cortez Non-project water is limited to 4.20 cfs/day.</t>
        </r>
      </text>
    </comment>
    <comment ref="T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The formula is =(daily use from the Towaoc file*1.06)*1.04</t>
        </r>
      </text>
    </comment>
    <comment ref="AC41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All Call water gone. MVIC Pulling from Totten and U/S exchange. Over and above the river flow.</t>
        </r>
      </text>
    </comment>
    <comment ref="AD11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This is the amount of Project Water calculated on Oct 4 th, Using the calculation work sheet.</t>
        </r>
      </text>
    </comment>
    <comment ref="AP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After June 30th Mivic can not store water in Narr. by contact, so this column only shows what the river produced in relationship to what Mvic used.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23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MVIC cut Ground Hog back to 50 cfs. 2pm
</t>
        </r>
      </text>
    </comment>
    <comment ref="G35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MVIC cut the discharge out of Groundhog at 2:30 PM to 27 cfs.</t>
        </r>
      </text>
    </comment>
    <comment ref="N37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Vern Harrell had MVIC Start running water into Denny Lake @0.312 cfs /day.</t>
        </r>
      </text>
    </comment>
    <comment ref="O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Ute Farm &amp; Ranch allocation.</t>
        </r>
      </text>
    </comment>
    <comment ref="O9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With the 3000 AF leased water.</t>
        </r>
      </text>
    </comment>
    <comment ref="O34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Farm &amp; Ranch Reached their allocation and started using leased water.</t>
        </r>
      </text>
    </comment>
    <comment ref="R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If the formula =((daily reading)*1.04)-Col T # gives you more than 4.20, you need to enter the following formula in the Cortez Project column. =(((daily reading)*1.04)-col T #)-4.20. Then just enter 4.20 in this column.</t>
        </r>
      </text>
    </comment>
    <comment ref="R9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Cortez Non-project water is limited to 4.20 cfs/day.</t>
        </r>
      </text>
    </comment>
    <comment ref="T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The formula is =(daily use from the Towaoc file*1.06)*1.04</t>
        </r>
      </text>
    </comment>
    <comment ref="AD19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Totten Exchange &amp; U/s Exchange went to zero, but still getting u/s exchange water each day.</t>
        </r>
      </text>
    </comment>
    <comment ref="AP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After June 30th Mivic can not store water in Narr. by contact, so this column only shows what the river produced in relationship to what Mvic used.</t>
        </r>
      </text>
    </comment>
    <comment ref="AU34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Farm &amp; Ranch started using the leased water.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1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MVIC raised Groundhog releaes back to 50 cfs+/-</t>
        </r>
      </text>
    </comment>
    <comment ref="G24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MVIC raised releases from Groundhog to 72 cfs. Around noon.</t>
        </r>
      </text>
    </comment>
    <comment ref="N24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Vern Harrell is letting the city of Cortez have some of the Fish &amp; Wildlife water thru an MVIC headgate.</t>
        </r>
      </text>
    </comment>
    <comment ref="O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Ute Farm &amp; Ranch allocation.</t>
        </r>
      </text>
    </comment>
    <comment ref="O9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With the 3000 AF leased water.Also an extra 1000 AF as per e-mail on 9/24/12</t>
        </r>
      </text>
    </comment>
    <comment ref="R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If the formula =((daily reading)*1.04)-Col T # gives you more than 4.20, you need to enter the following formula in the Cortez Project column. =(((daily reading)*1.04)-col T #)-4.20. Then just enter 4.20 in this column.</t>
        </r>
      </text>
    </comment>
    <comment ref="R9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Cortez Non-project water is limited to 4.20 cfs/day.</t>
        </r>
      </text>
    </comment>
    <comment ref="T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The formula is =(daily use from the Towaoc file*1.06)*1.04</t>
        </r>
      </text>
    </comment>
    <comment ref="AO19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MVIC stock water for the year is completed.</t>
        </r>
      </text>
    </comment>
    <comment ref="AS31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MVIC shut down Groundhog releases to just the 6 cfs (approx) to meet the u/s exchange requirement, used the 27 cfs on this day so that this exchange would be finished in the middle of the week not on a weekend as it would have been if I left it at 6 cfs per day.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24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MVIC Shut the gate on Groundhog around noon.</t>
        </r>
      </text>
    </comment>
    <comment ref="N23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MVIC Shut off at midnight on the 9th.So the Fish &amp; Wildlife water going to the City of Cortez for Denny lake also is over for this year.</t>
        </r>
      </text>
    </comment>
    <comment ref="O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Ute Farm &amp; Ranch allocation.</t>
        </r>
      </text>
    </comment>
    <comment ref="O9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With the 3000 AF leased water.</t>
        </r>
      </text>
    </comment>
    <comment ref="O45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4.6cfs 11/1
3.91cfs 11/5
Water that is passed the EDS before 11/1. To use up the 4000cfs ordered.</t>
        </r>
      </text>
    </comment>
    <comment ref="R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If the formula =((daily reading)*1.04)-Col T # gives you more than 4.20, you need to enter the following formula in the Cortez Project column. =(((daily reading)*1.04)-col T #)-4.20. Then just enter 4.20 in this column.</t>
        </r>
      </text>
    </comment>
    <comment ref="R9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Cortez Non-project water is limited to 4.20 cfs/day.</t>
        </r>
      </text>
    </comment>
    <comment ref="T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The formula is =(daily use from the Towaoc file*1.06)*1.04</t>
        </r>
      </text>
    </comment>
    <comment ref="W30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MVIC wanted to know at what flow they could run the coming up stock run in the U-Lateral</t>
        </r>
      </text>
    </comment>
    <comment ref="X23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MVIC shut off at midnight and will shut all of the head gates on the Towaoc Canal on 10/10/12.</t>
        </r>
      </text>
    </comment>
    <comment ref="Y45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8.9 cfs w/ 1.05 loss subtracted out of formula for the Nov 2012 water year</t>
        </r>
      </text>
    </comment>
    <comment ref="AT24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The u/pstream exchange is completed.</t>
        </r>
      </text>
    </comment>
  </commentList>
</comments>
</file>

<file path=xl/sharedStrings.xml><?xml version="1.0" encoding="utf-8"?>
<sst xmlns="http://schemas.openxmlformats.org/spreadsheetml/2006/main" count="2203" uniqueCount="145">
  <si>
    <t xml:space="preserve">MCPHEE  RESERVOIR  INFLOW/OUTFLOW  TABULATION</t>
  </si>
  <si>
    <t xml:space="preserve">AF/cfs  CONVERT FACTOR</t>
  </si>
  <si>
    <t xml:space="preserve">                     NOVEMBER  "2011"</t>
  </si>
  <si>
    <t xml:space="preserve">RESERVOIR</t>
  </si>
  <si>
    <t xml:space="preserve">      INFLOW</t>
  </si>
  <si>
    <t xml:space="preserve">OUTFLOW </t>
  </si>
  <si>
    <t xml:space="preserve">ADJUSTMENTS</t>
  </si>
  <si>
    <t xml:space="preserve">WEATHER</t>
  </si>
  <si>
    <t xml:space="preserve">DATE</t>
  </si>
  <si>
    <t xml:space="preserve">RESERV</t>
  </si>
  <si>
    <t xml:space="preserve">AC  FT</t>
  </si>
  <si>
    <t xml:space="preserve">ACTIVE</t>
  </si>
  <si>
    <t xml:space="preserve">CONV  TO</t>
  </si>
  <si>
    <t xml:space="preserve">DOLORES</t>
  </si>
  <si>
    <t xml:space="preserve">LOST</t>
  </si>
  <si>
    <t xml:space="preserve">RECORD</t>
  </si>
  <si>
    <t xml:space="preserve">CALC</t>
  </si>
  <si>
    <t xml:space="preserve">TOTAL</t>
  </si>
  <si>
    <t xml:space="preserve">DOLORES TUNNEL</t>
  </si>
  <si>
    <t xml:space="preserve">LONE</t>
  </si>
  <si>
    <t xml:space="preserve">U</t>
  </si>
  <si>
    <t xml:space="preserve">MVI</t>
  </si>
  <si>
    <t xml:space="preserve">TO EX &amp;</t>
  </si>
  <si>
    <t xml:space="preserve">DV  CR</t>
  </si>
  <si>
    <t xml:space="preserve">       D/S SENIOR </t>
  </si>
  <si>
    <t xml:space="preserve">BELOW</t>
  </si>
  <si>
    <t xml:space="preserve">FISH</t>
  </si>
  <si>
    <t xml:space="preserve">SPILL</t>
  </si>
  <si>
    <t xml:space="preserve">NAR</t>
  </si>
  <si>
    <t xml:space="preserve">MVI </t>
  </si>
  <si>
    <t xml:space="preserve">DIST.</t>
  </si>
  <si>
    <t xml:space="preserve">U/S</t>
  </si>
  <si>
    <t xml:space="preserve">TOTTEN</t>
  </si>
  <si>
    <t xml:space="preserve">UTES</t>
  </si>
  <si>
    <t xml:space="preserve">RAIN</t>
  </si>
  <si>
    <t xml:space="preserve">MAX</t>
  </si>
  <si>
    <t xml:space="preserve">MIN</t>
  </si>
  <si>
    <t xml:space="preserve">NOV</t>
  </si>
  <si>
    <t xml:space="preserve">ELEV</t>
  </si>
  <si>
    <t xml:space="preserve">CHANGE</t>
  </si>
  <si>
    <t xml:space="preserve">CAP</t>
  </si>
  <si>
    <t xml:space="preserve">CFS</t>
  </si>
  <si>
    <t xml:space="preserve">RIVER</t>
  </si>
  <si>
    <t xml:space="preserve">CAN</t>
  </si>
  <si>
    <t xml:space="preserve">INFLOW</t>
  </si>
  <si>
    <t xml:space="preserve">INF/OTF</t>
  </si>
  <si>
    <t xml:space="preserve">TOT DIV</t>
  </si>
  <si>
    <t xml:space="preserve">WET</t>
  </si>
  <si>
    <t xml:space="preserve">UTE</t>
  </si>
  <si>
    <t xml:space="preserve">QUEST</t>
  </si>
  <si>
    <t xml:space="preserve">MWC</t>
  </si>
  <si>
    <t xml:space="preserve">         CORTEZ</t>
  </si>
  <si>
    <t xml:space="preserve">F-BAY</t>
  </si>
  <si>
    <t xml:space="preserve">PINE</t>
  </si>
  <si>
    <t xml:space="preserve">LAT</t>
  </si>
  <si>
    <t xml:space="preserve">CALL</t>
  </si>
  <si>
    <t xml:space="preserve">APR-</t>
  </si>
  <si>
    <t xml:space="preserve">U/S EX</t>
  </si>
  <si>
    <t xml:space="preserve">PROJ </t>
  </si>
  <si>
    <t xml:space="preserve">CANAL</t>
  </si>
  <si>
    <t xml:space="preserve">MVIC</t>
  </si>
  <si>
    <t xml:space="preserve">PROJ</t>
  </si>
  <si>
    <t xml:space="preserve">MCP</t>
  </si>
  <si>
    <t xml:space="preserve">LEFT</t>
  </si>
  <si>
    <t xml:space="preserve">OTF</t>
  </si>
  <si>
    <t xml:space="preserve">FILL</t>
  </si>
  <si>
    <t xml:space="preserve">STOCK</t>
  </si>
  <si>
    <t xml:space="preserve">STORED</t>
  </si>
  <si>
    <t xml:space="preserve">CLASS</t>
  </si>
  <si>
    <t xml:space="preserve">USERS</t>
  </si>
  <si>
    <t xml:space="preserve">(FRESH</t>
  </si>
  <si>
    <t xml:space="preserve">FROM</t>
  </si>
  <si>
    <t xml:space="preserve">TMP</t>
  </si>
  <si>
    <t xml:space="preserve">TUNNEL</t>
  </si>
  <si>
    <t xml:space="preserve">LAND</t>
  </si>
  <si>
    <t xml:space="preserve">F&amp;R</t>
  </si>
  <si>
    <t xml:space="preserve">NON -</t>
  </si>
  <si>
    <t xml:space="preserve">BAL</t>
  </si>
  <si>
    <t xml:space="preserve">WATER</t>
  </si>
  <si>
    <t xml:space="preserve">IRRIG.</t>
  </si>
  <si>
    <t xml:space="preserve">STOR</t>
  </si>
  <si>
    <t xml:space="preserve">SPILLED</t>
  </si>
  <si>
    <t xml:space="preserve">JUNE</t>
  </si>
  <si>
    <t xml:space="preserve">Apr - Jun</t>
  </si>
  <si>
    <t xml:space="preserve">EVAP</t>
  </si>
  <si>
    <t xml:space="preserve">"B"</t>
  </si>
  <si>
    <t xml:space="preserve">EXCH</t>
  </si>
  <si>
    <t xml:space="preserve">WATER)</t>
  </si>
  <si>
    <t xml:space="preserve">DWCD</t>
  </si>
  <si>
    <t xml:space="preserve">Misc.</t>
  </si>
  <si>
    <t xml:space="preserve">USED</t>
  </si>
  <si>
    <t xml:space="preserve">OR </t>
  </si>
  <si>
    <t xml:space="preserve">(DIV+</t>
  </si>
  <si>
    <t xml:space="preserve">CALL)</t>
  </si>
  <si>
    <t xml:space="preserve">AC. Ft.</t>
  </si>
  <si>
    <t xml:space="preserve">AC FT</t>
  </si>
  <si>
    <t xml:space="preserve">AC.FT.</t>
  </si>
  <si>
    <t xml:space="preserve">Outflow </t>
  </si>
  <si>
    <t xml:space="preserve">Ac. Ft.</t>
  </si>
  <si>
    <t xml:space="preserve">SEASON BAL</t>
  </si>
  <si>
    <t xml:space="preserve">YTD</t>
  </si>
  <si>
    <t xml:space="preserve">MONTH / CFS</t>
  </si>
  <si>
    <t xml:space="preserve">Avg</t>
  </si>
  <si>
    <t xml:space="preserve">MONTH / AF</t>
  </si>
  <si>
    <t xml:space="preserve">HI</t>
  </si>
  <si>
    <t xml:space="preserve">SEASON / CFS</t>
  </si>
  <si>
    <t xml:space="preserve">LO</t>
  </si>
  <si>
    <t xml:space="preserve">SEASON / AF</t>
  </si>
  <si>
    <t xml:space="preserve">YTD / CFS</t>
  </si>
  <si>
    <t xml:space="preserve">YTD / AF</t>
  </si>
  <si>
    <t xml:space="preserve">                                      DECEMBER  "2011"</t>
  </si>
  <si>
    <t xml:space="preserve">       INFLOW</t>
  </si>
  <si>
    <t xml:space="preserve">DEC</t>
  </si>
  <si>
    <t xml:space="preserve">FILLL</t>
  </si>
  <si>
    <t xml:space="preserve"> </t>
  </si>
  <si>
    <t xml:space="preserve">                                       JANUARY  "2012"</t>
  </si>
  <si>
    <t xml:space="preserve">                           FEBRUARY  "2012"</t>
  </si>
  <si>
    <t xml:space="preserve">OUTFLOW</t>
  </si>
  <si>
    <t xml:space="preserve">FEB</t>
  </si>
  <si>
    <t xml:space="preserve">AVE</t>
  </si>
  <si>
    <t xml:space="preserve">MARCH  "2012"</t>
  </si>
  <si>
    <t xml:space="preserve">MAR</t>
  </si>
  <si>
    <t xml:space="preserve">                                    Apr  "2012"</t>
  </si>
  <si>
    <t xml:space="preserve">     INFLOW</t>
  </si>
  <si>
    <t xml:space="preserve">APR</t>
  </si>
  <si>
    <t xml:space="preserve">AVG</t>
  </si>
  <si>
    <t xml:space="preserve">                                  MAY  "2012"</t>
  </si>
  <si>
    <t xml:space="preserve">       D/S SENIOR</t>
  </si>
  <si>
    <t xml:space="preserve">FISH </t>
  </si>
  <si>
    <t xml:space="preserve">MAY</t>
  </si>
  <si>
    <t xml:space="preserve">                                    JUNE  "2012"</t>
  </si>
  <si>
    <t xml:space="preserve">JUN</t>
  </si>
  <si>
    <t xml:space="preserve">.</t>
  </si>
  <si>
    <t xml:space="preserve">                                            JULY  "2012"</t>
  </si>
  <si>
    <t xml:space="preserve">         INFLOW</t>
  </si>
  <si>
    <t xml:space="preserve">JUL</t>
  </si>
  <si>
    <t xml:space="preserve">AUGUST  "2012"</t>
  </si>
  <si>
    <t xml:space="preserve">AUG</t>
  </si>
  <si>
    <t xml:space="preserve">                                   SEPTEMBER  "2012"</t>
  </si>
  <si>
    <t xml:space="preserve">SEPT</t>
  </si>
  <si>
    <t xml:space="preserve">c</t>
  </si>
  <si>
    <t xml:space="preserve">                                 OCTOBER  "2012"</t>
  </si>
  <si>
    <t xml:space="preserve">OCT</t>
  </si>
  <si>
    <t xml:space="preserve">Carry-</t>
  </si>
  <si>
    <t xml:space="preserve">over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</si>
</sst>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#,##0"/>
    <numFmt numFmtId="166" formatCode="0.00_);\(0.00\)"/>
    <numFmt numFmtId="167" formatCode="0.0"/>
    <numFmt numFmtId="168" formatCode="0.00"/>
    <numFmt numFmtId="169" formatCode="0"/>
    <numFmt numFmtId="170" formatCode="#,##0.0"/>
    <numFmt numFmtId="171" formatCode="##0.0"/>
    <numFmt numFmtId="172" formatCode="0.0000"/>
    <numFmt numFmtId="173" formatCode="0.000"/>
    <numFmt numFmtId="174" formatCode="#,##0.0_);\(#,##0.0\)"/>
    <numFmt numFmtId="175" formatCode="#,##0.00"/>
    <numFmt numFmtId="176" formatCode="[$-409]d\-mmm"/>
    <numFmt numFmtId="177" formatCode="0%"/>
    <numFmt numFmtId="178" formatCode="0.0_);\(0.0\)"/>
    <numFmt numFmtId="179" formatCode="0_);\(0\)"/>
    <numFmt numFmtId="180" formatCode="[$-409]mmm\-yy"/>
    <numFmt numFmtId="181" formatCode="#,##0.0000"/>
    <numFmt numFmtId="182" formatCode="0.00_);[RED]\(0.00\)"/>
    <numFmt numFmtId="183" formatCode="0_);[RED]\(0\)"/>
  </numFmts>
  <fonts count="31">
    <font>
      <sz val="8"/>
      <name val="LinePrinter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00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333399"/>
      <name val="Calibri"/>
      <family val="2"/>
    </font>
    <font>
      <b val="true"/>
      <sz val="13"/>
      <color rgb="FF333399"/>
      <name val="Calibri"/>
      <family val="2"/>
    </font>
    <font>
      <b val="true"/>
      <sz val="11"/>
      <color rgb="FF333399"/>
      <name val="Calibri"/>
      <family val="2"/>
    </font>
    <font>
      <sz val="11"/>
      <color rgb="FF333399"/>
      <name val="Calibri"/>
      <family val="2"/>
    </font>
    <font>
      <sz val="11"/>
      <color rgb="FFFF0000"/>
      <name val="Calibri"/>
      <family val="2"/>
    </font>
    <font>
      <sz val="11"/>
      <color rgb="FF808000"/>
      <name val="Calibri"/>
      <family val="2"/>
    </font>
    <font>
      <b val="true"/>
      <sz val="11"/>
      <color rgb="FF424242"/>
      <name val="Calibri"/>
      <family val="2"/>
    </font>
    <font>
      <b val="true"/>
      <sz val="18"/>
      <color rgb="FF333399"/>
      <name val="Cambria"/>
      <family val="2"/>
    </font>
    <font>
      <b val="true"/>
      <sz val="11"/>
      <color rgb="FF000000"/>
      <name val="Calibri"/>
      <family val="2"/>
    </font>
    <font>
      <sz val="8"/>
      <name val="Arial Narrow"/>
      <family val="2"/>
    </font>
    <font>
      <b val="true"/>
      <i val="true"/>
      <sz val="12"/>
      <name val="Arial Narrow"/>
      <family val="2"/>
    </font>
    <font>
      <sz val="6"/>
      <name val="Arial Narrow"/>
      <family val="2"/>
    </font>
    <font>
      <b val="true"/>
      <sz val="8"/>
      <name val="Arial Narrow"/>
      <family val="2"/>
    </font>
    <font>
      <b val="true"/>
      <sz val="6"/>
      <name val="Arial Narrow"/>
      <family val="2"/>
    </font>
    <font>
      <b val="true"/>
      <sz val="9"/>
      <name val="Arial Narrow"/>
      <family val="2"/>
    </font>
    <font>
      <b val="true"/>
      <sz val="8"/>
      <color rgb="FF000000"/>
      <name val="Tahoma"/>
      <family val="2"/>
    </font>
    <font>
      <sz val="8"/>
      <color rgb="FF000000"/>
      <name val="Tahoma"/>
      <family val="2"/>
    </font>
    <font>
      <sz val="6"/>
      <name val="LinePrinter"/>
      <family val="0"/>
    </font>
    <font>
      <sz val="8"/>
      <color rgb="FF000000"/>
      <name val="LinePrinter"/>
      <family val="0"/>
    </font>
    <font>
      <b val="true"/>
      <sz val="12"/>
      <name val="Arial Narrow"/>
      <family val="2"/>
    </font>
  </fonts>
  <fills count="19">
    <fill>
      <patternFill patternType="none"/>
    </fill>
    <fill>
      <patternFill patternType="gray125"/>
    </fill>
    <fill>
      <patternFill patternType="solid">
        <fgColor rgb="FFA6CAF0"/>
        <bgColor rgb="FFA0E0E0"/>
      </patternFill>
    </fill>
    <fill>
      <patternFill patternType="solid">
        <fgColor rgb="FFFF8080"/>
        <bgColor rgb="FFCC9CCC"/>
      </patternFill>
    </fill>
    <fill>
      <patternFill patternType="solid">
        <fgColor rgb="FFFFFFC0"/>
        <bgColor rgb="FFFFFF99"/>
      </patternFill>
    </fill>
    <fill>
      <patternFill patternType="solid">
        <fgColor rgb="FFE3E3E3"/>
        <bgColor rgb="FFEEEEEC"/>
      </patternFill>
    </fill>
    <fill>
      <patternFill patternType="solid">
        <fgColor rgb="FFA0E0E0"/>
        <bgColor rgb="FFA6CAF0"/>
      </patternFill>
    </fill>
    <fill>
      <patternFill patternType="solid">
        <fgColor rgb="FFFFFF99"/>
        <bgColor rgb="FFFFFFC0"/>
      </patternFill>
    </fill>
    <fill>
      <patternFill patternType="solid">
        <fgColor rgb="FFCC9CCC"/>
        <bgColor rgb="FFCC99FF"/>
      </patternFill>
    </fill>
    <fill>
      <patternFill patternType="solid">
        <fgColor rgb="FF996666"/>
        <bgColor rgb="FF808080"/>
      </patternFill>
    </fill>
    <fill>
      <patternFill patternType="solid">
        <fgColor rgb="FF999933"/>
        <bgColor rgb="FF808000"/>
      </patternFill>
    </fill>
    <fill>
      <patternFill patternType="solid">
        <fgColor rgb="FF3333CC"/>
        <bgColor rgb="FF333399"/>
      </patternFill>
    </fill>
    <fill>
      <patternFill patternType="solid">
        <fgColor rgb="FF666699"/>
        <bgColor rgb="FF808080"/>
      </patternFill>
    </fill>
    <fill>
      <patternFill patternType="solid">
        <fgColor rgb="FF33CCCC"/>
        <bgColor rgb="FF00CCFF"/>
      </patternFill>
    </fill>
    <fill>
      <patternFill patternType="solid">
        <fgColor rgb="FFFF0000"/>
        <bgColor rgb="FF993300"/>
      </patternFill>
    </fill>
    <fill>
      <patternFill patternType="solid">
        <fgColor rgb="FFCC99FF"/>
        <bgColor rgb="FFCC9CCC"/>
      </patternFill>
    </fill>
    <fill>
      <patternFill patternType="solid">
        <fgColor rgb="FFFFFFFF"/>
        <bgColor rgb="FFEEEEEC"/>
      </patternFill>
    </fill>
    <fill>
      <patternFill patternType="solid">
        <fgColor rgb="FF969696"/>
        <bgColor rgb="FF808080"/>
      </patternFill>
    </fill>
    <fill>
      <patternFill patternType="solid">
        <fgColor rgb="FF464648"/>
        <bgColor rgb="FF424242"/>
      </patternFill>
    </fill>
  </fills>
  <borders count="4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424242"/>
      </left>
      <right style="double">
        <color rgb="FF424242"/>
      </right>
      <top style="double">
        <color rgb="FF424242"/>
      </top>
      <bottom style="double">
        <color rgb="FF424242"/>
      </bottom>
      <diagonal/>
    </border>
    <border diagonalUp="false" diagonalDown="false">
      <left/>
      <right/>
      <top/>
      <bottom style="thick">
        <color rgb="FF3333CC"/>
      </bottom>
      <diagonal/>
    </border>
    <border diagonalUp="false" diagonalDown="false">
      <left/>
      <right/>
      <top/>
      <bottom style="thick">
        <color rgb="FFA0E0E0"/>
      </bottom>
      <diagonal/>
    </border>
    <border diagonalUp="false" diagonalDown="false">
      <left/>
      <right/>
      <top/>
      <bottom style="medium">
        <color rgb="FFA0E0E0"/>
      </bottom>
      <diagonal/>
    </border>
    <border diagonalUp="false" diagonalDown="false">
      <left/>
      <right/>
      <top/>
      <bottom style="double">
        <color rgb="FFFF00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424242"/>
      </left>
      <right style="thin">
        <color rgb="FF424242"/>
      </right>
      <top style="thin">
        <color rgb="FF424242"/>
      </top>
      <bottom style="thin">
        <color rgb="FF424242"/>
      </bottom>
      <diagonal/>
    </border>
    <border diagonalUp="false" diagonalDown="false">
      <left/>
      <right/>
      <top style="thin">
        <color rgb="FF3333CC"/>
      </top>
      <bottom style="double">
        <color rgb="FF3333CC"/>
      </bottom>
      <diagonal/>
    </border>
    <border diagonalUp="false" diagonalDown="false">
      <left/>
      <right/>
      <top/>
      <bottom style="thick">
        <color rgb="FFEEEEEC"/>
      </bottom>
      <diagonal/>
    </border>
    <border diagonalUp="false" diagonalDown="false">
      <left/>
      <right style="thick">
        <color rgb="FFEEEEEC"/>
      </right>
      <top style="thick">
        <color rgb="FFEEEEEC"/>
      </top>
      <bottom/>
      <diagonal/>
    </border>
    <border diagonalUp="false" diagonalDown="false">
      <left style="thick">
        <color rgb="FFEEEEEC"/>
      </left>
      <right/>
      <top style="thick">
        <color rgb="FFEEEEEC"/>
      </top>
      <bottom/>
      <diagonal/>
    </border>
    <border diagonalUp="false" diagonalDown="false">
      <left/>
      <right/>
      <top style="thick">
        <color rgb="FFEEEEEC"/>
      </top>
      <bottom/>
      <diagonal/>
    </border>
    <border diagonalUp="false" diagonalDown="false">
      <left/>
      <right style="medium">
        <color rgb="FFEEEEEC"/>
      </right>
      <top style="thick">
        <color rgb="FFEEEEEC"/>
      </top>
      <bottom/>
      <diagonal/>
    </border>
    <border diagonalUp="false" diagonalDown="false">
      <left style="thick">
        <color rgb="FFEEEEEC"/>
      </left>
      <right style="thick">
        <color rgb="FFEEEEEC"/>
      </right>
      <top style="thick">
        <color rgb="FFEEEEEC"/>
      </top>
      <bottom/>
      <diagonal/>
    </border>
    <border diagonalUp="false" diagonalDown="false">
      <left style="thick">
        <color rgb="FFEEEEEC"/>
      </left>
      <right/>
      <top/>
      <bottom/>
      <diagonal/>
    </border>
    <border diagonalUp="false" diagonalDown="false">
      <left/>
      <right style="thick">
        <color rgb="FFEEEEEC"/>
      </right>
      <top/>
      <bottom/>
      <diagonal/>
    </border>
    <border diagonalUp="false" diagonalDown="false">
      <left style="medium">
        <color rgb="FFEEEEEC"/>
      </left>
      <right style="medium">
        <color rgb="FFEEEEEC"/>
      </right>
      <top style="medium">
        <color rgb="FFEEEEEC"/>
      </top>
      <bottom/>
      <diagonal/>
    </border>
    <border diagonalUp="false" diagonalDown="false">
      <left style="thick">
        <color rgb="FFEEEEEC"/>
      </left>
      <right style="thick">
        <color rgb="FFEEEEEC"/>
      </right>
      <top/>
      <bottom/>
      <diagonal/>
    </border>
    <border diagonalUp="false" diagonalDown="false">
      <left style="medium">
        <color rgb="FFEEEEEC"/>
      </left>
      <right/>
      <top/>
      <bottom/>
      <diagonal/>
    </border>
    <border diagonalUp="false" diagonalDown="false">
      <left/>
      <right style="medium">
        <color rgb="FFEEEEEC"/>
      </right>
      <top/>
      <bottom/>
      <diagonal/>
    </border>
    <border diagonalUp="false" diagonalDown="false">
      <left/>
      <right/>
      <top style="thin">
        <color rgb="FFEEEEEC"/>
      </top>
      <bottom style="thin">
        <color rgb="FFEEEEEC"/>
      </bottom>
      <diagonal/>
    </border>
    <border diagonalUp="false" diagonalDown="false">
      <left style="thick">
        <color rgb="FFEEEEEC"/>
      </left>
      <right/>
      <top style="thin">
        <color rgb="FFEEEEEC"/>
      </top>
      <bottom style="thin">
        <color rgb="FFEEEEEC"/>
      </bottom>
      <diagonal/>
    </border>
    <border diagonalUp="false" diagonalDown="false">
      <left/>
      <right style="thick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 style="medium">
        <color rgb="FFEEEEEC"/>
      </left>
      <right/>
      <top style="thin">
        <color rgb="FFEEEEEC"/>
      </top>
      <bottom style="thin">
        <color rgb="FFEEEEEC"/>
      </bottom>
      <diagonal/>
    </border>
    <border diagonalUp="false" diagonalDown="false">
      <left/>
      <right style="medium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/>
      <right/>
      <top style="thin">
        <color rgb="FFEEEEEC"/>
      </top>
      <bottom/>
      <diagonal/>
    </border>
    <border diagonalUp="false" diagonalDown="false">
      <left style="thick">
        <color rgb="FFEEEEEC"/>
      </left>
      <right/>
      <top style="thin">
        <color rgb="FFEEEEEC"/>
      </top>
      <bottom/>
      <diagonal/>
    </border>
    <border diagonalUp="false" diagonalDown="false">
      <left style="thick">
        <color rgb="FFEEEEEC"/>
      </left>
      <right/>
      <top/>
      <bottom style="thin">
        <color rgb="FFEEEEEC"/>
      </bottom>
      <diagonal/>
    </border>
    <border diagonalUp="false" diagonalDown="false">
      <left/>
      <right style="thick">
        <color rgb="FFEEEEEC"/>
      </right>
      <top/>
      <bottom style="thin">
        <color rgb="FFEEEEEC"/>
      </bottom>
      <diagonal/>
    </border>
    <border diagonalUp="false" diagonalDown="false">
      <left/>
      <right/>
      <top/>
      <bottom style="thin">
        <color rgb="FFEEEEEC"/>
      </bottom>
      <diagonal/>
    </border>
    <border diagonalUp="false" diagonalDown="false">
      <left style="thick">
        <color rgb="FFEEEEEC"/>
      </left>
      <right style="thick">
        <color rgb="FFEEEEEC"/>
      </right>
      <top/>
      <bottom style="thin">
        <color rgb="FFEEEEEC"/>
      </bottom>
      <diagonal/>
    </border>
    <border diagonalUp="false" diagonalDown="false">
      <left style="thick">
        <color rgb="FFEEEEEC"/>
      </left>
      <right style="thick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/>
      <right style="medium">
        <color rgb="FFEEEEEC"/>
      </right>
      <top style="medium">
        <color rgb="FFEEEEEC"/>
      </top>
      <bottom/>
      <diagonal/>
    </border>
    <border diagonalUp="false" diagonalDown="false">
      <left/>
      <right style="medium">
        <color rgb="FFEEEEEC"/>
      </right>
      <top/>
      <bottom style="thin">
        <color rgb="FFEEEEEC"/>
      </bottom>
      <diagonal/>
    </border>
    <border diagonalUp="false" diagonalDown="false">
      <left style="medium">
        <color rgb="FFEEEEEC"/>
      </left>
      <right/>
      <top/>
      <bottom style="thin">
        <color rgb="FFEEEEEC"/>
      </bottom>
      <diagonal/>
    </border>
    <border diagonalUp="false" diagonalDown="false">
      <left style="medium">
        <color rgb="FFEEEEEC"/>
      </left>
      <right/>
      <top style="thin">
        <color rgb="FFEEEEEC"/>
      </top>
      <bottom/>
      <diagonal/>
    </border>
    <border diagonalUp="false" diagonalDown="false">
      <left/>
      <right style="medium">
        <color rgb="FFEEEEEC"/>
      </right>
      <top style="thin">
        <color rgb="FFEEEEEC"/>
      </top>
      <bottom/>
      <diagonal/>
    </border>
    <border diagonalUp="false" diagonalDown="false">
      <left/>
      <right style="thick">
        <color rgb="FFEEEEEC"/>
      </right>
      <top style="thin">
        <color rgb="FFEEEEEC"/>
      </top>
      <bottom/>
      <diagonal/>
    </border>
    <border diagonalUp="false" diagonalDown="false">
      <left/>
      <right style="thin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/>
      <right/>
      <top style="hair">
        <color rgb="FFEEEEEC"/>
      </top>
      <bottom style="hair">
        <color rgb="FFEEEEEC"/>
      </bottom>
      <diagonal/>
    </border>
    <border diagonalUp="false" diagonalDown="false">
      <left/>
      <right style="hair">
        <color rgb="FFEEEEEC"/>
      </right>
      <top style="thin">
        <color rgb="FFEEEEEC"/>
      </top>
      <bottom style="thin">
        <color rgb="FFEEEEEC"/>
      </bottom>
      <diagonal/>
    </border>
  </borders>
  <cellStyleXfs count="6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5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7" fontId="0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7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4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11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12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4" borderId="0" applyFont="true" applyBorder="false" applyAlignment="false" applyProtection="false"/>
    <xf numFmtId="164" fontId="6" fillId="15" borderId="0" applyFont="true" applyBorder="false" applyAlignment="false" applyProtection="false"/>
    <xf numFmtId="164" fontId="7" fillId="16" borderId="1" applyFont="true" applyBorder="true" applyAlignment="false" applyProtection="false"/>
    <xf numFmtId="164" fontId="8" fillId="17" borderId="2" applyFont="true" applyBorder="true" applyAlignment="false" applyProtection="false"/>
    <xf numFmtId="164" fontId="9" fillId="0" borderId="0" applyFont="true" applyBorder="false" applyAlignment="false" applyProtection="false"/>
    <xf numFmtId="164" fontId="10" fillId="6" borderId="0" applyFont="true" applyBorder="false" applyAlignment="false" applyProtection="false"/>
    <xf numFmtId="164" fontId="11" fillId="0" borderId="3" applyFont="true" applyBorder="true" applyAlignment="false" applyProtection="false"/>
    <xf numFmtId="164" fontId="12" fillId="0" borderId="4" applyFont="true" applyBorder="true" applyAlignment="false" applyProtection="false"/>
    <xf numFmtId="164" fontId="13" fillId="0" borderId="5" applyFont="true" applyBorder="true" applyAlignment="false" applyProtection="false"/>
    <xf numFmtId="164" fontId="13" fillId="0" borderId="0" applyFont="true" applyBorder="false" applyAlignment="false" applyProtection="false"/>
    <xf numFmtId="164" fontId="14" fillId="7" borderId="1" applyFont="true" applyBorder="true" applyAlignment="false" applyProtection="false"/>
    <xf numFmtId="164" fontId="15" fillId="0" borderId="6" applyFont="true" applyBorder="true" applyAlignment="false" applyProtection="false"/>
    <xf numFmtId="164" fontId="16" fillId="7" borderId="0" applyFont="true" applyBorder="false" applyAlignment="false" applyProtection="false"/>
    <xf numFmtId="164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7" applyFont="true" applyBorder="true" applyAlignment="false" applyProtection="false"/>
    <xf numFmtId="164" fontId="17" fillId="16" borderId="8" applyFont="true" applyBorder="true" applyAlignment="false" applyProtection="false"/>
    <xf numFmtId="164" fontId="18" fillId="0" borderId="0" applyFont="true" applyBorder="false" applyAlignment="false" applyProtection="false"/>
    <xf numFmtId="164" fontId="19" fillId="0" borderId="9" applyFont="true" applyBorder="true" applyAlignment="false" applyProtection="false"/>
    <xf numFmtId="164" fontId="15" fillId="0" borderId="0" applyFont="true" applyBorder="false" applyAlignment="false" applyProtection="false"/>
  </cellStyleXfs>
  <cellXfs count="5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3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3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3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3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2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2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4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24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2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2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2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0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0" fillId="0" borderId="16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18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0" fillId="18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18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18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18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18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18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18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18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18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18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18" borderId="2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18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18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18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18" borderId="22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18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0" fillId="0" borderId="2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18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18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2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0" fillId="18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18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18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18" borderId="2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18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18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18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0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18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18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18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8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18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18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18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5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56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21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1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0" borderId="1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1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1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1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1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0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0" fillId="0" borderId="1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1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1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4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2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16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17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2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0" borderId="21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21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2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16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0" fillId="0" borderId="16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17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31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0" borderId="35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0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0" fillId="0" borderId="32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5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18" borderId="22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0" fillId="18" borderId="23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18" borderId="22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18" borderId="22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18" borderId="24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0" fillId="18" borderId="22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18" borderId="25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18" borderId="22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18" borderId="26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18" borderId="22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18" borderId="26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18" borderId="23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18" borderId="22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18" borderId="22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0" fillId="18" borderId="23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0" borderId="17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0" borderId="2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0" borderId="21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7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18" borderId="23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0" borderId="22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18" borderId="24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18" borderId="33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19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18" borderId="24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18" borderId="25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18" borderId="26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18" borderId="22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0" fillId="18" borderId="23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18" borderId="33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0" fillId="18" borderId="22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0" fillId="18" borderId="22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0" fillId="18" borderId="24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36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35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3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18" borderId="22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2" fillId="18" borderId="22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7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0" borderId="31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17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0" fillId="0" borderId="31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0" borderId="32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18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16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21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18" borderId="26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35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5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20" fillId="0" borderId="1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1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7" xfId="5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5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0" fillId="0" borderId="29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7" xfId="5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20" fillId="18" borderId="22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2" fillId="18" borderId="22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2" fillId="18" borderId="22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2" fillId="18" borderId="24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2" fillId="18" borderId="33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" fillId="0" borderId="16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2" fillId="18" borderId="22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37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38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39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19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2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21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18" borderId="33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2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18" borderId="25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0" borderId="16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3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56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22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1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2" fillId="0" borderId="1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21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2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9" xfId="5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18" borderId="26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0" fillId="18" borderId="22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19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20" fillId="18" borderId="22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18" borderId="26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18" borderId="22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0" borderId="21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18" borderId="22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2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1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2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20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0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3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0" fillId="18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18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18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2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16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18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2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0" fillId="18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18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18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18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2" fillId="18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2" fillId="18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0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13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12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3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3" fillId="0" borderId="13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0" borderId="13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3" fillId="0" borderId="13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14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13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0" fillId="0" borderId="13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13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13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3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12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3" fillId="0" borderId="13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0" fillId="0" borderId="13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1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5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16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2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4" fillId="0" borderId="18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4" fillId="0" borderId="18" xfId="56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24" fillId="0" borderId="18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2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16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4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2" fillId="0" borderId="2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2" fillId="0" borderId="21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16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21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2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21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2" fillId="0" borderId="21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2" fillId="0" borderId="2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2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9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35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29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20" fillId="0" borderId="19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0" fillId="18" borderId="22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0" fillId="0" borderId="16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37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38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0" fillId="18" borderId="4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18" borderId="27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18" borderId="28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18" borderId="27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27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27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3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13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4" fillId="0" borderId="34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2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2" fillId="0" borderId="17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0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18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18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20" fillId="18" borderId="2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2" fillId="18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3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7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17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3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3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18" borderId="23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0" borderId="41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39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18" borderId="23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18" borderId="22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18" borderId="24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8" borderId="22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18" borderId="25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18" borderId="22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18" borderId="26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18" borderId="22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1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2" fillId="0" borderId="1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11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3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12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4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4" fillId="0" borderId="13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2" fillId="0" borderId="13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2" fillId="0" borderId="2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16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21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21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2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16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16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0" fillId="0" borderId="16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35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35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16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9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0" fillId="18" borderId="23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18" borderId="22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18" borderId="23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18" borderId="22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18" borderId="23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18" borderId="24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18" borderId="33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17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2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0" fillId="0" borderId="16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17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2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16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17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18" borderId="25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18" borderId="26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18" borderId="23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18" borderId="22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21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31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18" borderId="27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18" borderId="42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18" borderId="26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56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3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3" fillId="0" borderId="13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0" borderId="13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3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0" xfId="56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2" fontId="20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20" fillId="0" borderId="1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3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13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12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13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2" fillId="0" borderId="13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20" fillId="18" borderId="22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20" fillId="0" borderId="0" xfId="5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20" fillId="18" borderId="22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18" borderId="40" xfId="5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2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" fillId="0" borderId="0" xfId="56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2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4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heck Cell" xfId="46"/>
    <cellStyle name="Explanatory Text" xfId="47"/>
    <cellStyle name="Good 1" xfId="48"/>
    <cellStyle name="Heading 1 1" xfId="49"/>
    <cellStyle name="Heading 2 1" xfId="50"/>
    <cellStyle name="Heading 3" xfId="51"/>
    <cellStyle name="Heading 4" xfId="52"/>
    <cellStyle name="Input" xfId="53"/>
    <cellStyle name="Linked Cell" xfId="54"/>
    <cellStyle name="Neutral 1" xfId="55"/>
    <cellStyle name="Normal_RIVER054" xfId="56"/>
    <cellStyle name="Note 1" xfId="57"/>
    <cellStyle name="Output" xfId="58"/>
    <cellStyle name="Title" xfId="59"/>
    <cellStyle name="Total" xfId="60"/>
    <cellStyle name="Warning Text" xfId="6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6666"/>
      <rgbColor rgb="FFFFFFC0"/>
      <rgbColor rgb="FFEEEEEC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0E0E0"/>
      <rgbColor rgb="FFFFFF99"/>
      <rgbColor rgb="FFA6CAF0"/>
      <rgbColor rgb="FFCC9CCC"/>
      <rgbColor rgb="FFCC99FF"/>
      <rgbColor rgb="FFFFCC99"/>
      <rgbColor rgb="FF3333CC"/>
      <rgbColor rgb="FF33CCCC"/>
      <rgbColor rgb="FF999933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64648"/>
      <rgbColor rgb="FF993300"/>
      <rgbColor rgb="FF993366"/>
      <rgbColor rgb="FF333399"/>
      <rgbColor rgb="FF4242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33</xdr:row>
      <xdr:rowOff>0</xdr:rowOff>
    </xdr:from>
    <xdr:to>
      <xdr:col>7</xdr:col>
      <xdr:colOff>21600</xdr:colOff>
      <xdr:row>34</xdr:row>
      <xdr:rowOff>28800</xdr:rowOff>
    </xdr:to>
    <xdr:sp>
      <xdr:nvSpPr>
        <xdr:cNvPr id="0" name="Text 1"/>
        <xdr:cNvSpPr/>
      </xdr:nvSpPr>
      <xdr:spPr>
        <a:xfrm>
          <a:off x="2500560" y="5359320"/>
          <a:ext cx="463680" cy="1933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36360" rIns="0" tIns="22680" bIns="0" anchor="t">
          <a:noAutofit/>
        </a:bodyPr>
        <a:p>
          <a:r>
            <a:rPr b="0" lang="en-US" sz="800" spc="-1" strike="noStrike">
              <a:solidFill>
                <a:srgbClr val="000000"/>
              </a:solidFill>
              <a:latin typeface="LinePrinter"/>
            </a:rPr>
            <a:t>thawed</a:t>
          </a:r>
          <a:endParaRPr b="0" lang="en-US" sz="800" spc="-1" strike="noStrike">
            <a:latin typeface="Times New Roman"/>
          </a:endParaRPr>
        </a:p>
        <a:p>
          <a:endParaRPr b="0" lang="en-US" sz="8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39</xdr:row>
      <xdr:rowOff>0</xdr:rowOff>
    </xdr:from>
    <xdr:to>
      <xdr:col>15</xdr:col>
      <xdr:colOff>360</xdr:colOff>
      <xdr:row>39</xdr:row>
      <xdr:rowOff>164520</xdr:rowOff>
    </xdr:to>
    <xdr:sp>
      <xdr:nvSpPr>
        <xdr:cNvPr id="1" name="Rectangle 1"/>
        <xdr:cNvSpPr/>
      </xdr:nvSpPr>
      <xdr:spPr>
        <a:xfrm>
          <a:off x="5626080" y="6346080"/>
          <a:ext cx="35604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39</xdr:row>
      <xdr:rowOff>0</xdr:rowOff>
    </xdr:from>
    <xdr:to>
      <xdr:col>15</xdr:col>
      <xdr:colOff>360</xdr:colOff>
      <xdr:row>39</xdr:row>
      <xdr:rowOff>164520</xdr:rowOff>
    </xdr:to>
    <xdr:sp>
      <xdr:nvSpPr>
        <xdr:cNvPr id="2" name="Rectangle 2"/>
        <xdr:cNvSpPr/>
      </xdr:nvSpPr>
      <xdr:spPr>
        <a:xfrm>
          <a:off x="5626080" y="6346080"/>
          <a:ext cx="35604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39</xdr:row>
      <xdr:rowOff>0</xdr:rowOff>
    </xdr:from>
    <xdr:to>
      <xdr:col>15</xdr:col>
      <xdr:colOff>360</xdr:colOff>
      <xdr:row>39</xdr:row>
      <xdr:rowOff>164520</xdr:rowOff>
    </xdr:to>
    <xdr:sp>
      <xdr:nvSpPr>
        <xdr:cNvPr id="3" name="Rectangle 3"/>
        <xdr:cNvSpPr/>
      </xdr:nvSpPr>
      <xdr:spPr>
        <a:xfrm>
          <a:off x="5626080" y="6346080"/>
          <a:ext cx="35604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39</xdr:row>
      <xdr:rowOff>0</xdr:rowOff>
    </xdr:from>
    <xdr:to>
      <xdr:col>15</xdr:col>
      <xdr:colOff>360</xdr:colOff>
      <xdr:row>39</xdr:row>
      <xdr:rowOff>164520</xdr:rowOff>
    </xdr:to>
    <xdr:sp>
      <xdr:nvSpPr>
        <xdr:cNvPr id="4" name="Rectangle 4"/>
        <xdr:cNvSpPr/>
      </xdr:nvSpPr>
      <xdr:spPr>
        <a:xfrm>
          <a:off x="5626080" y="6346080"/>
          <a:ext cx="35604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39</xdr:row>
      <xdr:rowOff>0</xdr:rowOff>
    </xdr:from>
    <xdr:to>
      <xdr:col>15</xdr:col>
      <xdr:colOff>360</xdr:colOff>
      <xdr:row>39</xdr:row>
      <xdr:rowOff>164520</xdr:rowOff>
    </xdr:to>
    <xdr:sp>
      <xdr:nvSpPr>
        <xdr:cNvPr id="5" name="Rectangle 5"/>
        <xdr:cNvSpPr/>
      </xdr:nvSpPr>
      <xdr:spPr>
        <a:xfrm>
          <a:off x="5626080" y="6346080"/>
          <a:ext cx="35604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39</xdr:row>
      <xdr:rowOff>124200</xdr:rowOff>
    </xdr:from>
    <xdr:to>
      <xdr:col>14</xdr:col>
      <xdr:colOff>11160</xdr:colOff>
      <xdr:row>39</xdr:row>
      <xdr:rowOff>164520</xdr:rowOff>
    </xdr:to>
    <xdr:sp>
      <xdr:nvSpPr>
        <xdr:cNvPr id="6" name="Rectangle 6"/>
        <xdr:cNvSpPr/>
      </xdr:nvSpPr>
      <xdr:spPr>
        <a:xfrm>
          <a:off x="5626080" y="6470280"/>
          <a:ext cx="11160" cy="4032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39</xdr:row>
      <xdr:rowOff>0</xdr:rowOff>
    </xdr:from>
    <xdr:to>
      <xdr:col>15</xdr:col>
      <xdr:colOff>360</xdr:colOff>
      <xdr:row>39</xdr:row>
      <xdr:rowOff>164520</xdr:rowOff>
    </xdr:to>
    <xdr:sp>
      <xdr:nvSpPr>
        <xdr:cNvPr id="7" name="Rectangle 7"/>
        <xdr:cNvSpPr/>
      </xdr:nvSpPr>
      <xdr:spPr>
        <a:xfrm>
          <a:off x="5626080" y="6346080"/>
          <a:ext cx="356040" cy="164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33</xdr:row>
      <xdr:rowOff>0</xdr:rowOff>
    </xdr:from>
    <xdr:to>
      <xdr:col>15</xdr:col>
      <xdr:colOff>360</xdr:colOff>
      <xdr:row>33</xdr:row>
      <xdr:rowOff>164520</xdr:rowOff>
    </xdr:to>
    <xdr:sp>
      <xdr:nvSpPr>
        <xdr:cNvPr id="8" name="Rectangle 8"/>
        <xdr:cNvSpPr/>
      </xdr:nvSpPr>
      <xdr:spPr>
        <a:xfrm>
          <a:off x="5626080" y="5359320"/>
          <a:ext cx="35604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33</xdr:row>
      <xdr:rowOff>0</xdr:rowOff>
    </xdr:from>
    <xdr:to>
      <xdr:col>15</xdr:col>
      <xdr:colOff>360</xdr:colOff>
      <xdr:row>33</xdr:row>
      <xdr:rowOff>164520</xdr:rowOff>
    </xdr:to>
    <xdr:sp>
      <xdr:nvSpPr>
        <xdr:cNvPr id="9" name="Rectangle 9"/>
        <xdr:cNvSpPr/>
      </xdr:nvSpPr>
      <xdr:spPr>
        <a:xfrm>
          <a:off x="5626080" y="5359320"/>
          <a:ext cx="35604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39</xdr:row>
      <xdr:rowOff>0</xdr:rowOff>
    </xdr:from>
    <xdr:to>
      <xdr:col>15</xdr:col>
      <xdr:colOff>360</xdr:colOff>
      <xdr:row>39</xdr:row>
      <xdr:rowOff>164520</xdr:rowOff>
    </xdr:to>
    <xdr:sp>
      <xdr:nvSpPr>
        <xdr:cNvPr id="10" name="Rectangle 1"/>
        <xdr:cNvSpPr/>
      </xdr:nvSpPr>
      <xdr:spPr>
        <a:xfrm>
          <a:off x="5626080" y="6346080"/>
          <a:ext cx="35604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39</xdr:row>
      <xdr:rowOff>0</xdr:rowOff>
    </xdr:from>
    <xdr:to>
      <xdr:col>15</xdr:col>
      <xdr:colOff>360</xdr:colOff>
      <xdr:row>39</xdr:row>
      <xdr:rowOff>164520</xdr:rowOff>
    </xdr:to>
    <xdr:sp>
      <xdr:nvSpPr>
        <xdr:cNvPr id="11" name="Rectangle 3"/>
        <xdr:cNvSpPr/>
      </xdr:nvSpPr>
      <xdr:spPr>
        <a:xfrm>
          <a:off x="5626080" y="6346080"/>
          <a:ext cx="35604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39</xdr:row>
      <xdr:rowOff>0</xdr:rowOff>
    </xdr:from>
    <xdr:to>
      <xdr:col>15</xdr:col>
      <xdr:colOff>360</xdr:colOff>
      <xdr:row>39</xdr:row>
      <xdr:rowOff>164520</xdr:rowOff>
    </xdr:to>
    <xdr:sp>
      <xdr:nvSpPr>
        <xdr:cNvPr id="12" name="Rectangle 4"/>
        <xdr:cNvSpPr/>
      </xdr:nvSpPr>
      <xdr:spPr>
        <a:xfrm>
          <a:off x="5626080" y="6346080"/>
          <a:ext cx="35604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39</xdr:row>
      <xdr:rowOff>0</xdr:rowOff>
    </xdr:from>
    <xdr:to>
      <xdr:col>15</xdr:col>
      <xdr:colOff>360</xdr:colOff>
      <xdr:row>39</xdr:row>
      <xdr:rowOff>164520</xdr:rowOff>
    </xdr:to>
    <xdr:sp>
      <xdr:nvSpPr>
        <xdr:cNvPr id="13" name="Rectangle 6"/>
        <xdr:cNvSpPr/>
      </xdr:nvSpPr>
      <xdr:spPr>
        <a:xfrm>
          <a:off x="5626080" y="6346080"/>
          <a:ext cx="35604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39</xdr:row>
      <xdr:rowOff>0</xdr:rowOff>
    </xdr:from>
    <xdr:to>
      <xdr:col>15</xdr:col>
      <xdr:colOff>360</xdr:colOff>
      <xdr:row>39</xdr:row>
      <xdr:rowOff>164520</xdr:rowOff>
    </xdr:to>
    <xdr:sp>
      <xdr:nvSpPr>
        <xdr:cNvPr id="14" name="Rectangle 8"/>
        <xdr:cNvSpPr/>
      </xdr:nvSpPr>
      <xdr:spPr>
        <a:xfrm>
          <a:off x="5626080" y="6346080"/>
          <a:ext cx="35604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39</xdr:row>
      <xdr:rowOff>124200</xdr:rowOff>
    </xdr:from>
    <xdr:to>
      <xdr:col>14</xdr:col>
      <xdr:colOff>11160</xdr:colOff>
      <xdr:row>39</xdr:row>
      <xdr:rowOff>164520</xdr:rowOff>
    </xdr:to>
    <xdr:sp>
      <xdr:nvSpPr>
        <xdr:cNvPr id="15" name="Rectangle 10"/>
        <xdr:cNvSpPr/>
      </xdr:nvSpPr>
      <xdr:spPr>
        <a:xfrm>
          <a:off x="5626080" y="6470280"/>
          <a:ext cx="11160" cy="4032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39</xdr:row>
      <xdr:rowOff>0</xdr:rowOff>
    </xdr:from>
    <xdr:to>
      <xdr:col>15</xdr:col>
      <xdr:colOff>360</xdr:colOff>
      <xdr:row>39</xdr:row>
      <xdr:rowOff>164520</xdr:rowOff>
    </xdr:to>
    <xdr:sp>
      <xdr:nvSpPr>
        <xdr:cNvPr id="16" name="Rectangle 11"/>
        <xdr:cNvSpPr/>
      </xdr:nvSpPr>
      <xdr:spPr>
        <a:xfrm>
          <a:off x="5626080" y="6346080"/>
          <a:ext cx="356040" cy="164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33</xdr:row>
      <xdr:rowOff>0</xdr:rowOff>
    </xdr:from>
    <xdr:to>
      <xdr:col>15</xdr:col>
      <xdr:colOff>360</xdr:colOff>
      <xdr:row>33</xdr:row>
      <xdr:rowOff>164520</xdr:rowOff>
    </xdr:to>
    <xdr:sp>
      <xdr:nvSpPr>
        <xdr:cNvPr id="17" name="Rectangle 12"/>
        <xdr:cNvSpPr/>
      </xdr:nvSpPr>
      <xdr:spPr>
        <a:xfrm>
          <a:off x="5626080" y="5359320"/>
          <a:ext cx="35604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33</xdr:row>
      <xdr:rowOff>0</xdr:rowOff>
    </xdr:from>
    <xdr:to>
      <xdr:col>15</xdr:col>
      <xdr:colOff>360</xdr:colOff>
      <xdr:row>33</xdr:row>
      <xdr:rowOff>164520</xdr:rowOff>
    </xdr:to>
    <xdr:sp>
      <xdr:nvSpPr>
        <xdr:cNvPr id="18" name="Rectangle 13"/>
        <xdr:cNvSpPr/>
      </xdr:nvSpPr>
      <xdr:spPr>
        <a:xfrm>
          <a:off x="5626080" y="5359320"/>
          <a:ext cx="35604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5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6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8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Z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L26" activePane="bottomRight" state="frozen"/>
      <selection pane="topLeft" activeCell="A1" activeCellId="0" sqref="A1"/>
      <selection pane="topRight" activeCell="L1" activeCellId="0" sqref="L1"/>
      <selection pane="bottomLeft" activeCell="A26" activeCellId="0" sqref="A26"/>
      <selection pane="bottomRight" activeCell="AH45" activeCellId="0" sqref="AH45"/>
    </sheetView>
  </sheetViews>
  <sheetFormatPr defaultColWidth="9.2890625" defaultRowHeight="11.1" zeroHeight="false" outlineLevelRow="0" outlineLevelCol="0"/>
  <cols>
    <col collapsed="false" customWidth="true" hidden="false" outlineLevel="0" max="1" min="1" style="1" width="4.66"/>
    <col collapsed="false" customWidth="true" hidden="false" outlineLevel="0" max="2" min="2" style="1" width="6.99"/>
    <col collapsed="false" customWidth="true" hidden="false" outlineLevel="0" max="3" min="3" style="2" width="6.32"/>
    <col collapsed="false" customWidth="true" hidden="false" outlineLevel="0" max="4" min="4" style="1" width="6.32"/>
    <col collapsed="false" customWidth="true" hidden="false" outlineLevel="0" max="5" min="5" style="2" width="6.99"/>
    <col collapsed="false" customWidth="true" hidden="false" outlineLevel="0" max="6" min="6" style="1" width="7.32"/>
    <col collapsed="false" customWidth="true" hidden="false" outlineLevel="0" max="7" min="7" style="1" width="6.82"/>
    <col collapsed="false" customWidth="true" hidden="false" outlineLevel="0" max="8" min="8" style="3" width="5.66"/>
    <col collapsed="false" customWidth="true" hidden="false" outlineLevel="0" max="11" min="9" style="1" width="6.32"/>
    <col collapsed="false" customWidth="true" hidden="false" outlineLevel="0" max="12" min="12" style="1" width="6.82"/>
    <col collapsed="false" customWidth="true" hidden="false" outlineLevel="0" max="13" min="13" style="4" width="5.49"/>
    <col collapsed="false" customWidth="true" hidden="false" outlineLevel="0" max="14" min="14" style="4" width="4.49"/>
    <col collapsed="false" customWidth="true" hidden="false" outlineLevel="0" max="15" min="15" style="4" width="5.49"/>
    <col collapsed="false" customWidth="true" hidden="false" outlineLevel="0" max="16" min="16" style="5" width="4.82"/>
    <col collapsed="false" customWidth="true" hidden="false" outlineLevel="0" max="18" min="17" style="4" width="4.32"/>
    <col collapsed="false" customWidth="true" hidden="false" outlineLevel="0" max="20" min="19" style="1" width="4.32"/>
    <col collapsed="false" customWidth="true" hidden="false" outlineLevel="0" max="21" min="21" style="6" width="5.16"/>
    <col collapsed="false" customWidth="true" hidden="false" outlineLevel="0" max="23" min="22" style="1" width="5.49"/>
    <col collapsed="false" customWidth="true" hidden="false" outlineLevel="0" max="24" min="24" style="2" width="6.32"/>
    <col collapsed="false" customWidth="true" hidden="false" outlineLevel="0" max="25" min="25" style="4" width="6.32"/>
    <col collapsed="false" customWidth="true" hidden="false" outlineLevel="0" max="26" min="26" style="1" width="5.49"/>
    <col collapsed="false" customWidth="true" hidden="false" outlineLevel="0" max="27" min="27" style="4" width="6.32"/>
    <col collapsed="false" customWidth="true" hidden="false" outlineLevel="0" max="28" min="28" style="1" width="5.49"/>
    <col collapsed="false" customWidth="true" hidden="false" outlineLevel="0" max="29" min="29" style="1" width="5.82"/>
    <col collapsed="false" customWidth="true" hidden="false" outlineLevel="0" max="31" min="30" style="1" width="5.49"/>
    <col collapsed="false" customWidth="true" hidden="false" outlineLevel="0" max="33" min="32" style="2" width="5.49"/>
    <col collapsed="false" customWidth="true" hidden="false" outlineLevel="0" max="34" min="34" style="2" width="6.32"/>
    <col collapsed="false" customWidth="true" hidden="false" outlineLevel="0" max="35" min="35" style="1" width="5.49"/>
    <col collapsed="false" customWidth="true" hidden="false" outlineLevel="0" max="37" min="36" style="1" width="6.32"/>
    <col collapsed="false" customWidth="true" hidden="false" outlineLevel="0" max="38" min="38" style="1" width="6.82"/>
    <col collapsed="false" customWidth="true" hidden="false" outlineLevel="0" max="39" min="39" style="3" width="6.82"/>
    <col collapsed="false" customWidth="true" hidden="false" outlineLevel="0" max="41" min="40" style="4" width="5.49"/>
    <col collapsed="false" customWidth="true" hidden="false" outlineLevel="0" max="42" min="42" style="1" width="6.32"/>
    <col collapsed="false" customWidth="true" hidden="false" outlineLevel="0" max="43" min="43" style="7" width="6.32"/>
    <col collapsed="false" customWidth="true" hidden="false" outlineLevel="0" max="44" min="44" style="7" width="5.49"/>
    <col collapsed="false" customWidth="true" hidden="false" outlineLevel="0" max="45" min="45" style="1" width="5.32"/>
    <col collapsed="false" customWidth="true" hidden="false" outlineLevel="0" max="46" min="46" style="1" width="5.82"/>
    <col collapsed="false" customWidth="true" hidden="false" outlineLevel="0" max="47" min="47" style="8" width="4.99"/>
    <col collapsed="false" customWidth="true" hidden="false" outlineLevel="0" max="48" min="48" style="3" width="5.32"/>
    <col collapsed="false" customWidth="true" hidden="false" outlineLevel="0" max="49" min="49" style="9" width="3.82"/>
    <col collapsed="false" customWidth="true" hidden="false" outlineLevel="0" max="51" min="50" style="10" width="3.82"/>
    <col collapsed="false" customWidth="true" hidden="false" outlineLevel="0" max="52" min="52" style="4" width="5.49"/>
  </cols>
  <sheetData>
    <row r="1" customFormat="false" ht="14.1" hidden="false" customHeight="true" outlineLevel="0" collapsed="false">
      <c r="A1" s="11"/>
      <c r="B1" s="11"/>
      <c r="D1" s="11"/>
      <c r="F1" s="11"/>
      <c r="G1" s="11"/>
      <c r="H1" s="12"/>
      <c r="I1" s="11"/>
      <c r="J1" s="11"/>
      <c r="K1" s="13" t="s">
        <v>0</v>
      </c>
      <c r="L1" s="11"/>
      <c r="M1" s="11"/>
      <c r="N1" s="11"/>
      <c r="O1" s="11"/>
      <c r="Q1" s="11"/>
      <c r="R1" s="11"/>
      <c r="S1" s="11"/>
      <c r="T1" s="11"/>
      <c r="V1" s="11"/>
      <c r="W1" s="11"/>
      <c r="Z1" s="11"/>
      <c r="AB1" s="11"/>
      <c r="AC1" s="11"/>
      <c r="AD1" s="11"/>
      <c r="AE1" s="11"/>
      <c r="AI1" s="11"/>
      <c r="AJ1" s="11"/>
      <c r="AK1" s="11"/>
      <c r="AL1" s="11"/>
      <c r="AM1" s="5"/>
    </row>
    <row r="2" customFormat="false" ht="14.1" hidden="false" customHeight="true" outlineLevel="0" collapsed="false">
      <c r="A2" s="14" t="s">
        <v>1</v>
      </c>
      <c r="B2" s="11"/>
      <c r="D2" s="15" t="n">
        <v>1.9835</v>
      </c>
      <c r="F2" s="11"/>
      <c r="G2" s="11"/>
      <c r="H2" s="12"/>
      <c r="I2" s="11"/>
      <c r="J2" s="11"/>
      <c r="K2" s="11"/>
      <c r="L2" s="13" t="s">
        <v>2</v>
      </c>
      <c r="M2" s="11"/>
      <c r="N2" s="11"/>
      <c r="O2" s="11"/>
      <c r="Q2" s="11"/>
      <c r="R2" s="11"/>
      <c r="S2" s="11"/>
      <c r="T2" s="11"/>
      <c r="V2" s="11"/>
      <c r="W2" s="11"/>
      <c r="Z2" s="11"/>
      <c r="AB2" s="11"/>
      <c r="AC2" s="11"/>
      <c r="AD2" s="11"/>
      <c r="AE2" s="11"/>
      <c r="AI2" s="11"/>
      <c r="AJ2" s="11"/>
      <c r="AK2" s="11"/>
      <c r="AL2" s="11"/>
      <c r="AM2" s="5"/>
    </row>
    <row r="3" customFormat="false" ht="14.1" hidden="false" customHeight="true" outlineLevel="0" collapsed="false">
      <c r="A3" s="16"/>
      <c r="B3" s="16"/>
      <c r="C3" s="17"/>
      <c r="D3" s="18"/>
      <c r="E3" s="17"/>
      <c r="F3" s="16"/>
      <c r="G3" s="16"/>
      <c r="H3" s="19"/>
      <c r="I3" s="16"/>
      <c r="J3" s="16"/>
      <c r="K3" s="16"/>
      <c r="L3" s="16"/>
      <c r="M3" s="16"/>
      <c r="N3" s="16"/>
      <c r="O3" s="16"/>
      <c r="P3" s="20"/>
      <c r="Q3" s="16"/>
      <c r="R3" s="16"/>
      <c r="S3" s="16"/>
      <c r="T3" s="16"/>
      <c r="U3" s="21"/>
      <c r="V3" s="16"/>
      <c r="W3" s="16"/>
      <c r="X3" s="17"/>
      <c r="Y3" s="22"/>
      <c r="Z3" s="16"/>
      <c r="AA3" s="22"/>
      <c r="AB3" s="16"/>
      <c r="AC3" s="16"/>
      <c r="AD3" s="16"/>
      <c r="AE3" s="16"/>
      <c r="AF3" s="17"/>
      <c r="AG3" s="17"/>
      <c r="AH3" s="17"/>
      <c r="AI3" s="16"/>
      <c r="AJ3" s="16"/>
      <c r="AK3" s="16"/>
      <c r="AL3" s="16"/>
      <c r="AM3" s="20"/>
      <c r="AN3" s="22"/>
      <c r="AO3" s="22"/>
      <c r="AP3" s="23"/>
      <c r="AQ3" s="24"/>
      <c r="AR3" s="25"/>
      <c r="AS3" s="26"/>
      <c r="AV3" s="27"/>
      <c r="AW3" s="28"/>
      <c r="AX3" s="29"/>
      <c r="AY3" s="30"/>
    </row>
    <row r="4" s="1" customFormat="true" ht="14.1" hidden="false" customHeight="true" outlineLevel="0" collapsed="false">
      <c r="A4" s="31"/>
      <c r="B4" s="32"/>
      <c r="C4" s="33"/>
      <c r="D4" s="34" t="s">
        <v>3</v>
      </c>
      <c r="E4" s="33"/>
      <c r="F4" s="31"/>
      <c r="G4" s="35"/>
      <c r="H4" s="35"/>
      <c r="I4" s="36" t="s">
        <v>4</v>
      </c>
      <c r="J4" s="35"/>
      <c r="K4" s="35"/>
      <c r="L4" s="37"/>
      <c r="M4" s="35"/>
      <c r="N4" s="35"/>
      <c r="O4" s="35"/>
      <c r="P4" s="38"/>
      <c r="Q4" s="35"/>
      <c r="R4" s="35"/>
      <c r="S4" s="35"/>
      <c r="T4" s="35"/>
      <c r="U4" s="38"/>
      <c r="V4" s="35"/>
      <c r="W4" s="35"/>
      <c r="X4" s="39" t="s">
        <v>5</v>
      </c>
      <c r="Y4" s="39"/>
      <c r="Z4" s="40"/>
      <c r="AA4" s="39"/>
      <c r="AB4" s="40"/>
      <c r="AC4" s="40"/>
      <c r="AD4" s="41"/>
      <c r="AE4" s="35"/>
      <c r="AF4" s="35"/>
      <c r="AG4" s="35"/>
      <c r="AH4" s="33"/>
      <c r="AI4" s="35"/>
      <c r="AJ4" s="42"/>
      <c r="AK4" s="35"/>
      <c r="AL4" s="35"/>
      <c r="AM4" s="38"/>
      <c r="AN4" s="43"/>
      <c r="AO4" s="44"/>
      <c r="AP4" s="45" t="s">
        <v>6</v>
      </c>
      <c r="AQ4" s="46"/>
      <c r="AR4" s="47"/>
      <c r="AS4" s="48"/>
      <c r="AT4" s="49"/>
      <c r="AU4" s="50"/>
      <c r="AV4" s="51"/>
      <c r="AW4" s="52" t="s">
        <v>7</v>
      </c>
      <c r="AX4" s="53"/>
      <c r="AY4" s="53"/>
      <c r="AZ4" s="54"/>
    </row>
    <row r="5" customFormat="false" ht="12.95" hidden="false" customHeight="true" outlineLevel="0" collapsed="false">
      <c r="A5" s="55" t="s">
        <v>8</v>
      </c>
      <c r="B5" s="56" t="s">
        <v>9</v>
      </c>
      <c r="C5" s="57" t="s">
        <v>9</v>
      </c>
      <c r="D5" s="58" t="s">
        <v>10</v>
      </c>
      <c r="E5" s="57" t="s">
        <v>11</v>
      </c>
      <c r="F5" s="59" t="s">
        <v>12</v>
      </c>
      <c r="G5" s="55" t="s">
        <v>13</v>
      </c>
      <c r="H5" s="55" t="s">
        <v>14</v>
      </c>
      <c r="I5" s="55" t="s">
        <v>15</v>
      </c>
      <c r="J5" s="55" t="s">
        <v>16</v>
      </c>
      <c r="K5" s="55" t="s">
        <v>17</v>
      </c>
      <c r="L5" s="55" t="s">
        <v>16</v>
      </c>
      <c r="M5" s="60" t="s">
        <v>18</v>
      </c>
      <c r="N5" s="60"/>
      <c r="O5" s="60"/>
      <c r="P5" s="60"/>
      <c r="Q5" s="60"/>
      <c r="R5" s="60"/>
      <c r="S5" s="60"/>
      <c r="T5" s="60"/>
      <c r="U5" s="60"/>
      <c r="V5" s="55" t="s">
        <v>19</v>
      </c>
      <c r="W5" s="55" t="s">
        <v>20</v>
      </c>
      <c r="X5" s="55" t="s">
        <v>17</v>
      </c>
      <c r="Y5" s="55" t="s">
        <v>17</v>
      </c>
      <c r="Z5" s="61" t="s">
        <v>21</v>
      </c>
      <c r="AA5" s="55" t="s">
        <v>21</v>
      </c>
      <c r="AB5" s="61" t="s">
        <v>21</v>
      </c>
      <c r="AC5" s="61" t="s">
        <v>22</v>
      </c>
      <c r="AD5" s="62" t="s">
        <v>21</v>
      </c>
      <c r="AE5" s="55" t="s">
        <v>23</v>
      </c>
      <c r="AF5" s="63" t="s">
        <v>24</v>
      </c>
      <c r="AG5" s="64"/>
      <c r="AH5" s="55" t="s">
        <v>25</v>
      </c>
      <c r="AI5" s="65" t="s">
        <v>26</v>
      </c>
      <c r="AJ5" s="65" t="s">
        <v>27</v>
      </c>
      <c r="AK5" s="55" t="s">
        <v>15</v>
      </c>
      <c r="AL5" s="55" t="s">
        <v>16</v>
      </c>
      <c r="AM5" s="58" t="s">
        <v>17</v>
      </c>
      <c r="AN5" s="66" t="s">
        <v>28</v>
      </c>
      <c r="AO5" s="62" t="s">
        <v>21</v>
      </c>
      <c r="AP5" s="61" t="s">
        <v>29</v>
      </c>
      <c r="AQ5" s="67" t="s">
        <v>29</v>
      </c>
      <c r="AR5" s="62" t="s">
        <v>30</v>
      </c>
      <c r="AS5" s="68" t="s">
        <v>31</v>
      </c>
      <c r="AT5" s="68" t="s">
        <v>32</v>
      </c>
      <c r="AU5" s="69" t="s">
        <v>33</v>
      </c>
      <c r="AV5" s="70" t="s">
        <v>34</v>
      </c>
      <c r="AW5" s="71" t="s">
        <v>35</v>
      </c>
      <c r="AX5" s="71" t="s">
        <v>36</v>
      </c>
      <c r="AY5" s="71"/>
      <c r="AZ5" s="72" t="s">
        <v>17</v>
      </c>
    </row>
    <row r="6" customFormat="false" ht="12.95" hidden="false" customHeight="true" outlineLevel="0" collapsed="false">
      <c r="A6" s="73" t="s">
        <v>37</v>
      </c>
      <c r="B6" s="56" t="s">
        <v>38</v>
      </c>
      <c r="C6" s="57"/>
      <c r="D6" s="58" t="s">
        <v>39</v>
      </c>
      <c r="E6" s="57" t="s">
        <v>40</v>
      </c>
      <c r="F6" s="59" t="s">
        <v>41</v>
      </c>
      <c r="G6" s="55" t="s">
        <v>42</v>
      </c>
      <c r="H6" s="55" t="s">
        <v>43</v>
      </c>
      <c r="I6" s="55" t="s">
        <v>44</v>
      </c>
      <c r="J6" s="55" t="s">
        <v>44</v>
      </c>
      <c r="K6" s="55" t="s">
        <v>44</v>
      </c>
      <c r="L6" s="55" t="s">
        <v>45</v>
      </c>
      <c r="M6" s="74" t="s">
        <v>46</v>
      </c>
      <c r="N6" s="58" t="s">
        <v>47</v>
      </c>
      <c r="O6" s="58" t="s">
        <v>48</v>
      </c>
      <c r="P6" s="75" t="s">
        <v>49</v>
      </c>
      <c r="Q6" s="58" t="s">
        <v>50</v>
      </c>
      <c r="R6" s="58" t="s">
        <v>51</v>
      </c>
      <c r="S6" s="58"/>
      <c r="T6" s="58" t="s">
        <v>48</v>
      </c>
      <c r="U6" s="76" t="s">
        <v>52</v>
      </c>
      <c r="V6" s="55" t="s">
        <v>53</v>
      </c>
      <c r="W6" s="55" t="s">
        <v>54</v>
      </c>
      <c r="X6" s="55" t="s">
        <v>21</v>
      </c>
      <c r="Y6" s="55" t="s">
        <v>21</v>
      </c>
      <c r="Z6" s="61" t="s">
        <v>55</v>
      </c>
      <c r="AA6" s="55" t="s">
        <v>55</v>
      </c>
      <c r="AB6" s="61" t="s">
        <v>56</v>
      </c>
      <c r="AC6" s="61" t="s">
        <v>57</v>
      </c>
      <c r="AD6" s="62" t="s">
        <v>58</v>
      </c>
      <c r="AE6" s="55" t="s">
        <v>59</v>
      </c>
      <c r="AF6" s="74" t="s">
        <v>60</v>
      </c>
      <c r="AG6" s="77" t="s">
        <v>61</v>
      </c>
      <c r="AH6" s="55" t="s">
        <v>62</v>
      </c>
      <c r="AI6" s="65" t="s">
        <v>63</v>
      </c>
      <c r="AJ6" s="65"/>
      <c r="AK6" s="55" t="s">
        <v>64</v>
      </c>
      <c r="AL6" s="55" t="s">
        <v>64</v>
      </c>
      <c r="AM6" s="58" t="s">
        <v>64</v>
      </c>
      <c r="AN6" s="66" t="s">
        <v>65</v>
      </c>
      <c r="AO6" s="62" t="s">
        <v>66</v>
      </c>
      <c r="AP6" s="61" t="s">
        <v>67</v>
      </c>
      <c r="AQ6" s="67" t="s">
        <v>67</v>
      </c>
      <c r="AR6" s="62" t="s">
        <v>68</v>
      </c>
      <c r="AS6" s="68" t="s">
        <v>69</v>
      </c>
      <c r="AT6" s="68" t="s">
        <v>70</v>
      </c>
      <c r="AU6" s="69" t="s">
        <v>71</v>
      </c>
      <c r="AV6" s="78"/>
      <c r="AW6" s="71" t="s">
        <v>72</v>
      </c>
      <c r="AX6" s="71" t="s">
        <v>72</v>
      </c>
      <c r="AY6" s="71"/>
      <c r="AZ6" s="72" t="s">
        <v>73</v>
      </c>
    </row>
    <row r="7" customFormat="false" ht="12.95" hidden="false" customHeight="true" outlineLevel="0" collapsed="false">
      <c r="A7" s="55"/>
      <c r="B7" s="56"/>
      <c r="C7" s="57"/>
      <c r="D7" s="58"/>
      <c r="E7" s="57"/>
      <c r="F7" s="59"/>
      <c r="G7" s="55"/>
      <c r="H7" s="55"/>
      <c r="I7" s="55"/>
      <c r="J7" s="55"/>
      <c r="K7" s="55"/>
      <c r="L7" s="77"/>
      <c r="M7" s="58"/>
      <c r="N7" s="58" t="s">
        <v>74</v>
      </c>
      <c r="O7" s="58" t="s">
        <v>75</v>
      </c>
      <c r="P7" s="75"/>
      <c r="Q7" s="58" t="s">
        <v>76</v>
      </c>
      <c r="R7" s="58" t="s">
        <v>76</v>
      </c>
      <c r="S7" s="58" t="s">
        <v>61</v>
      </c>
      <c r="T7" s="58" t="s">
        <v>61</v>
      </c>
      <c r="U7" s="76" t="s">
        <v>77</v>
      </c>
      <c r="V7" s="55"/>
      <c r="W7" s="55"/>
      <c r="X7" s="65" t="s">
        <v>78</v>
      </c>
      <c r="Y7" s="57" t="s">
        <v>79</v>
      </c>
      <c r="Z7" s="61" t="s">
        <v>80</v>
      </c>
      <c r="AA7" s="55" t="s">
        <v>81</v>
      </c>
      <c r="AB7" s="61" t="s">
        <v>82</v>
      </c>
      <c r="AC7" s="61"/>
      <c r="AD7" s="62"/>
      <c r="AE7" s="77"/>
      <c r="AF7" s="79" t="n">
        <v>1.7</v>
      </c>
      <c r="AG7" s="79" t="n">
        <v>1.3</v>
      </c>
      <c r="AH7" s="74"/>
      <c r="AI7" s="80" t="n">
        <v>31798</v>
      </c>
      <c r="AJ7" s="65"/>
      <c r="AK7" s="55"/>
      <c r="AL7" s="55"/>
      <c r="AM7" s="58"/>
      <c r="AN7" s="66"/>
      <c r="AO7" s="62"/>
      <c r="AP7" s="61" t="s">
        <v>83</v>
      </c>
      <c r="AQ7" s="67" t="s">
        <v>84</v>
      </c>
      <c r="AR7" s="62" t="s">
        <v>85</v>
      </c>
      <c r="AS7" s="68" t="s">
        <v>86</v>
      </c>
      <c r="AT7" s="68" t="s">
        <v>87</v>
      </c>
      <c r="AU7" s="69" t="s">
        <v>88</v>
      </c>
      <c r="AV7" s="78"/>
      <c r="AW7" s="71"/>
      <c r="AX7" s="71"/>
      <c r="AY7" s="71"/>
      <c r="AZ7" s="72" t="s">
        <v>89</v>
      </c>
    </row>
    <row r="8" customFormat="false" ht="12.95" hidden="false" customHeight="true" outlineLevel="0" collapsed="false">
      <c r="A8" s="55"/>
      <c r="B8" s="56"/>
      <c r="C8" s="57"/>
      <c r="D8" s="58"/>
      <c r="E8" s="57"/>
      <c r="F8" s="59"/>
      <c r="G8" s="55"/>
      <c r="H8" s="55"/>
      <c r="I8" s="55"/>
      <c r="J8" s="55"/>
      <c r="K8" s="55"/>
      <c r="L8" s="77"/>
      <c r="M8" s="58"/>
      <c r="N8" s="58"/>
      <c r="O8" s="58"/>
      <c r="P8" s="75"/>
      <c r="Q8" s="58" t="s">
        <v>61</v>
      </c>
      <c r="R8" s="58" t="s">
        <v>61</v>
      </c>
      <c r="S8" s="58"/>
      <c r="T8" s="58"/>
      <c r="U8" s="76"/>
      <c r="V8" s="55"/>
      <c r="W8" s="55"/>
      <c r="X8" s="65" t="s">
        <v>90</v>
      </c>
      <c r="Y8" s="57" t="s">
        <v>78</v>
      </c>
      <c r="Z8" s="61"/>
      <c r="AA8" s="57" t="s">
        <v>91</v>
      </c>
      <c r="AB8" s="61" t="s">
        <v>92</v>
      </c>
      <c r="AC8" s="61"/>
      <c r="AD8" s="62"/>
      <c r="AE8" s="77"/>
      <c r="AF8" s="79"/>
      <c r="AG8" s="79"/>
      <c r="AH8" s="74"/>
      <c r="AI8" s="80"/>
      <c r="AJ8" s="65"/>
      <c r="AK8" s="55"/>
      <c r="AL8" s="55"/>
      <c r="AM8" s="58"/>
      <c r="AN8" s="66"/>
      <c r="AO8" s="62"/>
      <c r="AP8" s="61"/>
      <c r="AQ8" s="67"/>
      <c r="AR8" s="62"/>
      <c r="AS8" s="68"/>
      <c r="AT8" s="68"/>
      <c r="AU8" s="69"/>
      <c r="AV8" s="78"/>
      <c r="AW8" s="71"/>
      <c r="AX8" s="71"/>
      <c r="AY8" s="71"/>
      <c r="AZ8" s="72"/>
    </row>
    <row r="9" customFormat="false" ht="12.95" hidden="false" customHeight="true" outlineLevel="0" collapsed="false">
      <c r="A9" s="55"/>
      <c r="B9" s="56"/>
      <c r="C9" s="57"/>
      <c r="D9" s="58"/>
      <c r="E9" s="57"/>
      <c r="F9" s="59"/>
      <c r="G9" s="55"/>
      <c r="H9" s="55"/>
      <c r="I9" s="55"/>
      <c r="J9" s="55"/>
      <c r="K9" s="55"/>
      <c r="L9" s="77"/>
      <c r="M9" s="58"/>
      <c r="N9" s="58"/>
      <c r="O9" s="58"/>
      <c r="P9" s="75"/>
      <c r="Q9" s="58"/>
      <c r="R9" s="81" t="n">
        <v>4.2</v>
      </c>
      <c r="S9" s="58"/>
      <c r="T9" s="58"/>
      <c r="U9" s="76"/>
      <c r="V9" s="55"/>
      <c r="W9" s="55"/>
      <c r="X9" s="65"/>
      <c r="Y9" s="57" t="s">
        <v>90</v>
      </c>
      <c r="Z9" s="61"/>
      <c r="AA9" s="57" t="s">
        <v>90</v>
      </c>
      <c r="AB9" s="61" t="s">
        <v>93</v>
      </c>
      <c r="AC9" s="61"/>
      <c r="AD9" s="62"/>
      <c r="AE9" s="77"/>
      <c r="AF9" s="79"/>
      <c r="AG9" s="79"/>
      <c r="AH9" s="74"/>
      <c r="AI9" s="80"/>
      <c r="AJ9" s="65"/>
      <c r="AK9" s="55"/>
      <c r="AL9" s="55"/>
      <c r="AM9" s="58"/>
      <c r="AN9" s="66"/>
      <c r="AO9" s="62"/>
      <c r="AP9" s="61"/>
      <c r="AQ9" s="67"/>
      <c r="AR9" s="62"/>
      <c r="AS9" s="68"/>
      <c r="AT9" s="68"/>
      <c r="AU9" s="69"/>
      <c r="AV9" s="78"/>
      <c r="AW9" s="71"/>
      <c r="AX9" s="71"/>
      <c r="AY9" s="71"/>
      <c r="AZ9" s="72"/>
    </row>
    <row r="10" customFormat="false" ht="12.95" hidden="false" customHeight="true" outlineLevel="0" collapsed="false">
      <c r="A10" s="55"/>
      <c r="B10" s="56"/>
      <c r="C10" s="57" t="s">
        <v>94</v>
      </c>
      <c r="D10" s="58"/>
      <c r="E10" s="57" t="s">
        <v>95</v>
      </c>
      <c r="F10" s="59"/>
      <c r="G10" s="58" t="s">
        <v>41</v>
      </c>
      <c r="H10" s="58" t="s">
        <v>41</v>
      </c>
      <c r="I10" s="58" t="s">
        <v>41</v>
      </c>
      <c r="J10" s="58" t="s">
        <v>41</v>
      </c>
      <c r="K10" s="58" t="s">
        <v>41</v>
      </c>
      <c r="L10" s="77" t="s">
        <v>41</v>
      </c>
      <c r="M10" s="58" t="s">
        <v>41</v>
      </c>
      <c r="N10" s="58" t="s">
        <v>41</v>
      </c>
      <c r="O10" s="58" t="s">
        <v>41</v>
      </c>
      <c r="P10" s="58" t="s">
        <v>41</v>
      </c>
      <c r="Q10" s="58" t="s">
        <v>41</v>
      </c>
      <c r="R10" s="58" t="s">
        <v>41</v>
      </c>
      <c r="S10" s="58" t="s">
        <v>41</v>
      </c>
      <c r="T10" s="58" t="s">
        <v>41</v>
      </c>
      <c r="U10" s="77" t="s">
        <v>41</v>
      </c>
      <c r="V10" s="58" t="s">
        <v>41</v>
      </c>
      <c r="W10" s="58" t="s">
        <v>41</v>
      </c>
      <c r="X10" s="57" t="n">
        <v>153400</v>
      </c>
      <c r="Y10" s="57" t="n">
        <v>150400</v>
      </c>
      <c r="Z10" s="58"/>
      <c r="AA10" s="57"/>
      <c r="AB10" s="57" t="n">
        <v>72000</v>
      </c>
      <c r="AC10" s="58" t="s">
        <v>41</v>
      </c>
      <c r="AD10" s="58" t="s">
        <v>41</v>
      </c>
      <c r="AE10" s="77" t="s">
        <v>41</v>
      </c>
      <c r="AF10" s="58" t="s">
        <v>41</v>
      </c>
      <c r="AG10" s="58" t="s">
        <v>41</v>
      </c>
      <c r="AH10" s="74" t="s">
        <v>41</v>
      </c>
      <c r="AI10" s="58" t="s">
        <v>41</v>
      </c>
      <c r="AJ10" s="58" t="s">
        <v>41</v>
      </c>
      <c r="AK10" s="58" t="s">
        <v>41</v>
      </c>
      <c r="AL10" s="58" t="s">
        <v>41</v>
      </c>
      <c r="AM10" s="58" t="s">
        <v>41</v>
      </c>
      <c r="AN10" s="62" t="s">
        <v>41</v>
      </c>
      <c r="AO10" s="62" t="s">
        <v>41</v>
      </c>
      <c r="AP10" s="62" t="s">
        <v>41</v>
      </c>
      <c r="AQ10" s="67" t="s">
        <v>96</v>
      </c>
      <c r="AR10" s="62" t="s">
        <v>41</v>
      </c>
      <c r="AS10" s="62" t="s">
        <v>41</v>
      </c>
      <c r="AT10" s="62" t="s">
        <v>41</v>
      </c>
      <c r="AU10" s="67" t="s">
        <v>41</v>
      </c>
      <c r="AV10" s="78"/>
      <c r="AW10" s="71"/>
      <c r="AX10" s="71"/>
      <c r="AY10" s="71"/>
      <c r="AZ10" s="72" t="s">
        <v>97</v>
      </c>
    </row>
    <row r="11" customFormat="false" ht="12.95" hidden="false" customHeight="true" outlineLevel="0" collapsed="false">
      <c r="A11" s="55"/>
      <c r="B11" s="56"/>
      <c r="C11" s="57"/>
      <c r="D11" s="58"/>
      <c r="E11" s="57"/>
      <c r="F11" s="59"/>
      <c r="G11" s="55"/>
      <c r="H11" s="55"/>
      <c r="I11" s="55"/>
      <c r="J11" s="55"/>
      <c r="K11" s="55"/>
      <c r="L11" s="77"/>
      <c r="M11" s="58"/>
      <c r="N11" s="46" t="n">
        <v>1.03</v>
      </c>
      <c r="O11" s="46" t="n">
        <v>1.05</v>
      </c>
      <c r="P11" s="46" t="n">
        <v>1.02</v>
      </c>
      <c r="Q11" s="82" t="n">
        <v>1.02</v>
      </c>
      <c r="R11" s="83" t="n">
        <v>1.04</v>
      </c>
      <c r="S11" s="58"/>
      <c r="T11" s="82" t="n">
        <v>1.04</v>
      </c>
      <c r="U11" s="76"/>
      <c r="V11" s="55"/>
      <c r="W11" s="55"/>
      <c r="X11" s="58" t="s">
        <v>41</v>
      </c>
      <c r="Y11" s="58" t="s">
        <v>41</v>
      </c>
      <c r="Z11" s="58" t="s">
        <v>41</v>
      </c>
      <c r="AA11" s="57" t="s">
        <v>41</v>
      </c>
      <c r="AB11" s="84" t="s">
        <v>98</v>
      </c>
      <c r="AC11" s="61"/>
      <c r="AD11" s="61"/>
      <c r="AE11" s="85"/>
      <c r="AF11" s="79"/>
      <c r="AG11" s="79"/>
      <c r="AH11" s="74"/>
      <c r="AI11" s="80"/>
      <c r="AJ11" s="86"/>
      <c r="AK11" s="55"/>
      <c r="AL11" s="55"/>
      <c r="AM11" s="58"/>
      <c r="AN11" s="66"/>
      <c r="AO11" s="62"/>
      <c r="AP11" s="61"/>
      <c r="AQ11" s="67"/>
      <c r="AR11" s="67"/>
      <c r="AS11" s="87"/>
      <c r="AT11" s="87"/>
      <c r="AU11" s="88"/>
      <c r="AV11" s="78"/>
      <c r="AW11" s="71"/>
      <c r="AX11" s="71"/>
      <c r="AY11" s="71"/>
      <c r="AZ11" s="72" t="s">
        <v>41</v>
      </c>
    </row>
    <row r="12" customFormat="false" ht="12.95" hidden="false" customHeight="true" outlineLevel="0" collapsed="false">
      <c r="A12" s="14" t="s">
        <v>99</v>
      </c>
      <c r="B12" s="89"/>
      <c r="C12" s="90"/>
      <c r="D12" s="90"/>
      <c r="E12" s="90"/>
      <c r="F12" s="91"/>
      <c r="G12" s="2"/>
      <c r="H12" s="9"/>
      <c r="I12" s="2"/>
      <c r="J12" s="2"/>
      <c r="K12" s="2"/>
      <c r="L12" s="2"/>
      <c r="M12" s="92"/>
      <c r="N12" s="90"/>
      <c r="O12" s="90"/>
      <c r="P12" s="93"/>
      <c r="Q12" s="94"/>
      <c r="R12" s="95"/>
      <c r="S12" s="94"/>
      <c r="T12" s="94"/>
      <c r="U12" s="96"/>
      <c r="V12" s="80"/>
      <c r="W12" s="80"/>
      <c r="X12" s="80"/>
      <c r="Y12" s="97"/>
      <c r="Z12" s="80"/>
      <c r="AA12" s="97"/>
      <c r="AB12" s="80"/>
      <c r="AC12" s="80"/>
      <c r="AD12" s="80"/>
      <c r="AE12" s="80"/>
      <c r="AF12" s="98"/>
      <c r="AG12" s="99"/>
      <c r="AH12" s="80"/>
      <c r="AI12" s="86"/>
      <c r="AJ12" s="86"/>
      <c r="AK12" s="80"/>
      <c r="AL12" s="80"/>
      <c r="AM12" s="80"/>
      <c r="AN12" s="100"/>
      <c r="AO12" s="97"/>
      <c r="AP12" s="101"/>
      <c r="AQ12" s="101"/>
      <c r="AR12" s="101"/>
      <c r="AS12" s="101"/>
      <c r="AV12" s="102"/>
      <c r="AW12" s="103"/>
      <c r="AX12" s="103"/>
      <c r="AY12" s="103"/>
      <c r="AZ12" s="104"/>
    </row>
    <row r="13" s="108" customFormat="true" ht="12.95" hidden="false" customHeight="true" outlineLevel="0" collapsed="false">
      <c r="A13" s="105" t="s">
        <v>100</v>
      </c>
      <c r="B13" s="106" t="n">
        <v>6902.69</v>
      </c>
      <c r="C13" s="107" t="n">
        <v>293611</v>
      </c>
      <c r="D13" s="90"/>
      <c r="E13" s="90"/>
      <c r="F13" s="91"/>
      <c r="G13" s="2"/>
      <c r="H13" s="9"/>
      <c r="I13" s="2"/>
      <c r="J13" s="2"/>
      <c r="K13" s="2"/>
      <c r="L13" s="2"/>
      <c r="M13" s="92"/>
      <c r="N13" s="90"/>
      <c r="O13" s="90"/>
      <c r="P13" s="93"/>
      <c r="Q13" s="94"/>
      <c r="R13" s="94"/>
      <c r="S13" s="94"/>
      <c r="T13" s="94"/>
      <c r="U13" s="96"/>
      <c r="V13" s="80"/>
      <c r="W13" s="80"/>
      <c r="X13" s="80"/>
      <c r="Y13" s="97"/>
      <c r="Z13" s="80"/>
      <c r="AA13" s="97"/>
      <c r="AB13" s="80"/>
      <c r="AC13" s="80"/>
      <c r="AD13" s="80"/>
      <c r="AE13" s="80"/>
      <c r="AF13" s="98"/>
      <c r="AG13" s="99"/>
      <c r="AH13" s="107"/>
      <c r="AI13" s="107" t="n">
        <v>5351</v>
      </c>
      <c r="AJ13" s="107"/>
      <c r="AK13" s="80"/>
      <c r="AL13" s="80"/>
      <c r="AM13" s="80"/>
      <c r="AN13" s="100"/>
      <c r="AO13" s="97" t="n">
        <v>0</v>
      </c>
      <c r="AP13" s="80"/>
      <c r="AQ13" s="80"/>
      <c r="AR13" s="80"/>
      <c r="AS13" s="80"/>
      <c r="AT13" s="2"/>
      <c r="AU13" s="8"/>
      <c r="AV13" s="102"/>
      <c r="AW13" s="103"/>
      <c r="AX13" s="103"/>
      <c r="AY13" s="103"/>
      <c r="AZ13" s="104"/>
    </row>
    <row r="14" customFormat="false" ht="3" hidden="false" customHeight="true" outlineLevel="0" collapsed="false">
      <c r="A14" s="109"/>
      <c r="B14" s="110"/>
      <c r="C14" s="111"/>
      <c r="D14" s="109"/>
      <c r="E14" s="111"/>
      <c r="F14" s="112"/>
      <c r="G14" s="109"/>
      <c r="H14" s="113"/>
      <c r="I14" s="109"/>
      <c r="J14" s="109"/>
      <c r="K14" s="109"/>
      <c r="L14" s="109"/>
      <c r="M14" s="114"/>
      <c r="N14" s="109"/>
      <c r="O14" s="109"/>
      <c r="P14" s="115"/>
      <c r="Q14" s="116"/>
      <c r="R14" s="116"/>
      <c r="S14" s="116"/>
      <c r="T14" s="116"/>
      <c r="U14" s="117"/>
      <c r="V14" s="116"/>
      <c r="W14" s="116"/>
      <c r="X14" s="116"/>
      <c r="Y14" s="118"/>
      <c r="Z14" s="119"/>
      <c r="AA14" s="118"/>
      <c r="AB14" s="119"/>
      <c r="AC14" s="119"/>
      <c r="AD14" s="119"/>
      <c r="AE14" s="116"/>
      <c r="AF14" s="120"/>
      <c r="AG14" s="121"/>
      <c r="AH14" s="116"/>
      <c r="AI14" s="119"/>
      <c r="AJ14" s="119"/>
      <c r="AK14" s="116"/>
      <c r="AL14" s="116"/>
      <c r="AM14" s="116"/>
      <c r="AN14" s="122"/>
      <c r="AO14" s="118"/>
      <c r="AP14" s="123"/>
      <c r="AQ14" s="123"/>
      <c r="AR14" s="123"/>
      <c r="AS14" s="123"/>
      <c r="AT14" s="123"/>
      <c r="AU14" s="124"/>
      <c r="AV14" s="125"/>
      <c r="AW14" s="123"/>
      <c r="AX14" s="123"/>
      <c r="AY14" s="123"/>
      <c r="AZ14" s="118"/>
    </row>
    <row r="15" customFormat="false" ht="12.95" hidden="false" customHeight="true" outlineLevel="0" collapsed="false">
      <c r="A15" s="10" t="n">
        <v>1</v>
      </c>
      <c r="B15" s="126" t="n">
        <v>6902.67</v>
      </c>
      <c r="C15" s="90" t="n">
        <v>293536</v>
      </c>
      <c r="D15" s="127" t="n">
        <f aca="false">C15-C13</f>
        <v>-75</v>
      </c>
      <c r="E15" s="90" t="n">
        <f aca="false">C15-152000</f>
        <v>141536</v>
      </c>
      <c r="F15" s="128" t="n">
        <f aca="false">D15/$D$2</f>
        <v>-37.8119485757499</v>
      </c>
      <c r="G15" s="11" t="n">
        <v>80</v>
      </c>
      <c r="H15" s="12" t="n">
        <v>0</v>
      </c>
      <c r="I15" s="11" t="n">
        <f aca="false">G15+H15</f>
        <v>80</v>
      </c>
      <c r="J15" s="4" t="n">
        <f aca="false">IF(L15&gt;0,L15,0)</f>
        <v>0</v>
      </c>
      <c r="K15" s="11" t="n">
        <f aca="false">I15+J15</f>
        <v>80</v>
      </c>
      <c r="L15" s="11" t="n">
        <f aca="false">F15-(I15-AK15)</f>
        <v>-13.2119485757499</v>
      </c>
      <c r="M15" s="129" t="n">
        <v>3.6</v>
      </c>
      <c r="N15" s="130" t="n">
        <v>0</v>
      </c>
      <c r="O15" s="130" t="n">
        <v>0</v>
      </c>
      <c r="P15" s="93" t="n">
        <v>0</v>
      </c>
      <c r="Q15" s="131" t="n">
        <f aca="false">876900/325851/1.9835*1.02</f>
        <v>1.38388173982164</v>
      </c>
      <c r="R15" s="131" t="n">
        <f aca="false">((2.4)*1.04)-T15</f>
        <v>1.82166192</v>
      </c>
      <c r="S15" s="132" t="n">
        <v>0</v>
      </c>
      <c r="T15" s="133" t="n">
        <f aca="false">(0.6117*1.06)*1.04</f>
        <v>0.67433808</v>
      </c>
      <c r="U15" s="96" t="n">
        <f aca="false">M15-(Q15+R15+S15+T15)</f>
        <v>-0.279881739821641</v>
      </c>
      <c r="V15" s="134" t="n">
        <v>73</v>
      </c>
      <c r="W15" s="134" t="n">
        <v>0</v>
      </c>
      <c r="X15" s="135" t="n">
        <f aca="false">M15-N15-P15-O15-Q15-R15-S15-T15-U15+V15+W15</f>
        <v>73</v>
      </c>
      <c r="Y15" s="136" t="n">
        <f aca="false">X15-AO15</f>
        <v>73</v>
      </c>
      <c r="Z15" s="80"/>
      <c r="AA15" s="136"/>
      <c r="AB15" s="80"/>
      <c r="AC15" s="134" t="n">
        <v>0</v>
      </c>
      <c r="AD15" s="80"/>
      <c r="AE15" s="134" t="n">
        <v>0</v>
      </c>
      <c r="AF15" s="137"/>
      <c r="AG15" s="138"/>
      <c r="AH15" s="134" t="n">
        <v>28</v>
      </c>
      <c r="AI15" s="80" t="n">
        <f aca="false">AI13-AH15</f>
        <v>5323</v>
      </c>
      <c r="AJ15" s="80"/>
      <c r="AK15" s="134" t="n">
        <f aca="false">N15+O15+P15+Q15+R15+S15+T15+U15+X15+AE15+AH15</f>
        <v>104.6</v>
      </c>
      <c r="AL15" s="134" t="n">
        <f aca="false">IF(L15&lt;0,L15*-1,0)</f>
        <v>13.2119485757499</v>
      </c>
      <c r="AM15" s="134" t="n">
        <f aca="false">AK15+AL15</f>
        <v>117.81194857575</v>
      </c>
      <c r="AN15" s="100" t="n">
        <f aca="false">V15</f>
        <v>73</v>
      </c>
      <c r="AO15" s="97"/>
      <c r="AP15" s="101"/>
      <c r="AQ15" s="101"/>
      <c r="AR15" s="101"/>
      <c r="AS15" s="101"/>
      <c r="AU15" s="5" t="n">
        <f aca="false">21*1.05</f>
        <v>22.05</v>
      </c>
      <c r="AV15" s="139" t="n">
        <v>0</v>
      </c>
      <c r="AW15" s="103" t="n">
        <v>61</v>
      </c>
      <c r="AX15" s="103" t="n">
        <v>35</v>
      </c>
      <c r="AY15" s="103"/>
      <c r="AZ15" s="104" t="n">
        <f aca="false">SUM(N15,P15:U15)</f>
        <v>3.6</v>
      </c>
    </row>
    <row r="16" customFormat="false" ht="12.95" hidden="false" customHeight="true" outlineLevel="0" collapsed="false">
      <c r="A16" s="10" t="n">
        <f aca="false">A15+1</f>
        <v>2</v>
      </c>
      <c r="B16" s="126" t="n">
        <v>6902.65</v>
      </c>
      <c r="C16" s="90" t="n">
        <v>293460</v>
      </c>
      <c r="D16" s="127" t="n">
        <f aca="false">C16-C15</f>
        <v>-76</v>
      </c>
      <c r="E16" s="90" t="n">
        <f aca="false">C16-152000</f>
        <v>141460</v>
      </c>
      <c r="F16" s="128" t="n">
        <f aca="false">D16/$D$2</f>
        <v>-38.3161078900933</v>
      </c>
      <c r="G16" s="11" t="n">
        <v>80</v>
      </c>
      <c r="H16" s="12" t="n">
        <v>0</v>
      </c>
      <c r="I16" s="11" t="n">
        <f aca="false">G16+H16</f>
        <v>80</v>
      </c>
      <c r="J16" s="4" t="n">
        <f aca="false">IF(L16&gt;0,L16,0)</f>
        <v>0</v>
      </c>
      <c r="K16" s="11" t="n">
        <f aca="false">I16+J16</f>
        <v>80</v>
      </c>
      <c r="L16" s="11" t="n">
        <f aca="false">F16-(I16-AK16)</f>
        <v>-14.4161078900933</v>
      </c>
      <c r="M16" s="129" t="n">
        <v>3.9</v>
      </c>
      <c r="N16" s="130" t="n">
        <v>0</v>
      </c>
      <c r="O16" s="130" t="n">
        <v>0</v>
      </c>
      <c r="P16" s="93" t="n">
        <v>0</v>
      </c>
      <c r="Q16" s="131" t="n">
        <f aca="false">1003000/325851/1.9835*1.02</f>
        <v>1.58288674311906</v>
      </c>
      <c r="R16" s="131" t="n">
        <f aca="false">((2.4)*1.04)-T16</f>
        <v>1.82166192</v>
      </c>
      <c r="S16" s="131" t="n">
        <v>0</v>
      </c>
      <c r="T16" s="133" t="n">
        <f aca="false">(0.6117*1.06)*1.04</f>
        <v>0.67433808</v>
      </c>
      <c r="U16" s="96" t="n">
        <f aca="false">M16-(Q16+R16+S16+T16)</f>
        <v>-0.178886743119063</v>
      </c>
      <c r="V16" s="134" t="n">
        <v>72</v>
      </c>
      <c r="W16" s="134" t="n">
        <v>0</v>
      </c>
      <c r="X16" s="135" t="n">
        <f aca="false">M16-N16-P16-O16-Q16-R16-S16-T16-U16+V16+W16</f>
        <v>72</v>
      </c>
      <c r="Y16" s="136" t="n">
        <f aca="false">X16-AO16</f>
        <v>72</v>
      </c>
      <c r="Z16" s="80"/>
      <c r="AA16" s="136"/>
      <c r="AB16" s="80"/>
      <c r="AC16" s="134" t="n">
        <v>0</v>
      </c>
      <c r="AD16" s="80"/>
      <c r="AE16" s="134" t="n">
        <v>0</v>
      </c>
      <c r="AF16" s="137"/>
      <c r="AG16" s="138"/>
      <c r="AH16" s="134" t="n">
        <v>28</v>
      </c>
      <c r="AI16" s="80" t="n">
        <f aca="false">AI15-AH16</f>
        <v>5295</v>
      </c>
      <c r="AJ16" s="80"/>
      <c r="AK16" s="134" t="n">
        <f aca="false">N16+O16+P16+Q16+R16+S16+T16+U16+X16+AE16+AH16</f>
        <v>103.9</v>
      </c>
      <c r="AL16" s="134" t="n">
        <f aca="false">IF(L16&lt;0,L16*-1,0)</f>
        <v>14.4161078900933</v>
      </c>
      <c r="AM16" s="134" t="n">
        <f aca="false">AK16+AL16</f>
        <v>118.316107890093</v>
      </c>
      <c r="AN16" s="100" t="n">
        <f aca="false">V16</f>
        <v>72</v>
      </c>
      <c r="AO16" s="97"/>
      <c r="AP16" s="101"/>
      <c r="AQ16" s="101"/>
      <c r="AR16" s="101"/>
      <c r="AS16" s="101"/>
      <c r="AU16" s="5" t="n">
        <f aca="false">20*1.05</f>
        <v>21</v>
      </c>
      <c r="AV16" s="102" t="n">
        <v>0</v>
      </c>
      <c r="AW16" s="103" t="n">
        <v>48</v>
      </c>
      <c r="AX16" s="103" t="n">
        <v>28</v>
      </c>
      <c r="AY16" s="103"/>
      <c r="AZ16" s="104" t="n">
        <f aca="false">SUM(N16,P16:U16)</f>
        <v>3.9</v>
      </c>
    </row>
    <row r="17" customFormat="false" ht="12.95" hidden="false" customHeight="true" outlineLevel="0" collapsed="false">
      <c r="A17" s="10" t="n">
        <f aca="false">A16+1</f>
        <v>3</v>
      </c>
      <c r="B17" s="126" t="n">
        <v>6902.63</v>
      </c>
      <c r="C17" s="90" t="n">
        <v>293385</v>
      </c>
      <c r="D17" s="127" t="n">
        <f aca="false">C17-C16</f>
        <v>-75</v>
      </c>
      <c r="E17" s="90" t="n">
        <f aca="false">C17-152000</f>
        <v>141385</v>
      </c>
      <c r="F17" s="128" t="n">
        <f aca="false">D17/$D$2</f>
        <v>-37.8119485757499</v>
      </c>
      <c r="G17" s="11" t="n">
        <v>74</v>
      </c>
      <c r="H17" s="12" t="n">
        <v>0</v>
      </c>
      <c r="I17" s="11" t="n">
        <f aca="false">G17+H17</f>
        <v>74</v>
      </c>
      <c r="J17" s="4" t="n">
        <f aca="false">IF(L17&gt;0,L17,0)</f>
        <v>0</v>
      </c>
      <c r="K17" s="11" t="n">
        <f aca="false">I17+J17</f>
        <v>74</v>
      </c>
      <c r="L17" s="11" t="n">
        <f aca="false">F17-(I17-AK17)</f>
        <v>-10.9119485757499</v>
      </c>
      <c r="M17" s="129" t="n">
        <v>3.9</v>
      </c>
      <c r="N17" s="130" t="n">
        <v>0</v>
      </c>
      <c r="O17" s="130" t="n">
        <v>0</v>
      </c>
      <c r="P17" s="93" t="n">
        <v>0</v>
      </c>
      <c r="Q17" s="131" t="n">
        <f aca="false">1034000/325851/1.9835*1.02</f>
        <v>1.63180946399313</v>
      </c>
      <c r="R17" s="131" t="n">
        <f aca="false">((2.2)*1.04)-T17</f>
        <v>1.61366192</v>
      </c>
      <c r="S17" s="131" t="n">
        <v>0</v>
      </c>
      <c r="T17" s="133" t="n">
        <f aca="false">(0.6117*1.06)*1.04</f>
        <v>0.67433808</v>
      </c>
      <c r="U17" s="96" t="n">
        <f aca="false">M17-(Q17+R17+S17+T17)</f>
        <v>-0.0198094639931319</v>
      </c>
      <c r="V17" s="134" t="n">
        <v>69</v>
      </c>
      <c r="W17" s="134" t="n">
        <v>0</v>
      </c>
      <c r="X17" s="135" t="n">
        <f aca="false">M17-N17-P17-O17-Q17-R17-S17-T17-U17+V17+W17</f>
        <v>69</v>
      </c>
      <c r="Y17" s="136" t="n">
        <f aca="false">X17-AO17</f>
        <v>69</v>
      </c>
      <c r="Z17" s="80"/>
      <c r="AA17" s="136"/>
      <c r="AB17" s="80"/>
      <c r="AC17" s="134" t="n">
        <v>0</v>
      </c>
      <c r="AD17" s="80"/>
      <c r="AE17" s="134" t="n">
        <v>0</v>
      </c>
      <c r="AF17" s="137"/>
      <c r="AG17" s="138"/>
      <c r="AH17" s="134" t="n">
        <v>28</v>
      </c>
      <c r="AI17" s="80" t="n">
        <f aca="false">AI16-AH17</f>
        <v>5267</v>
      </c>
      <c r="AJ17" s="80"/>
      <c r="AK17" s="134" t="n">
        <f aca="false">N17+O17+P17+Q17+R17+S17+T17+U17+X17+AE17+AH17</f>
        <v>100.9</v>
      </c>
      <c r="AL17" s="134" t="n">
        <f aca="false">IF(L17&lt;0,L17*-1,0)</f>
        <v>10.9119485757499</v>
      </c>
      <c r="AM17" s="134" t="n">
        <f aca="false">AK17+AL17</f>
        <v>111.81194857575</v>
      </c>
      <c r="AN17" s="100" t="n">
        <f aca="false">V17</f>
        <v>69</v>
      </c>
      <c r="AO17" s="97"/>
      <c r="AP17" s="101"/>
      <c r="AQ17" s="101"/>
      <c r="AR17" s="101"/>
      <c r="AS17" s="101"/>
      <c r="AU17" s="5" t="n">
        <f aca="false">1*1.05</f>
        <v>1.05</v>
      </c>
      <c r="AV17" s="102" t="n">
        <v>0</v>
      </c>
      <c r="AW17" s="103" t="n">
        <v>52</v>
      </c>
      <c r="AX17" s="103" t="n">
        <v>23</v>
      </c>
      <c r="AY17" s="103"/>
      <c r="AZ17" s="104" t="n">
        <f aca="false">SUM(N17,P17:U17)</f>
        <v>3.9</v>
      </c>
    </row>
    <row r="18" customFormat="false" ht="12.95" hidden="false" customHeight="true" outlineLevel="0" collapsed="false">
      <c r="A18" s="10" t="n">
        <f aca="false">A17+1</f>
        <v>4</v>
      </c>
      <c r="B18" s="126" t="n">
        <v>6902.61</v>
      </c>
      <c r="C18" s="90" t="n">
        <v>293310</v>
      </c>
      <c r="D18" s="127" t="n">
        <f aca="false">C18-C17</f>
        <v>-75</v>
      </c>
      <c r="E18" s="90" t="n">
        <f aca="false">C18-152000</f>
        <v>141310</v>
      </c>
      <c r="F18" s="128" t="n">
        <f aca="false">D18/$D$2</f>
        <v>-37.8119485757499</v>
      </c>
      <c r="G18" s="11" t="n">
        <v>73</v>
      </c>
      <c r="H18" s="12" t="n">
        <v>0</v>
      </c>
      <c r="I18" s="11" t="n">
        <f aca="false">G18+H18</f>
        <v>73</v>
      </c>
      <c r="J18" s="4" t="n">
        <f aca="false">IF(L18&gt;0,L18,0)</f>
        <v>0</v>
      </c>
      <c r="K18" s="11" t="n">
        <f aca="false">I18+J18</f>
        <v>73</v>
      </c>
      <c r="L18" s="11" t="n">
        <f aca="false">F18-(I18-AK18)</f>
        <v>-10.9119485757499</v>
      </c>
      <c r="M18" s="129" t="n">
        <v>3.9</v>
      </c>
      <c r="N18" s="130" t="n">
        <v>0</v>
      </c>
      <c r="O18" s="130" t="n">
        <v>0</v>
      </c>
      <c r="P18" s="93" t="n">
        <v>0</v>
      </c>
      <c r="Q18" s="131" t="n">
        <f aca="false">1049700/325851/1.9835*1.02</f>
        <v>1.65658645488742</v>
      </c>
      <c r="R18" s="131" t="n">
        <f aca="false">((2.2)*1.04)-T18</f>
        <v>1.72445312</v>
      </c>
      <c r="S18" s="131" t="n">
        <v>0</v>
      </c>
      <c r="T18" s="133" t="n">
        <f aca="false">(0.5112*1.06)*1.04</f>
        <v>0.56354688</v>
      </c>
      <c r="U18" s="96" t="n">
        <f aca="false">M18-(Q18+R18+S18+T18)</f>
        <v>-0.0445864548874182</v>
      </c>
      <c r="V18" s="134" t="n">
        <v>68</v>
      </c>
      <c r="W18" s="134" t="n">
        <v>0</v>
      </c>
      <c r="X18" s="135" t="n">
        <f aca="false">M18-N18-P18-O18-Q18-R18-S18-T18-U18+V18+W18</f>
        <v>68</v>
      </c>
      <c r="Y18" s="136" t="n">
        <f aca="false">X18-AO18</f>
        <v>68</v>
      </c>
      <c r="Z18" s="80"/>
      <c r="AA18" s="136"/>
      <c r="AB18" s="80"/>
      <c r="AC18" s="134" t="n">
        <v>0</v>
      </c>
      <c r="AD18" s="80"/>
      <c r="AE18" s="134" t="n">
        <v>0</v>
      </c>
      <c r="AF18" s="137"/>
      <c r="AG18" s="138"/>
      <c r="AH18" s="134" t="n">
        <v>28</v>
      </c>
      <c r="AI18" s="80" t="n">
        <f aca="false">AI17-AH18</f>
        <v>5239</v>
      </c>
      <c r="AJ18" s="80"/>
      <c r="AK18" s="134" t="n">
        <f aca="false">N18+O18+P18+Q18+R18+S18+T18+U18+X18+AE18+AH18</f>
        <v>99.9</v>
      </c>
      <c r="AL18" s="134" t="n">
        <f aca="false">IF(L18&lt;0,L18*-1,0)</f>
        <v>10.9119485757499</v>
      </c>
      <c r="AM18" s="134" t="n">
        <f aca="false">AK18+AL18</f>
        <v>110.81194857575</v>
      </c>
      <c r="AN18" s="100" t="n">
        <f aca="false">V18</f>
        <v>68</v>
      </c>
      <c r="AO18" s="97"/>
      <c r="AP18" s="101"/>
      <c r="AQ18" s="101"/>
      <c r="AR18" s="101"/>
      <c r="AS18" s="101"/>
      <c r="AU18" s="5" t="n">
        <v>0</v>
      </c>
      <c r="AV18" s="102" t="n">
        <v>0</v>
      </c>
      <c r="AW18" s="103" t="n">
        <v>54</v>
      </c>
      <c r="AX18" s="103" t="n">
        <v>35</v>
      </c>
      <c r="AY18" s="103"/>
      <c r="AZ18" s="104" t="n">
        <f aca="false">SUM(N18,P18:U18)</f>
        <v>3.9</v>
      </c>
    </row>
    <row r="19" customFormat="false" ht="12.95" hidden="false" customHeight="true" outlineLevel="0" collapsed="false">
      <c r="A19" s="10" t="n">
        <f aca="false">A18+1</f>
        <v>5</v>
      </c>
      <c r="B19" s="126" t="n">
        <v>6902.62</v>
      </c>
      <c r="C19" s="90" t="n">
        <v>293347</v>
      </c>
      <c r="D19" s="127" t="n">
        <f aca="false">C19-C18</f>
        <v>37</v>
      </c>
      <c r="E19" s="90" t="n">
        <f aca="false">C19-152000</f>
        <v>141347</v>
      </c>
      <c r="F19" s="128" t="n">
        <f aca="false">D19/$D$2</f>
        <v>18.6538946307033</v>
      </c>
      <c r="G19" s="11" t="n">
        <v>92</v>
      </c>
      <c r="H19" s="12" t="n">
        <v>0</v>
      </c>
      <c r="I19" s="11" t="n">
        <f aca="false">G19+H19</f>
        <v>92</v>
      </c>
      <c r="J19" s="4" t="n">
        <f aca="false">IF(L19&gt;0,L19,0)</f>
        <v>26.1538946307033</v>
      </c>
      <c r="K19" s="11" t="n">
        <f aca="false">I19+J19</f>
        <v>118.153894630703</v>
      </c>
      <c r="L19" s="11" t="n">
        <f aca="false">F19-(I19-AK19)</f>
        <v>26.1538946307033</v>
      </c>
      <c r="M19" s="129" t="n">
        <v>3.5</v>
      </c>
      <c r="N19" s="130" t="n">
        <v>0</v>
      </c>
      <c r="O19" s="130" t="n">
        <v>0</v>
      </c>
      <c r="P19" s="93" t="n">
        <v>0</v>
      </c>
      <c r="Q19" s="131" t="n">
        <f aca="false">884400/325851/1.9835*1.02</f>
        <v>1.39571788196859</v>
      </c>
      <c r="R19" s="131" t="n">
        <f aca="false">((2.2)*1.04)-T19</f>
        <v>1.72445312</v>
      </c>
      <c r="S19" s="131" t="n">
        <v>0</v>
      </c>
      <c r="T19" s="133" t="n">
        <f aca="false">(0.5112*1.06)*1.04</f>
        <v>0.56354688</v>
      </c>
      <c r="U19" s="96" t="n">
        <f aca="false">M19-(Q19+R19+S19+T19)</f>
        <v>-0.183717881968593</v>
      </c>
      <c r="V19" s="134" t="n">
        <v>68</v>
      </c>
      <c r="W19" s="134" t="n">
        <v>0</v>
      </c>
      <c r="X19" s="135" t="n">
        <f aca="false">M19-N19-P19-O19-Q19-R19-S19-T19-U19+V19+W19</f>
        <v>68</v>
      </c>
      <c r="Y19" s="136" t="n">
        <f aca="false">X19-AO19</f>
        <v>68</v>
      </c>
      <c r="Z19" s="80"/>
      <c r="AA19" s="136"/>
      <c r="AB19" s="80"/>
      <c r="AC19" s="134" t="n">
        <v>0</v>
      </c>
      <c r="AD19" s="80"/>
      <c r="AE19" s="134" t="n">
        <v>0</v>
      </c>
      <c r="AF19" s="137"/>
      <c r="AG19" s="138"/>
      <c r="AH19" s="134" t="n">
        <v>28</v>
      </c>
      <c r="AI19" s="80" t="n">
        <f aca="false">AI18-AH19</f>
        <v>5211</v>
      </c>
      <c r="AJ19" s="80"/>
      <c r="AK19" s="134" t="n">
        <f aca="false">N19+O19+P19+Q19+R19+S19+T19+U19+X19+AE19+AH19</f>
        <v>99.5</v>
      </c>
      <c r="AL19" s="134" t="n">
        <f aca="false">IF(L19&lt;0,L19*-1,0)</f>
        <v>0</v>
      </c>
      <c r="AM19" s="134" t="n">
        <f aca="false">AK19+AL19</f>
        <v>99.5</v>
      </c>
      <c r="AN19" s="100" t="n">
        <f aca="false">V19</f>
        <v>68</v>
      </c>
      <c r="AO19" s="97"/>
      <c r="AP19" s="101"/>
      <c r="AQ19" s="101"/>
      <c r="AR19" s="101"/>
      <c r="AS19" s="101"/>
      <c r="AU19" s="5" t="n">
        <v>0</v>
      </c>
      <c r="AV19" s="102" t="n">
        <v>0.15</v>
      </c>
      <c r="AW19" s="103" t="n">
        <v>50</v>
      </c>
      <c r="AX19" s="103" t="n">
        <v>22</v>
      </c>
      <c r="AY19" s="103"/>
      <c r="AZ19" s="104" t="n">
        <f aca="false">SUM(N19,P19:U19)</f>
        <v>3.5</v>
      </c>
    </row>
    <row r="20" customFormat="false" ht="12.95" hidden="false" customHeight="true" outlineLevel="0" collapsed="false">
      <c r="A20" s="10" t="n">
        <f aca="false">A19+1</f>
        <v>6</v>
      </c>
      <c r="B20" s="126" t="n">
        <v>6902.61</v>
      </c>
      <c r="C20" s="90" t="n">
        <v>293310</v>
      </c>
      <c r="D20" s="127" t="n">
        <f aca="false">C20-C19</f>
        <v>-37</v>
      </c>
      <c r="E20" s="90" t="n">
        <f aca="false">C20-152000</f>
        <v>141310</v>
      </c>
      <c r="F20" s="128" t="n">
        <f aca="false">D20/$D$2</f>
        <v>-18.6538946307033</v>
      </c>
      <c r="G20" s="11" t="n">
        <v>84</v>
      </c>
      <c r="H20" s="12" t="n">
        <v>0</v>
      </c>
      <c r="I20" s="11" t="n">
        <f aca="false">G20+H20</f>
        <v>84</v>
      </c>
      <c r="J20" s="4" t="n">
        <f aca="false">IF(L20&gt;0,L20,0)</f>
        <v>0</v>
      </c>
      <c r="K20" s="11" t="n">
        <f aca="false">I20+J20</f>
        <v>84</v>
      </c>
      <c r="L20" s="11" t="n">
        <f aca="false">F20-(I20-AK20)</f>
        <v>-3.4538946307033</v>
      </c>
      <c r="M20" s="129" t="n">
        <v>3.2</v>
      </c>
      <c r="N20" s="130" t="n">
        <v>0</v>
      </c>
      <c r="O20" s="130" t="n">
        <v>0</v>
      </c>
      <c r="P20" s="93" t="n">
        <v>0</v>
      </c>
      <c r="Q20" s="131" t="n">
        <f aca="false">1076000/325851/1.9835*1.02</f>
        <v>1.69809186001606</v>
      </c>
      <c r="R20" s="131" t="n">
        <f aca="false">((2)*1.04)-T20</f>
        <v>1.51645312</v>
      </c>
      <c r="S20" s="131" t="n">
        <v>0</v>
      </c>
      <c r="T20" s="133" t="n">
        <f aca="false">(0.5112*1.06)*1.04</f>
        <v>0.56354688</v>
      </c>
      <c r="U20" s="96" t="n">
        <f aca="false">M20-(Q20+R20+S20+T20)</f>
        <v>-0.578091860016063</v>
      </c>
      <c r="V20" s="134" t="n">
        <v>68</v>
      </c>
      <c r="W20" s="134" t="n">
        <v>0</v>
      </c>
      <c r="X20" s="135" t="n">
        <f aca="false">M20-N20-P20-O20-Q20-R20-S20-T20-U20+V20+W20</f>
        <v>68</v>
      </c>
      <c r="Y20" s="136" t="n">
        <f aca="false">X20-AO20</f>
        <v>68</v>
      </c>
      <c r="Z20" s="80"/>
      <c r="AA20" s="136"/>
      <c r="AB20" s="80"/>
      <c r="AC20" s="134" t="n">
        <v>2.3</v>
      </c>
      <c r="AD20" s="80"/>
      <c r="AE20" s="134" t="n">
        <v>0</v>
      </c>
      <c r="AF20" s="137"/>
      <c r="AG20" s="138"/>
      <c r="AH20" s="134" t="n">
        <v>28</v>
      </c>
      <c r="AI20" s="80" t="n">
        <f aca="false">AI19-AH20</f>
        <v>5183</v>
      </c>
      <c r="AJ20" s="80"/>
      <c r="AK20" s="134" t="n">
        <f aca="false">N20+O20+P20+Q20+R20+S20+T20+U20+X20+AE20+AH20</f>
        <v>99.2</v>
      </c>
      <c r="AL20" s="134" t="n">
        <f aca="false">IF(L20&lt;0,L20*-1,0)</f>
        <v>3.4538946307033</v>
      </c>
      <c r="AM20" s="134" t="n">
        <f aca="false">AK20+AL20</f>
        <v>102.653894630703</v>
      </c>
      <c r="AN20" s="100" t="n">
        <f aca="false">V20</f>
        <v>68</v>
      </c>
      <c r="AO20" s="97"/>
      <c r="AP20" s="101"/>
      <c r="AQ20" s="101"/>
      <c r="AR20" s="101"/>
      <c r="AS20" s="101"/>
      <c r="AU20" s="5" t="n">
        <v>0</v>
      </c>
      <c r="AV20" s="102" t="n">
        <v>0.04</v>
      </c>
      <c r="AW20" s="103" t="n">
        <v>35</v>
      </c>
      <c r="AX20" s="103" t="n">
        <v>26</v>
      </c>
      <c r="AY20" s="103"/>
      <c r="AZ20" s="104" t="n">
        <f aca="false">SUM(N20,P20:U20)</f>
        <v>3.2</v>
      </c>
    </row>
    <row r="21" customFormat="false" ht="12.75" hidden="false" customHeight="true" outlineLevel="0" collapsed="false">
      <c r="A21" s="10" t="n">
        <f aca="false">A20+1</f>
        <v>7</v>
      </c>
      <c r="B21" s="126" t="n">
        <v>6902.59</v>
      </c>
      <c r="C21" s="90" t="n">
        <v>293235</v>
      </c>
      <c r="D21" s="127" t="n">
        <f aca="false">C21-C20</f>
        <v>-75</v>
      </c>
      <c r="E21" s="90" t="n">
        <f aca="false">C21-152000</f>
        <v>141235</v>
      </c>
      <c r="F21" s="128" t="n">
        <f aca="false">D21/$D$2</f>
        <v>-37.8119485757499</v>
      </c>
      <c r="G21" s="11" t="n">
        <v>80</v>
      </c>
      <c r="H21" s="12" t="n">
        <v>0</v>
      </c>
      <c r="I21" s="11" t="n">
        <f aca="false">G21+H21</f>
        <v>80</v>
      </c>
      <c r="J21" s="4" t="n">
        <f aca="false">IF(L21&gt;0,L21,0)</f>
        <v>0</v>
      </c>
      <c r="K21" s="11" t="n">
        <f aca="false">I21+J21</f>
        <v>80</v>
      </c>
      <c r="L21" s="11" t="n">
        <f aca="false">F21-(I21-AK21)</f>
        <v>-13.81194857575</v>
      </c>
      <c r="M21" s="129" t="n">
        <v>15</v>
      </c>
      <c r="N21" s="130" t="n">
        <v>0</v>
      </c>
      <c r="O21" s="130" t="n">
        <v>0</v>
      </c>
      <c r="P21" s="93" t="n">
        <v>0</v>
      </c>
      <c r="Q21" s="131" t="n">
        <f aca="false">883500/325851/1.9835*1.02</f>
        <v>1.39429754491096</v>
      </c>
      <c r="R21" s="131" t="n">
        <f aca="false">((2)*1.04)-T21</f>
        <v>1.51645312</v>
      </c>
      <c r="S21" s="131" t="n">
        <v>0</v>
      </c>
      <c r="T21" s="133" t="n">
        <f aca="false">(0.5112*1.06)*1.04</f>
        <v>0.56354688</v>
      </c>
      <c r="U21" s="96" t="n">
        <v>0</v>
      </c>
      <c r="V21" s="134" t="n">
        <v>50</v>
      </c>
      <c r="W21" s="134" t="n">
        <v>10</v>
      </c>
      <c r="X21" s="135" t="n">
        <f aca="false">M21-N21-P21-O21-Q21-R21-S21-T21-U21+V21+W21</f>
        <v>71.525702455089</v>
      </c>
      <c r="Y21" s="136" t="n">
        <f aca="false">X21-AO21</f>
        <v>41.3</v>
      </c>
      <c r="Z21" s="80"/>
      <c r="AA21" s="136"/>
      <c r="AB21" s="80"/>
      <c r="AC21" s="134" t="n">
        <v>5.6</v>
      </c>
      <c r="AD21" s="80"/>
      <c r="AE21" s="134" t="n">
        <v>0</v>
      </c>
      <c r="AF21" s="137"/>
      <c r="AG21" s="138"/>
      <c r="AH21" s="134" t="n">
        <v>29</v>
      </c>
      <c r="AI21" s="80" t="n">
        <f aca="false">AI20-AH21</f>
        <v>5154</v>
      </c>
      <c r="AJ21" s="80"/>
      <c r="AK21" s="134" t="n">
        <f aca="false">N21+O21+P21+Q21+R21+S21+T21+U21+X21+AE21+AH21</f>
        <v>104</v>
      </c>
      <c r="AL21" s="134" t="n">
        <f aca="false">IF(L21&lt;0,L21*-1,0)</f>
        <v>13.81194857575</v>
      </c>
      <c r="AM21" s="134" t="n">
        <f aca="false">AK21+AL21</f>
        <v>117.81194857575</v>
      </c>
      <c r="AN21" s="100" t="n">
        <f aca="false">V21-8.7</f>
        <v>41.3</v>
      </c>
      <c r="AO21" s="97" t="n">
        <f aca="false">X21-AN21</f>
        <v>30.225702455089</v>
      </c>
      <c r="AP21" s="101"/>
      <c r="AQ21" s="101"/>
      <c r="AR21" s="101"/>
      <c r="AS21" s="101"/>
      <c r="AU21" s="5"/>
      <c r="AV21" s="102" t="n">
        <v>0.07</v>
      </c>
      <c r="AW21" s="103" t="n">
        <v>42</v>
      </c>
      <c r="AX21" s="103" t="n">
        <v>29</v>
      </c>
      <c r="AY21" s="103"/>
      <c r="AZ21" s="104" t="n">
        <f aca="false">SUM(N21,P21:U21)</f>
        <v>3.47429754491096</v>
      </c>
    </row>
    <row r="22" customFormat="false" ht="12.75" hidden="false" customHeight="true" outlineLevel="0" collapsed="false">
      <c r="A22" s="10" t="n">
        <f aca="false">A21+1</f>
        <v>8</v>
      </c>
      <c r="B22" s="126" t="n">
        <v>6902.57</v>
      </c>
      <c r="C22" s="90" t="n">
        <v>293159</v>
      </c>
      <c r="D22" s="127" t="n">
        <f aca="false">C22-C21</f>
        <v>-76</v>
      </c>
      <c r="E22" s="90" t="n">
        <f aca="false">C22-152000</f>
        <v>141159</v>
      </c>
      <c r="F22" s="128" t="n">
        <f aca="false">D22/$D$2</f>
        <v>-38.3161078900933</v>
      </c>
      <c r="G22" s="11" t="n">
        <v>70</v>
      </c>
      <c r="H22" s="12" t="n">
        <v>0</v>
      </c>
      <c r="I22" s="11" t="n">
        <f aca="false">G22+H22</f>
        <v>70</v>
      </c>
      <c r="J22" s="4" t="n">
        <f aca="false">IF(L22&gt;0,L22,0)</f>
        <v>0</v>
      </c>
      <c r="K22" s="11" t="n">
        <f aca="false">I22+J22</f>
        <v>70</v>
      </c>
      <c r="L22" s="11" t="n">
        <f aca="false">F22-(I22-AK22)</f>
        <v>-5.31610789009327</v>
      </c>
      <c r="M22" s="129" t="n">
        <v>21</v>
      </c>
      <c r="N22" s="130" t="n">
        <v>0</v>
      </c>
      <c r="O22" s="130" t="n">
        <v>0</v>
      </c>
      <c r="P22" s="93" t="n">
        <v>0</v>
      </c>
      <c r="Q22" s="131" t="n">
        <f aca="false">960200/325851/1.9835*1.02</f>
        <v>1.51534182526712</v>
      </c>
      <c r="R22" s="131" t="n">
        <f aca="false">((2)*1.04)-T22</f>
        <v>1.51645312</v>
      </c>
      <c r="S22" s="131" t="n">
        <v>0</v>
      </c>
      <c r="T22" s="133" t="n">
        <f aca="false">(0.5112*1.06)*1.04</f>
        <v>0.56354688</v>
      </c>
      <c r="U22" s="96" t="n">
        <v>0</v>
      </c>
      <c r="V22" s="134" t="n">
        <v>39</v>
      </c>
      <c r="W22" s="134" t="n">
        <v>13</v>
      </c>
      <c r="X22" s="135" t="n">
        <f aca="false">M22-N22-P22-O22-Q22-R22-S22-T22-U22+V22+W22</f>
        <v>69.4046581747329</v>
      </c>
      <c r="Y22" s="136" t="n">
        <f aca="false">X22-AO22</f>
        <v>26</v>
      </c>
      <c r="Z22" s="80"/>
      <c r="AA22" s="136"/>
      <c r="AB22" s="80"/>
      <c r="AC22" s="134" t="n">
        <v>0</v>
      </c>
      <c r="AD22" s="80"/>
      <c r="AE22" s="134" t="n">
        <v>0</v>
      </c>
      <c r="AF22" s="137"/>
      <c r="AG22" s="138"/>
      <c r="AH22" s="134" t="n">
        <v>30</v>
      </c>
      <c r="AI22" s="80" t="n">
        <f aca="false">AI21-AH22</f>
        <v>5124</v>
      </c>
      <c r="AJ22" s="80"/>
      <c r="AK22" s="134" t="n">
        <f aca="false">N22+O22+P22+Q22+R22+S22+T22+U22+X22+AE22+AH22</f>
        <v>103</v>
      </c>
      <c r="AL22" s="134" t="n">
        <f aca="false">IF(L22&lt;0,L22*-1,0)</f>
        <v>5.31610789009327</v>
      </c>
      <c r="AM22" s="134" t="n">
        <f aca="false">AK22+AL22</f>
        <v>108.316107890093</v>
      </c>
      <c r="AN22" s="100" t="n">
        <f aca="false">V22-13</f>
        <v>26</v>
      </c>
      <c r="AO22" s="97" t="n">
        <f aca="false">X22-AN22</f>
        <v>43.4046581747329</v>
      </c>
      <c r="AP22" s="101"/>
      <c r="AQ22" s="101"/>
      <c r="AR22" s="101"/>
      <c r="AS22" s="101"/>
      <c r="AU22" s="5"/>
      <c r="AV22" s="102" t="n">
        <v>0</v>
      </c>
      <c r="AW22" s="103" t="n">
        <v>41</v>
      </c>
      <c r="AX22" s="103" t="n">
        <v>27</v>
      </c>
      <c r="AY22" s="103"/>
      <c r="AZ22" s="104" t="n">
        <f aca="false">SUM(N22,P22:U22)</f>
        <v>3.59534182526712</v>
      </c>
    </row>
    <row r="23" customFormat="false" ht="12.75" hidden="false" customHeight="true" outlineLevel="0" collapsed="false">
      <c r="A23" s="10" t="n">
        <f aca="false">A22+1</f>
        <v>9</v>
      </c>
      <c r="B23" s="126" t="n">
        <v>6902.55</v>
      </c>
      <c r="C23" s="90" t="n">
        <v>293084</v>
      </c>
      <c r="D23" s="127" t="n">
        <f aca="false">C23-C22</f>
        <v>-75</v>
      </c>
      <c r="E23" s="90" t="n">
        <f aca="false">C23-152000</f>
        <v>141084</v>
      </c>
      <c r="F23" s="128" t="n">
        <f aca="false">D23/$D$2</f>
        <v>-37.8119485757499</v>
      </c>
      <c r="G23" s="11" t="n">
        <v>64</v>
      </c>
      <c r="H23" s="12" t="n">
        <v>0</v>
      </c>
      <c r="I23" s="11" t="n">
        <f aca="false">G23+H23</f>
        <v>64</v>
      </c>
      <c r="J23" s="4" t="n">
        <f aca="false">IF(L23&gt;0,L23,0)</f>
        <v>0.188051424250062</v>
      </c>
      <c r="K23" s="11" t="n">
        <f aca="false">I23+J23</f>
        <v>64.1880514242501</v>
      </c>
      <c r="L23" s="11" t="n">
        <f aca="false">F23-(I23-AK23)</f>
        <v>0.188051424250062</v>
      </c>
      <c r="M23" s="129" t="n">
        <v>23</v>
      </c>
      <c r="N23" s="130" t="n">
        <v>0</v>
      </c>
      <c r="O23" s="130" t="n">
        <v>0</v>
      </c>
      <c r="P23" s="93" t="n">
        <v>0</v>
      </c>
      <c r="Q23" s="131" t="n">
        <f aca="false">895600/325851/1.9835*1.02</f>
        <v>1.41339318757471</v>
      </c>
      <c r="R23" s="131" t="n">
        <f aca="false">((2)*1.04)-T23</f>
        <v>1.51645312</v>
      </c>
      <c r="S23" s="131" t="n">
        <v>0</v>
      </c>
      <c r="T23" s="133" t="n">
        <f aca="false">(0.5112*1.06)*1.04</f>
        <v>0.56354688</v>
      </c>
      <c r="U23" s="96" t="n">
        <v>0</v>
      </c>
      <c r="V23" s="134" t="n">
        <v>34</v>
      </c>
      <c r="W23" s="134" t="n">
        <v>15</v>
      </c>
      <c r="X23" s="135" t="n">
        <f aca="false">M23-N23-P23-O23-Q23-R23-S23-T23-U23+V23+W23</f>
        <v>68.5066068124253</v>
      </c>
      <c r="Y23" s="136" t="n">
        <f aca="false">X23-AO23</f>
        <v>21</v>
      </c>
      <c r="Z23" s="80"/>
      <c r="AA23" s="136"/>
      <c r="AB23" s="80"/>
      <c r="AC23" s="134" t="n">
        <v>0</v>
      </c>
      <c r="AD23" s="80"/>
      <c r="AE23" s="134" t="n">
        <v>0</v>
      </c>
      <c r="AF23" s="137"/>
      <c r="AG23" s="138"/>
      <c r="AH23" s="134" t="n">
        <v>30</v>
      </c>
      <c r="AI23" s="80" t="n">
        <f aca="false">AI22-AH23</f>
        <v>5094</v>
      </c>
      <c r="AJ23" s="80"/>
      <c r="AK23" s="134" t="n">
        <f aca="false">N23+O23+P23+Q23+R23+S23+T23+U23+X23+AE23+AH23</f>
        <v>102</v>
      </c>
      <c r="AL23" s="134" t="n">
        <f aca="false">IF(L23&lt;0,L23*-1,0)</f>
        <v>0</v>
      </c>
      <c r="AM23" s="134" t="n">
        <f aca="false">AK23+AL23</f>
        <v>102</v>
      </c>
      <c r="AN23" s="100" t="n">
        <f aca="false">V23-13</f>
        <v>21</v>
      </c>
      <c r="AO23" s="97" t="n">
        <f aca="false">X23-AN23</f>
        <v>47.5066068124253</v>
      </c>
      <c r="AP23" s="101"/>
      <c r="AQ23" s="101"/>
      <c r="AR23" s="101"/>
      <c r="AS23" s="101"/>
      <c r="AU23" s="5"/>
      <c r="AV23" s="102" t="n">
        <v>0</v>
      </c>
      <c r="AW23" s="103" t="n">
        <v>46</v>
      </c>
      <c r="AX23" s="140" t="n">
        <v>19</v>
      </c>
      <c r="AY23" s="140"/>
      <c r="AZ23" s="104" t="n">
        <f aca="false">SUM(N23,P23:U23)</f>
        <v>3.49339318757471</v>
      </c>
    </row>
    <row r="24" customFormat="false" ht="12.95" hidden="false" customHeight="true" outlineLevel="0" collapsed="false">
      <c r="A24" s="10" t="n">
        <f aca="false">A23+1</f>
        <v>10</v>
      </c>
      <c r="B24" s="126" t="n">
        <v>6902.53</v>
      </c>
      <c r="C24" s="90" t="n">
        <v>293009</v>
      </c>
      <c r="D24" s="127" t="n">
        <f aca="false">C24-C23</f>
        <v>-75</v>
      </c>
      <c r="E24" s="90" t="n">
        <f aca="false">C24-152000</f>
        <v>141009</v>
      </c>
      <c r="F24" s="128" t="n">
        <f aca="false">D24/$D$2</f>
        <v>-37.8119485757499</v>
      </c>
      <c r="G24" s="11" t="n">
        <v>47</v>
      </c>
      <c r="H24" s="12" t="n">
        <v>0</v>
      </c>
      <c r="I24" s="11" t="n">
        <f aca="false">G24+H24</f>
        <v>47</v>
      </c>
      <c r="J24" s="4" t="n">
        <f aca="false">IF(L24&gt;0,L24,0)</f>
        <v>8.18805142425006</v>
      </c>
      <c r="K24" s="11" t="n">
        <f aca="false">I24+J24</f>
        <v>55.1880514242501</v>
      </c>
      <c r="L24" s="11" t="n">
        <f aca="false">F24-(I24-AK24)</f>
        <v>8.18805142425006</v>
      </c>
      <c r="M24" s="129" t="n">
        <v>24</v>
      </c>
      <c r="N24" s="130" t="n">
        <v>0</v>
      </c>
      <c r="O24" s="130" t="n">
        <v>0</v>
      </c>
      <c r="P24" s="93" t="n">
        <v>0</v>
      </c>
      <c r="Q24" s="131" t="n">
        <f aca="false">953400/325851/1.9835*1.02</f>
        <v>1.50461038972055</v>
      </c>
      <c r="R24" s="131" t="n">
        <f aca="false">((2)*1.04)-T24</f>
        <v>1.51645312</v>
      </c>
      <c r="S24" s="131" t="n">
        <v>0</v>
      </c>
      <c r="T24" s="133" t="n">
        <f aca="false">(0.5112*1.06)*1.04</f>
        <v>0.56354688</v>
      </c>
      <c r="U24" s="96" t="n">
        <v>0</v>
      </c>
      <c r="V24" s="134" t="n">
        <v>26</v>
      </c>
      <c r="W24" s="134" t="n">
        <v>13</v>
      </c>
      <c r="X24" s="135" t="n">
        <f aca="false">M24-N24-P24-O24-Q24-R24-S24-T24-U24+V24+W24</f>
        <v>59.4153896102795</v>
      </c>
      <c r="Y24" s="136" t="n">
        <f aca="false">X24-AO24</f>
        <v>13</v>
      </c>
      <c r="Z24" s="80"/>
      <c r="AA24" s="136"/>
      <c r="AB24" s="80"/>
      <c r="AC24" s="134" t="n">
        <v>0</v>
      </c>
      <c r="AD24" s="80"/>
      <c r="AE24" s="134" t="n">
        <v>0</v>
      </c>
      <c r="AF24" s="137"/>
      <c r="AG24" s="138"/>
      <c r="AH24" s="134" t="n">
        <v>30</v>
      </c>
      <c r="AI24" s="80" t="n">
        <f aca="false">AI23-AH24</f>
        <v>5064</v>
      </c>
      <c r="AJ24" s="80"/>
      <c r="AK24" s="134" t="n">
        <f aca="false">N24+O24+P24+Q24+R24+S24+T24+U24+X24+AE24+AH24</f>
        <v>93</v>
      </c>
      <c r="AL24" s="134" t="n">
        <f aca="false">IF(L24&lt;0,L24*-1,0)</f>
        <v>0</v>
      </c>
      <c r="AM24" s="134" t="n">
        <f aca="false">AK24+AL24</f>
        <v>93</v>
      </c>
      <c r="AN24" s="100" t="n">
        <f aca="false">V24-13</f>
        <v>13</v>
      </c>
      <c r="AO24" s="97" t="n">
        <f aca="false">X24-AN24</f>
        <v>46.4153896102795</v>
      </c>
      <c r="AP24" s="101"/>
      <c r="AQ24" s="101"/>
      <c r="AR24" s="101"/>
      <c r="AS24" s="101"/>
      <c r="AU24" s="5"/>
      <c r="AV24" s="102" t="n">
        <v>0</v>
      </c>
      <c r="AW24" s="103" t="n">
        <v>48</v>
      </c>
      <c r="AX24" s="103" t="n">
        <v>21</v>
      </c>
      <c r="AY24" s="103"/>
      <c r="AZ24" s="104" t="n">
        <f aca="false">SUM(N24,P24:U24)</f>
        <v>3.58461038972055</v>
      </c>
    </row>
    <row r="25" customFormat="false" ht="12.95" hidden="false" customHeight="true" outlineLevel="0" collapsed="false">
      <c r="A25" s="10" t="n">
        <f aca="false">A24+1</f>
        <v>11</v>
      </c>
      <c r="B25" s="126" t="n">
        <v>6902.51</v>
      </c>
      <c r="C25" s="90" t="n">
        <v>292934</v>
      </c>
      <c r="D25" s="127" t="n">
        <f aca="false">C25-C24</f>
        <v>-75</v>
      </c>
      <c r="E25" s="90" t="n">
        <f aca="false">C25-152000</f>
        <v>140934</v>
      </c>
      <c r="F25" s="128" t="n">
        <f aca="false">D25/$D$2</f>
        <v>-37.8119485757499</v>
      </c>
      <c r="G25" s="11" t="n">
        <v>64</v>
      </c>
      <c r="H25" s="12" t="n">
        <v>0</v>
      </c>
      <c r="I25" s="11" t="n">
        <f aca="false">G25+H25</f>
        <v>64</v>
      </c>
      <c r="J25" s="4" t="n">
        <f aca="false">IF(L25&gt;0,L25,0)</f>
        <v>0</v>
      </c>
      <c r="K25" s="11" t="n">
        <f aca="false">I25+J25</f>
        <v>64</v>
      </c>
      <c r="L25" s="11" t="n">
        <f aca="false">F25-(I25-AK25)</f>
        <v>-20.3119485757499</v>
      </c>
      <c r="M25" s="129" t="n">
        <v>21</v>
      </c>
      <c r="N25" s="130" t="n">
        <v>0</v>
      </c>
      <c r="O25" s="130" t="n">
        <v>0</v>
      </c>
      <c r="P25" s="93" t="n">
        <v>0</v>
      </c>
      <c r="Q25" s="131" t="n">
        <f aca="false">940300/325851/1.9835*1.02</f>
        <v>1.48393659477054</v>
      </c>
      <c r="R25" s="131" t="n">
        <f aca="false">((2)*1.04)-T25</f>
        <v>1.54831248</v>
      </c>
      <c r="S25" s="131" t="n">
        <v>0</v>
      </c>
      <c r="T25" s="133" t="n">
        <f aca="false">(0.4823*1.06)*1.04</f>
        <v>0.53168752</v>
      </c>
      <c r="U25" s="96" t="n">
        <v>0</v>
      </c>
      <c r="V25" s="134" t="n">
        <v>22</v>
      </c>
      <c r="W25" s="134" t="n">
        <v>8.5</v>
      </c>
      <c r="X25" s="135" t="n">
        <f aca="false">M25-N25-P25-O25-Q25-R25-S25-T25-U25+V25+W25</f>
        <v>47.9360634052295</v>
      </c>
      <c r="Y25" s="136" t="n">
        <f aca="false">X25-AO25</f>
        <v>15.5</v>
      </c>
      <c r="Z25" s="80"/>
      <c r="AA25" s="136"/>
      <c r="AB25" s="80"/>
      <c r="AC25" s="134" t="n">
        <v>0</v>
      </c>
      <c r="AD25" s="80"/>
      <c r="AE25" s="134" t="n">
        <v>0</v>
      </c>
      <c r="AF25" s="137"/>
      <c r="AG25" s="138"/>
      <c r="AH25" s="134" t="n">
        <v>30</v>
      </c>
      <c r="AI25" s="80" t="n">
        <f aca="false">AI24-AH25</f>
        <v>5034</v>
      </c>
      <c r="AJ25" s="80"/>
      <c r="AK25" s="134" t="n">
        <f aca="false">N25+O25+P25+Q25+R25+S25+T25+U25+X25+AE25+AH25</f>
        <v>81.5</v>
      </c>
      <c r="AL25" s="134" t="n">
        <f aca="false">IF(L25&lt;0,L25*-1,0)</f>
        <v>20.3119485757499</v>
      </c>
      <c r="AM25" s="134" t="n">
        <f aca="false">AK25+AL25</f>
        <v>101.81194857575</v>
      </c>
      <c r="AN25" s="100" t="n">
        <f aca="false">V25-6.5</f>
        <v>15.5</v>
      </c>
      <c r="AO25" s="97" t="n">
        <f aca="false">X25-AN25</f>
        <v>32.4360634052295</v>
      </c>
      <c r="AP25" s="101"/>
      <c r="AQ25" s="101"/>
      <c r="AR25" s="101"/>
      <c r="AS25" s="101"/>
      <c r="AU25" s="5"/>
      <c r="AV25" s="102" t="n">
        <v>0</v>
      </c>
      <c r="AW25" s="103" t="n">
        <v>45</v>
      </c>
      <c r="AX25" s="103" t="n">
        <v>26</v>
      </c>
      <c r="AY25" s="103"/>
      <c r="AZ25" s="104" t="n">
        <f aca="false">SUM(N25,P25:U25)</f>
        <v>3.56393659477054</v>
      </c>
    </row>
    <row r="26" customFormat="false" ht="12.95" hidden="false" customHeight="true" outlineLevel="0" collapsed="false">
      <c r="A26" s="10" t="n">
        <f aca="false">A25+1</f>
        <v>12</v>
      </c>
      <c r="B26" s="126" t="n">
        <v>6902.5</v>
      </c>
      <c r="C26" s="90" t="n">
        <v>292896</v>
      </c>
      <c r="D26" s="127" t="n">
        <f aca="false">C26-C25</f>
        <v>-38</v>
      </c>
      <c r="E26" s="90" t="n">
        <f aca="false">C26-152000</f>
        <v>140896</v>
      </c>
      <c r="F26" s="128" t="n">
        <f aca="false">D26/$D$2</f>
        <v>-19.1580539450466</v>
      </c>
      <c r="G26" s="11" t="n">
        <v>88</v>
      </c>
      <c r="H26" s="12" t="n">
        <v>0</v>
      </c>
      <c r="I26" s="11" t="n">
        <f aca="false">G26+H26</f>
        <v>88</v>
      </c>
      <c r="J26" s="4" t="n">
        <f aca="false">IF(L26&gt;0,L26,0)</f>
        <v>0</v>
      </c>
      <c r="K26" s="11" t="n">
        <f aca="false">I26+J26</f>
        <v>88</v>
      </c>
      <c r="L26" s="11" t="n">
        <f aca="false">F26-(I26-AK26)</f>
        <v>-28.5580539450466</v>
      </c>
      <c r="M26" s="129" t="n">
        <v>6.6</v>
      </c>
      <c r="N26" s="130" t="n">
        <v>0</v>
      </c>
      <c r="O26" s="130" t="n">
        <v>0</v>
      </c>
      <c r="P26" s="93" t="n">
        <v>0</v>
      </c>
      <c r="Q26" s="131" t="n">
        <f aca="false">1084400/325851/1.9835*1.02</f>
        <v>1.71134833922065</v>
      </c>
      <c r="R26" s="131" t="n">
        <f aca="false">((2)*1.04)-T26</f>
        <v>1.54831248</v>
      </c>
      <c r="S26" s="131" t="n">
        <v>0</v>
      </c>
      <c r="T26" s="133" t="n">
        <f aca="false">(0.4823*1.06)*1.04</f>
        <v>0.53168752</v>
      </c>
      <c r="U26" s="96" t="n">
        <v>0</v>
      </c>
      <c r="V26" s="134" t="n">
        <v>42</v>
      </c>
      <c r="W26" s="134" t="n">
        <v>0</v>
      </c>
      <c r="X26" s="135" t="n">
        <f aca="false">M26-N26-P26-O26-Q26-R26-S26-T26-U26+V26+W26</f>
        <v>44.8086516607794</v>
      </c>
      <c r="Y26" s="136" t="n">
        <f aca="false">X26-AO26</f>
        <v>42</v>
      </c>
      <c r="Z26" s="80"/>
      <c r="AA26" s="136"/>
      <c r="AB26" s="80"/>
      <c r="AC26" s="134" t="n">
        <v>29.6</v>
      </c>
      <c r="AD26" s="80"/>
      <c r="AE26" s="134" t="n">
        <v>0</v>
      </c>
      <c r="AF26" s="137"/>
      <c r="AG26" s="138"/>
      <c r="AH26" s="134" t="n">
        <v>30</v>
      </c>
      <c r="AI26" s="80" t="n">
        <f aca="false">AI25-AH26</f>
        <v>5004</v>
      </c>
      <c r="AJ26" s="80"/>
      <c r="AK26" s="134" t="n">
        <f aca="false">N26+O26+P26+Q26+R26+S26+T26+U26+X26+AE26+AH26</f>
        <v>78.6</v>
      </c>
      <c r="AL26" s="134" t="n">
        <f aca="false">IF(L26&lt;0,L26*-1,0)</f>
        <v>28.5580539450466</v>
      </c>
      <c r="AM26" s="134" t="n">
        <f aca="false">AK26+AL26</f>
        <v>107.158053945047</v>
      </c>
      <c r="AN26" s="100" t="n">
        <f aca="false">V26</f>
        <v>42</v>
      </c>
      <c r="AO26" s="97" t="n">
        <f aca="false">X26-AN26</f>
        <v>2.80865166077935</v>
      </c>
      <c r="AP26" s="101"/>
      <c r="AQ26" s="101"/>
      <c r="AR26" s="101"/>
      <c r="AS26" s="101"/>
      <c r="AU26" s="5"/>
      <c r="AV26" s="102" t="n">
        <v>0</v>
      </c>
      <c r="AW26" s="103" t="n">
        <v>52</v>
      </c>
      <c r="AX26" s="103" t="n">
        <v>31</v>
      </c>
      <c r="AY26" s="103"/>
      <c r="AZ26" s="104" t="n">
        <f aca="false">SUM(N26,P26:U26)</f>
        <v>3.79134833922065</v>
      </c>
    </row>
    <row r="27" customFormat="false" ht="12.95" hidden="false" customHeight="true" outlineLevel="0" collapsed="false">
      <c r="A27" s="10" t="n">
        <f aca="false">A26+1</f>
        <v>13</v>
      </c>
      <c r="B27" s="126" t="n">
        <v>6902.52</v>
      </c>
      <c r="C27" s="90" t="n">
        <v>292971</v>
      </c>
      <c r="D27" s="127" t="n">
        <f aca="false">C27-C26</f>
        <v>75</v>
      </c>
      <c r="E27" s="90" t="n">
        <f aca="false">C27-152000</f>
        <v>140971</v>
      </c>
      <c r="F27" s="128" t="n">
        <f aca="false">D27/$D$2</f>
        <v>37.8119485757499</v>
      </c>
      <c r="G27" s="11" t="n">
        <v>88</v>
      </c>
      <c r="H27" s="12" t="n">
        <v>0</v>
      </c>
      <c r="I27" s="11" t="n">
        <f aca="false">G27+H27</f>
        <v>88</v>
      </c>
      <c r="J27" s="4" t="n">
        <f aca="false">IF(L27&gt;0,L27,0)</f>
        <v>48.4119485757499</v>
      </c>
      <c r="K27" s="11" t="n">
        <f aca="false">I27+J27</f>
        <v>136.41194857575</v>
      </c>
      <c r="L27" s="11" t="n">
        <f aca="false">F27-(I27-AK27)</f>
        <v>48.4119485757499</v>
      </c>
      <c r="M27" s="129" t="n">
        <v>3.6</v>
      </c>
      <c r="N27" s="130" t="n">
        <v>0</v>
      </c>
      <c r="O27" s="130" t="n">
        <v>0</v>
      </c>
      <c r="P27" s="93" t="n">
        <v>0</v>
      </c>
      <c r="Q27" s="131" t="n">
        <f aca="false">957600/325851/1.9835*1.02</f>
        <v>1.51123862932285</v>
      </c>
      <c r="R27" s="131" t="n">
        <f aca="false">((2)*1.04)-T27</f>
        <v>1.54831248</v>
      </c>
      <c r="S27" s="131" t="n">
        <v>0</v>
      </c>
      <c r="T27" s="133" t="n">
        <f aca="false">(0.4823*1.06)*1.04</f>
        <v>0.53168752</v>
      </c>
      <c r="U27" s="96" t="n">
        <v>0</v>
      </c>
      <c r="V27" s="134" t="n">
        <v>65</v>
      </c>
      <c r="W27" s="134" t="n">
        <v>0</v>
      </c>
      <c r="X27" s="135" t="n">
        <f aca="false">M27-N27-P27-O27-Q27-R27-S27-T27-U27+V27+W27</f>
        <v>65.0087613706772</v>
      </c>
      <c r="Y27" s="136" t="n">
        <f aca="false">X27-AO27</f>
        <v>65.0087613706772</v>
      </c>
      <c r="Z27" s="80"/>
      <c r="AA27" s="136"/>
      <c r="AB27" s="80"/>
      <c r="AC27" s="134" t="n">
        <v>18.3</v>
      </c>
      <c r="AD27" s="80"/>
      <c r="AE27" s="134" t="n">
        <v>0</v>
      </c>
      <c r="AF27" s="137"/>
      <c r="AG27" s="138"/>
      <c r="AH27" s="134" t="n">
        <v>30</v>
      </c>
      <c r="AI27" s="80" t="n">
        <f aca="false">AI26-AH27</f>
        <v>4974</v>
      </c>
      <c r="AJ27" s="80"/>
      <c r="AK27" s="134" t="n">
        <f aca="false">N27+O27+P27+Q27+R27+S27+T27+U27+X27+AE27+AH27</f>
        <v>98.6</v>
      </c>
      <c r="AL27" s="134" t="n">
        <f aca="false">IF(L27&lt;0,L27*-1,0)</f>
        <v>0</v>
      </c>
      <c r="AM27" s="134" t="n">
        <f aca="false">AK27+AL27</f>
        <v>98.6</v>
      </c>
      <c r="AN27" s="100" t="n">
        <f aca="false">V27</f>
        <v>65</v>
      </c>
      <c r="AO27" s="97"/>
      <c r="AP27" s="101"/>
      <c r="AQ27" s="101"/>
      <c r="AR27" s="101"/>
      <c r="AS27" s="101"/>
      <c r="AU27" s="5"/>
      <c r="AV27" s="102" t="n">
        <v>0.09</v>
      </c>
      <c r="AW27" s="103" t="n">
        <v>52</v>
      </c>
      <c r="AX27" s="103" t="n">
        <v>30</v>
      </c>
      <c r="AY27" s="103"/>
      <c r="AZ27" s="104" t="n">
        <f aca="false">SUM(N27,P27:U27)</f>
        <v>3.59123862932285</v>
      </c>
    </row>
    <row r="28" customFormat="false" ht="12.95" hidden="false" customHeight="true" outlineLevel="0" collapsed="false">
      <c r="A28" s="10" t="n">
        <f aca="false">A27+1</f>
        <v>14</v>
      </c>
      <c r="B28" s="126" t="n">
        <v>6902.5</v>
      </c>
      <c r="C28" s="90" t="n">
        <v>292896</v>
      </c>
      <c r="D28" s="127" t="n">
        <f aca="false">C28-C27</f>
        <v>-75</v>
      </c>
      <c r="E28" s="90" t="n">
        <f aca="false">C28-152000</f>
        <v>140896</v>
      </c>
      <c r="F28" s="128" t="n">
        <f aca="false">D28/$D$2</f>
        <v>-37.8119485757499</v>
      </c>
      <c r="G28" s="11" t="n">
        <v>74</v>
      </c>
      <c r="H28" s="12" t="n">
        <v>0</v>
      </c>
      <c r="I28" s="11" t="n">
        <f aca="false">G28+H28</f>
        <v>74</v>
      </c>
      <c r="J28" s="4" t="n">
        <f aca="false">IF(L28&gt;0,L28,0)</f>
        <v>0</v>
      </c>
      <c r="K28" s="11" t="n">
        <f aca="false">I28+J28</f>
        <v>74</v>
      </c>
      <c r="L28" s="11" t="n">
        <f aca="false">F28-(I28-AK28)</f>
        <v>-2.21194857574994</v>
      </c>
      <c r="M28" s="129" t="n">
        <v>3.6</v>
      </c>
      <c r="N28" s="130" t="n">
        <v>0</v>
      </c>
      <c r="O28" s="130" t="n">
        <v>0</v>
      </c>
      <c r="P28" s="93" t="n">
        <v>0</v>
      </c>
      <c r="Q28" s="131" t="n">
        <f aca="false">878000/325851/1.9835*1.02</f>
        <v>1.38561770733653</v>
      </c>
      <c r="R28" s="131" t="n">
        <f aca="false">((2)*1.04)-T28</f>
        <v>1.54831248</v>
      </c>
      <c r="S28" s="131" t="n">
        <v>0</v>
      </c>
      <c r="T28" s="133" t="n">
        <f aca="false">(0.4823*1.06)*1.04</f>
        <v>0.53168752</v>
      </c>
      <c r="U28" s="96" t="n">
        <f aca="false">M28-(Q28+R28+S28+T28)</f>
        <v>0.134382292663472</v>
      </c>
      <c r="V28" s="134" t="n">
        <v>76</v>
      </c>
      <c r="W28" s="134" t="n">
        <v>0</v>
      </c>
      <c r="X28" s="135" t="n">
        <f aca="false">M28-N28-P28-O28-Q28-R28-S28-T28-U28+V28+W28</f>
        <v>76</v>
      </c>
      <c r="Y28" s="136" t="n">
        <f aca="false">X28-AO28</f>
        <v>76</v>
      </c>
      <c r="Z28" s="80"/>
      <c r="AA28" s="136"/>
      <c r="AB28" s="80"/>
      <c r="AC28" s="134" t="n">
        <v>0</v>
      </c>
      <c r="AD28" s="80"/>
      <c r="AE28" s="134" t="n">
        <v>0</v>
      </c>
      <c r="AF28" s="137"/>
      <c r="AG28" s="138"/>
      <c r="AH28" s="134" t="n">
        <v>30</v>
      </c>
      <c r="AI28" s="80" t="n">
        <f aca="false">AI27-AH28</f>
        <v>4944</v>
      </c>
      <c r="AJ28" s="80"/>
      <c r="AK28" s="134" t="n">
        <f aca="false">N28+O28+P28+Q28+R28+S28+T28+U28+X28+AE28+AH28</f>
        <v>109.6</v>
      </c>
      <c r="AL28" s="134" t="n">
        <f aca="false">IF(L28&lt;0,L28*-1,0)</f>
        <v>2.21194857574994</v>
      </c>
      <c r="AM28" s="134" t="n">
        <f aca="false">AK28+AL28</f>
        <v>111.81194857575</v>
      </c>
      <c r="AN28" s="100" t="n">
        <f aca="false">V28</f>
        <v>76</v>
      </c>
      <c r="AO28" s="97"/>
      <c r="AP28" s="101"/>
      <c r="AQ28" s="101"/>
      <c r="AR28" s="101"/>
      <c r="AS28" s="101"/>
      <c r="AU28" s="5"/>
      <c r="AV28" s="102" t="n">
        <v>0</v>
      </c>
      <c r="AW28" s="103" t="n">
        <v>47</v>
      </c>
      <c r="AX28" s="103" t="n">
        <v>28</v>
      </c>
      <c r="AY28" s="103"/>
      <c r="AZ28" s="104" t="n">
        <f aca="false">SUM(N28,P28:U28)</f>
        <v>3.6</v>
      </c>
    </row>
    <row r="29" customFormat="false" ht="12.95" hidden="false" customHeight="true" outlineLevel="0" collapsed="false">
      <c r="A29" s="10" t="n">
        <f aca="false">A28+1</f>
        <v>15</v>
      </c>
      <c r="B29" s="126" t="n">
        <v>6902.48</v>
      </c>
      <c r="C29" s="90" t="n">
        <v>292821</v>
      </c>
      <c r="D29" s="127" t="n">
        <f aca="false">C29-C28</f>
        <v>-75</v>
      </c>
      <c r="E29" s="90" t="n">
        <f aca="false">C29-152000</f>
        <v>140821</v>
      </c>
      <c r="F29" s="128" t="n">
        <f aca="false">D29/$D$2</f>
        <v>-37.8119485757499</v>
      </c>
      <c r="G29" s="11" t="n">
        <v>68</v>
      </c>
      <c r="H29" s="12" t="n">
        <v>0</v>
      </c>
      <c r="I29" s="11" t="n">
        <f aca="false">G29+H29</f>
        <v>68</v>
      </c>
      <c r="J29" s="4" t="n">
        <f aca="false">IF(L29&gt;0,L29,0)</f>
        <v>0</v>
      </c>
      <c r="K29" s="11" t="n">
        <f aca="false">I29+J29</f>
        <v>68</v>
      </c>
      <c r="L29" s="11" t="n">
        <f aca="false">F29-(I29-AK29)</f>
        <v>-4.51194857574994</v>
      </c>
      <c r="M29" s="129" t="n">
        <v>3.3</v>
      </c>
      <c r="N29" s="130" t="n">
        <v>0</v>
      </c>
      <c r="O29" s="130" t="n">
        <v>0</v>
      </c>
      <c r="P29" s="93" t="n">
        <v>0</v>
      </c>
      <c r="Q29" s="131" t="n">
        <f aca="false">906600/325851/1.9835*1.02</f>
        <v>1.43075286272357</v>
      </c>
      <c r="R29" s="131" t="n">
        <f aca="false">((2)*1.04)-T29</f>
        <v>1.54831248</v>
      </c>
      <c r="S29" s="131" t="n">
        <v>0</v>
      </c>
      <c r="T29" s="133" t="n">
        <f aca="false">(0.4823*1.06)*1.04</f>
        <v>0.53168752</v>
      </c>
      <c r="U29" s="96" t="n">
        <f aca="false">M29-(Q29+R29+S29+T29)</f>
        <v>-0.210752862723572</v>
      </c>
      <c r="V29" s="134" t="n">
        <v>68</v>
      </c>
      <c r="W29" s="134" t="n">
        <v>0</v>
      </c>
      <c r="X29" s="135" t="n">
        <f aca="false">M29-N29-P29-O29-Q29-R29-S29-T29-U29+V29+W29</f>
        <v>68</v>
      </c>
      <c r="Y29" s="136" t="n">
        <f aca="false">X29-AO29</f>
        <v>68</v>
      </c>
      <c r="Z29" s="80"/>
      <c r="AA29" s="136"/>
      <c r="AB29" s="80"/>
      <c r="AC29" s="134" t="n">
        <v>0</v>
      </c>
      <c r="AD29" s="80"/>
      <c r="AE29" s="134" t="n">
        <v>0</v>
      </c>
      <c r="AF29" s="137"/>
      <c r="AG29" s="138"/>
      <c r="AH29" s="134" t="n">
        <v>30</v>
      </c>
      <c r="AI29" s="80" t="n">
        <f aca="false">AI28-AH29</f>
        <v>4914</v>
      </c>
      <c r="AJ29" s="80"/>
      <c r="AK29" s="134" t="n">
        <f aca="false">N29+O29+P29+Q29+R29+S29+T29+U29+X29+AE29+AH29</f>
        <v>101.3</v>
      </c>
      <c r="AL29" s="134" t="n">
        <f aca="false">IF(L29&lt;0,L29*-1,0)</f>
        <v>4.51194857574994</v>
      </c>
      <c r="AM29" s="134" t="n">
        <f aca="false">AK29+AL29</f>
        <v>105.81194857575</v>
      </c>
      <c r="AN29" s="100" t="n">
        <f aca="false">V29</f>
        <v>68</v>
      </c>
      <c r="AO29" s="97"/>
      <c r="AP29" s="101"/>
      <c r="AQ29" s="101"/>
      <c r="AR29" s="101"/>
      <c r="AS29" s="101"/>
      <c r="AU29" s="5"/>
      <c r="AV29" s="102" t="n">
        <v>0</v>
      </c>
      <c r="AW29" s="103" t="n">
        <v>48</v>
      </c>
      <c r="AX29" s="103" t="n">
        <v>27</v>
      </c>
      <c r="AY29" s="103"/>
      <c r="AZ29" s="104" t="n">
        <f aca="false">SUM(N29,P29:U29)</f>
        <v>3.3</v>
      </c>
    </row>
    <row r="30" customFormat="false" ht="12.95" hidden="false" customHeight="true" outlineLevel="0" collapsed="false">
      <c r="A30" s="10" t="n">
        <f aca="false">A29+1</f>
        <v>16</v>
      </c>
      <c r="B30" s="126" t="n">
        <v>6902.46</v>
      </c>
      <c r="C30" s="90" t="n">
        <v>292745</v>
      </c>
      <c r="D30" s="127" t="n">
        <f aca="false">C30-C29</f>
        <v>-76</v>
      </c>
      <c r="E30" s="90" t="n">
        <f aca="false">C30-152000</f>
        <v>140745</v>
      </c>
      <c r="F30" s="128" t="n">
        <f aca="false">D30/$D$2</f>
        <v>-38.3161078900933</v>
      </c>
      <c r="G30" s="11" t="n">
        <v>65</v>
      </c>
      <c r="H30" s="12" t="n">
        <v>0</v>
      </c>
      <c r="I30" s="11" t="n">
        <f aca="false">G30+H30</f>
        <v>65</v>
      </c>
      <c r="J30" s="4" t="n">
        <f aca="false">IF(L30&gt;0,L30,0)</f>
        <v>0</v>
      </c>
      <c r="K30" s="11" t="n">
        <f aca="false">I30+J30</f>
        <v>65</v>
      </c>
      <c r="L30" s="11" t="n">
        <f aca="false">F30-(I30-AK30)</f>
        <v>-10.1161078900933</v>
      </c>
      <c r="M30" s="129" t="n">
        <v>3.2</v>
      </c>
      <c r="N30" s="130" t="n">
        <v>0</v>
      </c>
      <c r="O30" s="130" t="n">
        <v>0</v>
      </c>
      <c r="P30" s="93" t="n">
        <v>0</v>
      </c>
      <c r="Q30" s="131" t="n">
        <f aca="false">845400/325851/1.9835*1.02</f>
        <v>1.33416994280444</v>
      </c>
      <c r="R30" s="131" t="n">
        <f aca="false">((2)*1.04)-T30</f>
        <v>1.54831248</v>
      </c>
      <c r="S30" s="131" t="n">
        <v>0</v>
      </c>
      <c r="T30" s="133" t="n">
        <f aca="false">(0.4823*1.06)*1.04</f>
        <v>0.53168752</v>
      </c>
      <c r="U30" s="96" t="n">
        <f aca="false">M30-(Q30+R30+S30+T30)</f>
        <v>-0.214169942804443</v>
      </c>
      <c r="V30" s="134" t="n">
        <v>60</v>
      </c>
      <c r="W30" s="134" t="n">
        <v>0</v>
      </c>
      <c r="X30" s="135" t="n">
        <f aca="false">M30-N30-P30-O30-Q30-R30-S30-T30-U30+V30+W30</f>
        <v>60</v>
      </c>
      <c r="Y30" s="136" t="n">
        <f aca="false">X30-AO30</f>
        <v>60</v>
      </c>
      <c r="Z30" s="80"/>
      <c r="AA30" s="136"/>
      <c r="AB30" s="80"/>
      <c r="AC30" s="134" t="n">
        <v>0</v>
      </c>
      <c r="AD30" s="80"/>
      <c r="AE30" s="134" t="n">
        <v>0</v>
      </c>
      <c r="AF30" s="137"/>
      <c r="AG30" s="138"/>
      <c r="AH30" s="134" t="n">
        <v>30</v>
      </c>
      <c r="AI30" s="80" t="n">
        <f aca="false">AI29-AH30</f>
        <v>4884</v>
      </c>
      <c r="AJ30" s="80"/>
      <c r="AK30" s="134" t="n">
        <f aca="false">N30+O30+P30+Q30+R30+S30+T30+U30+X30+AE30+AH30</f>
        <v>93.2</v>
      </c>
      <c r="AL30" s="134" t="n">
        <f aca="false">IF(L30&lt;0,L30*-1,0)</f>
        <v>10.1161078900933</v>
      </c>
      <c r="AM30" s="134" t="n">
        <f aca="false">AK30+AL30</f>
        <v>103.316107890093</v>
      </c>
      <c r="AN30" s="100" t="n">
        <f aca="false">V30</f>
        <v>60</v>
      </c>
      <c r="AO30" s="97"/>
      <c r="AP30" s="101"/>
      <c r="AQ30" s="101"/>
      <c r="AR30" s="101"/>
      <c r="AS30" s="101"/>
      <c r="AU30" s="5"/>
      <c r="AV30" s="102" t="n">
        <v>0</v>
      </c>
      <c r="AW30" s="103" t="n">
        <v>45</v>
      </c>
      <c r="AX30" s="103" t="n">
        <v>24</v>
      </c>
      <c r="AY30" s="103"/>
      <c r="AZ30" s="104" t="n">
        <f aca="false">SUM(N30,P30:U30)</f>
        <v>3.2</v>
      </c>
    </row>
    <row r="31" customFormat="false" ht="12.95" hidden="false" customHeight="true" outlineLevel="0" collapsed="false">
      <c r="A31" s="10" t="n">
        <f aca="false">A30+1</f>
        <v>17</v>
      </c>
      <c r="B31" s="126" t="n">
        <v>6902.44</v>
      </c>
      <c r="C31" s="90" t="n">
        <v>292670</v>
      </c>
      <c r="D31" s="127" t="n">
        <f aca="false">C31-C30</f>
        <v>-75</v>
      </c>
      <c r="E31" s="90" t="n">
        <f aca="false">C31-152000</f>
        <v>140670</v>
      </c>
      <c r="F31" s="128" t="n">
        <f aca="false">D31/$D$2</f>
        <v>-37.8119485757499</v>
      </c>
      <c r="G31" s="11" t="n">
        <v>50</v>
      </c>
      <c r="H31" s="12" t="n">
        <v>0.25</v>
      </c>
      <c r="I31" s="11" t="n">
        <f aca="false">G31+H31</f>
        <v>50.25</v>
      </c>
      <c r="J31" s="4" t="n">
        <f aca="false">IF(L31&gt;0,L31,0)</f>
        <v>2.93805142425006</v>
      </c>
      <c r="K31" s="11" t="n">
        <f aca="false">I31+J31</f>
        <v>53.1880514242501</v>
      </c>
      <c r="L31" s="11" t="n">
        <f aca="false">F31-(I31-AK31)</f>
        <v>2.93805142425006</v>
      </c>
      <c r="M31" s="129" t="n">
        <v>4</v>
      </c>
      <c r="N31" s="130" t="n">
        <v>0</v>
      </c>
      <c r="O31" s="130" t="n">
        <v>0</v>
      </c>
      <c r="P31" s="93" t="n">
        <v>0</v>
      </c>
      <c r="Q31" s="131" t="n">
        <f aca="false">826300/325851/1.9835*1.02</f>
        <v>1.30402723413687</v>
      </c>
      <c r="R31" s="131" t="n">
        <f aca="false">((2)*1.04)-T31</f>
        <v>1.54831248</v>
      </c>
      <c r="S31" s="131" t="n">
        <v>0</v>
      </c>
      <c r="T31" s="133" t="n">
        <f aca="false">(0.4823*1.06)*1.04</f>
        <v>0.53168752</v>
      </c>
      <c r="U31" s="96" t="n">
        <f aca="false">M31-(Q31+R31+S31+T31)</f>
        <v>0.615972765863129</v>
      </c>
      <c r="V31" s="134" t="n">
        <v>57</v>
      </c>
      <c r="W31" s="134" t="n">
        <v>0</v>
      </c>
      <c r="X31" s="135" t="n">
        <f aca="false">M31-N31-P31-O31-Q31-R31-S31-T31-U31+V31+W31</f>
        <v>57</v>
      </c>
      <c r="Y31" s="136" t="n">
        <f aca="false">X31-AO31</f>
        <v>57</v>
      </c>
      <c r="Z31" s="80"/>
      <c r="AA31" s="136"/>
      <c r="AB31" s="80"/>
      <c r="AC31" s="134" t="n">
        <v>0</v>
      </c>
      <c r="AD31" s="80"/>
      <c r="AE31" s="134" t="n">
        <v>0</v>
      </c>
      <c r="AF31" s="137"/>
      <c r="AG31" s="138"/>
      <c r="AH31" s="134" t="n">
        <v>30</v>
      </c>
      <c r="AI31" s="80" t="n">
        <f aca="false">AI30-AH31</f>
        <v>4854</v>
      </c>
      <c r="AJ31" s="80"/>
      <c r="AK31" s="134" t="n">
        <f aca="false">N31+O31+P31+Q31+R31+S31+T31+U31+X31+AE31+AH31</f>
        <v>91</v>
      </c>
      <c r="AL31" s="134" t="n">
        <f aca="false">IF(L31&lt;0,L31*-1,0)</f>
        <v>0</v>
      </c>
      <c r="AM31" s="134" t="n">
        <f aca="false">AK31+AL31</f>
        <v>91</v>
      </c>
      <c r="AN31" s="100" t="n">
        <f aca="false">V31</f>
        <v>57</v>
      </c>
      <c r="AO31" s="97"/>
      <c r="AP31" s="101"/>
      <c r="AQ31" s="101"/>
      <c r="AR31" s="101"/>
      <c r="AS31" s="101"/>
      <c r="AU31" s="5"/>
      <c r="AV31" s="102" t="n">
        <v>0</v>
      </c>
      <c r="AW31" s="103" t="n">
        <v>50</v>
      </c>
      <c r="AX31" s="103" t="n">
        <v>23</v>
      </c>
      <c r="AY31" s="103"/>
      <c r="AZ31" s="104" t="n">
        <f aca="false">SUM(N31,P31:U31)</f>
        <v>4</v>
      </c>
    </row>
    <row r="32" customFormat="false" ht="12.95" hidden="false" customHeight="true" outlineLevel="0" collapsed="false">
      <c r="A32" s="10" t="n">
        <f aca="false">A31+1</f>
        <v>18</v>
      </c>
      <c r="B32" s="126" t="n">
        <v>6902.42</v>
      </c>
      <c r="C32" s="90" t="n">
        <v>292595</v>
      </c>
      <c r="D32" s="127" t="n">
        <f aca="false">C32-C31</f>
        <v>-75</v>
      </c>
      <c r="E32" s="90" t="n">
        <f aca="false">C32-152000</f>
        <v>140595</v>
      </c>
      <c r="F32" s="128" t="n">
        <f aca="false">D32/$D$2</f>
        <v>-37.8119485757499</v>
      </c>
      <c r="G32" s="11" t="n">
        <v>57</v>
      </c>
      <c r="H32" s="12" t="n">
        <v>0.31</v>
      </c>
      <c r="I32" s="11" t="n">
        <f aca="false">G32+H32</f>
        <v>57.31</v>
      </c>
      <c r="J32" s="4" t="n">
        <f aca="false">IF(L32&gt;0,L32,0)</f>
        <v>0</v>
      </c>
      <c r="K32" s="11" t="n">
        <f aca="false">I32+J32</f>
        <v>57.31</v>
      </c>
      <c r="L32" s="11" t="n">
        <f aca="false">F32-(I32-AK32)</f>
        <v>-5.82194857574994</v>
      </c>
      <c r="M32" s="129" t="n">
        <v>3.3</v>
      </c>
      <c r="N32" s="130" t="n">
        <v>0</v>
      </c>
      <c r="O32" s="130" t="n">
        <v>0</v>
      </c>
      <c r="P32" s="93" t="n">
        <v>0</v>
      </c>
      <c r="Q32" s="131" t="n">
        <f aca="false">868700/325851/1.9835*1.02</f>
        <v>1.37094089107431</v>
      </c>
      <c r="R32" s="131" t="n">
        <f aca="false">((2)*1.04)-T32</f>
        <v>1.60751136</v>
      </c>
      <c r="S32" s="131" t="n">
        <v>0</v>
      </c>
      <c r="T32" s="133" t="n">
        <f aca="false">(0.4286*1.06)*1.04</f>
        <v>0.47248864</v>
      </c>
      <c r="U32" s="96" t="n">
        <f aca="false">M32-(Q32+R32+S32+T32)</f>
        <v>-0.150940891074307</v>
      </c>
      <c r="V32" s="134" t="n">
        <v>56</v>
      </c>
      <c r="W32" s="134" t="n">
        <v>0</v>
      </c>
      <c r="X32" s="135" t="n">
        <f aca="false">M32-N32-P32-O32-Q32-R32-S32-T32-U32+V32+W32</f>
        <v>56</v>
      </c>
      <c r="Y32" s="136" t="n">
        <f aca="false">X32-AO32</f>
        <v>56</v>
      </c>
      <c r="Z32" s="80"/>
      <c r="AA32" s="136"/>
      <c r="AB32" s="80"/>
      <c r="AC32" s="134" t="n">
        <v>0</v>
      </c>
      <c r="AD32" s="80"/>
      <c r="AE32" s="134" t="n">
        <v>0</v>
      </c>
      <c r="AF32" s="137"/>
      <c r="AG32" s="138"/>
      <c r="AH32" s="134" t="n">
        <v>30</v>
      </c>
      <c r="AI32" s="80" t="n">
        <f aca="false">AI31-AH32</f>
        <v>4824</v>
      </c>
      <c r="AJ32" s="80"/>
      <c r="AK32" s="134" t="n">
        <f aca="false">N32+O32+P32+Q32+R32+S32+T32+U32+X32+AE32+AH32</f>
        <v>89.3</v>
      </c>
      <c r="AL32" s="134" t="n">
        <f aca="false">IF(L32&lt;0,L32*-1,0)</f>
        <v>5.82194857574994</v>
      </c>
      <c r="AM32" s="134" t="n">
        <f aca="false">AK32+AL32</f>
        <v>95.1219485757499</v>
      </c>
      <c r="AN32" s="100" t="n">
        <f aca="false">V32</f>
        <v>56</v>
      </c>
      <c r="AO32" s="97"/>
      <c r="AP32" s="101"/>
      <c r="AQ32" s="101"/>
      <c r="AR32" s="101"/>
      <c r="AS32" s="101"/>
      <c r="AU32" s="5"/>
      <c r="AV32" s="102" t="n">
        <v>0</v>
      </c>
      <c r="AW32" s="103" t="n">
        <v>51</v>
      </c>
      <c r="AX32" s="103" t="n">
        <v>29</v>
      </c>
      <c r="AY32" s="103"/>
      <c r="AZ32" s="104" t="n">
        <f aca="false">SUM(N32,P32:U32)</f>
        <v>3.3</v>
      </c>
    </row>
    <row r="33" customFormat="false" ht="12.95" hidden="false" customHeight="true" outlineLevel="0" collapsed="false">
      <c r="A33" s="10" t="n">
        <f aca="false">A32+1</f>
        <v>19</v>
      </c>
      <c r="B33" s="126" t="n">
        <v>6902.4</v>
      </c>
      <c r="C33" s="90" t="n">
        <v>292520</v>
      </c>
      <c r="D33" s="127" t="n">
        <f aca="false">C33-C32</f>
        <v>-75</v>
      </c>
      <c r="E33" s="90" t="n">
        <f aca="false">C33-152000</f>
        <v>140520</v>
      </c>
      <c r="F33" s="128" t="n">
        <f aca="false">D33/$D$2</f>
        <v>-37.8119485757499</v>
      </c>
      <c r="G33" s="11" t="n">
        <v>71</v>
      </c>
      <c r="H33" s="12" t="n">
        <v>0.42</v>
      </c>
      <c r="I33" s="11" t="n">
        <f aca="false">G33+H33</f>
        <v>71.42</v>
      </c>
      <c r="J33" s="4" t="n">
        <f aca="false">IF(L33&gt;0,L33,0)</f>
        <v>0</v>
      </c>
      <c r="K33" s="11" t="n">
        <f aca="false">I33+J33</f>
        <v>71.42</v>
      </c>
      <c r="L33" s="11" t="n">
        <f aca="false">F33-(I33-AK33)</f>
        <v>-19.4319485757499</v>
      </c>
      <c r="M33" s="129" t="n">
        <v>3.8</v>
      </c>
      <c r="N33" s="130" t="n">
        <v>0</v>
      </c>
      <c r="O33" s="130" t="n">
        <v>0</v>
      </c>
      <c r="P33" s="93" t="n">
        <v>0</v>
      </c>
      <c r="Q33" s="131" t="n">
        <f aca="false">925100/325851/1.9835*1.02</f>
        <v>1.45994868001939</v>
      </c>
      <c r="R33" s="131" t="n">
        <f aca="false">((1.8)*1.04)-T33</f>
        <v>1.39951136</v>
      </c>
      <c r="S33" s="131" t="n">
        <v>0</v>
      </c>
      <c r="T33" s="133" t="n">
        <f aca="false">(0.4286*1.06)*1.04</f>
        <v>0.47248864</v>
      </c>
      <c r="U33" s="96" t="n">
        <f aca="false">M33-(Q33+R33+S33+T33)</f>
        <v>0.468051319980613</v>
      </c>
      <c r="V33" s="134" t="n">
        <v>56</v>
      </c>
      <c r="W33" s="134" t="n">
        <v>0</v>
      </c>
      <c r="X33" s="135" t="n">
        <f aca="false">M33-N33-P33-O33-Q33-R33-S33-T33-U33+V33+W33</f>
        <v>56</v>
      </c>
      <c r="Y33" s="136" t="n">
        <f aca="false">X33-AO33</f>
        <v>56</v>
      </c>
      <c r="Z33" s="80"/>
      <c r="AA33" s="136"/>
      <c r="AB33" s="80"/>
      <c r="AC33" s="134" t="n">
        <v>13.3</v>
      </c>
      <c r="AD33" s="80"/>
      <c r="AE33" s="134" t="n">
        <v>0</v>
      </c>
      <c r="AF33" s="137"/>
      <c r="AG33" s="138"/>
      <c r="AH33" s="134" t="n">
        <v>30</v>
      </c>
      <c r="AI33" s="80" t="n">
        <f aca="false">AI32-AH33</f>
        <v>4794</v>
      </c>
      <c r="AJ33" s="80"/>
      <c r="AK33" s="134" t="n">
        <f aca="false">N33+O33+P33+Q33+R33+S33+T33+U33+X33+AE33+AH33</f>
        <v>89.8</v>
      </c>
      <c r="AL33" s="134" t="n">
        <f aca="false">IF(L33&lt;0,L33*-1,0)</f>
        <v>19.4319485757499</v>
      </c>
      <c r="AM33" s="134" t="n">
        <f aca="false">AK33+AL33</f>
        <v>109.23194857575</v>
      </c>
      <c r="AN33" s="100" t="n">
        <f aca="false">V33</f>
        <v>56</v>
      </c>
      <c r="AO33" s="97"/>
      <c r="AP33" s="101"/>
      <c r="AQ33" s="101"/>
      <c r="AR33" s="101"/>
      <c r="AS33" s="101"/>
      <c r="AU33" s="5"/>
      <c r="AV33" s="102" t="n">
        <v>0</v>
      </c>
      <c r="AW33" s="103" t="n">
        <v>52</v>
      </c>
      <c r="AX33" s="103" t="n">
        <v>33</v>
      </c>
      <c r="AY33" s="103"/>
      <c r="AZ33" s="104" t="n">
        <f aca="false">SUM(N33,P33:U33)</f>
        <v>3.8</v>
      </c>
    </row>
    <row r="34" customFormat="false" ht="12.95" hidden="false" customHeight="true" outlineLevel="0" collapsed="false">
      <c r="A34" s="10" t="n">
        <f aca="false">A33+1</f>
        <v>20</v>
      </c>
      <c r="B34" s="126" t="n">
        <v>6902.38</v>
      </c>
      <c r="C34" s="90" t="n">
        <v>292444</v>
      </c>
      <c r="D34" s="127" t="n">
        <f aca="false">C34-C33</f>
        <v>-76</v>
      </c>
      <c r="E34" s="90" t="n">
        <f aca="false">C34-152000</f>
        <v>140444</v>
      </c>
      <c r="F34" s="128" t="n">
        <f aca="false">D34/$D$2</f>
        <v>-38.3161078900933</v>
      </c>
      <c r="G34" s="11" t="n">
        <v>66</v>
      </c>
      <c r="H34" s="12" t="n">
        <v>0.52</v>
      </c>
      <c r="I34" s="11" t="n">
        <f aca="false">G34+H34</f>
        <v>66.52</v>
      </c>
      <c r="J34" s="4" t="n">
        <f aca="false">IF(L34&gt;0,L34,0)</f>
        <v>0</v>
      </c>
      <c r="K34" s="11" t="n">
        <f aca="false">I34+J34</f>
        <v>66.52</v>
      </c>
      <c r="L34" s="11" t="n">
        <f aca="false">F34-(I34-AK34)</f>
        <v>-15.2361078900933</v>
      </c>
      <c r="M34" s="129" t="n">
        <v>2.6</v>
      </c>
      <c r="N34" s="130" t="n">
        <v>0</v>
      </c>
      <c r="O34" s="130" t="n">
        <v>0</v>
      </c>
      <c r="P34" s="93" t="n">
        <v>0</v>
      </c>
      <c r="Q34" s="131" t="n">
        <f aca="false">975500/325851/1.9835*1.02</f>
        <v>1.53948755524691</v>
      </c>
      <c r="R34" s="131" t="n">
        <f aca="false">((1.8)*1.04)-T34</f>
        <v>1.39951136</v>
      </c>
      <c r="S34" s="131" t="n">
        <v>0</v>
      </c>
      <c r="T34" s="133" t="n">
        <f aca="false">(0.4286*1.06)*1.04</f>
        <v>0.47248864</v>
      </c>
      <c r="U34" s="96" t="n">
        <f aca="false">M34-(Q34+R34+S34+T34)</f>
        <v>-0.811487555246904</v>
      </c>
      <c r="V34" s="134" t="n">
        <v>57</v>
      </c>
      <c r="W34" s="134" t="n">
        <v>0</v>
      </c>
      <c r="X34" s="135" t="n">
        <f aca="false">M34-N34-P34-O34-Q34-R34-S34-T34-U34+V34+W34</f>
        <v>57</v>
      </c>
      <c r="Y34" s="136" t="n">
        <f aca="false">X34-AO34</f>
        <v>57</v>
      </c>
      <c r="Z34" s="80"/>
      <c r="AA34" s="136"/>
      <c r="AB34" s="80"/>
      <c r="AC34" s="134" t="n">
        <v>16.3</v>
      </c>
      <c r="AD34" s="80"/>
      <c r="AE34" s="134" t="n">
        <v>0</v>
      </c>
      <c r="AF34" s="137"/>
      <c r="AG34" s="138"/>
      <c r="AH34" s="134" t="n">
        <v>30</v>
      </c>
      <c r="AI34" s="80" t="n">
        <f aca="false">AI33-AH34</f>
        <v>4764</v>
      </c>
      <c r="AJ34" s="80"/>
      <c r="AK34" s="134" t="n">
        <f aca="false">N34+O34+P34+Q34+R34+S34+T34+U34+X34+AE34+AH34</f>
        <v>89.6</v>
      </c>
      <c r="AL34" s="134" t="n">
        <f aca="false">IF(L34&lt;0,L34*-1,0)</f>
        <v>15.2361078900933</v>
      </c>
      <c r="AM34" s="134" t="n">
        <f aca="false">AK34+AL34</f>
        <v>104.836107890093</v>
      </c>
      <c r="AN34" s="100" t="n">
        <f aca="false">V34</f>
        <v>57</v>
      </c>
      <c r="AO34" s="97"/>
      <c r="AP34" s="101"/>
      <c r="AQ34" s="101"/>
      <c r="AR34" s="101"/>
      <c r="AS34" s="101"/>
      <c r="AU34" s="5"/>
      <c r="AV34" s="102" t="n">
        <v>0</v>
      </c>
      <c r="AW34" s="103" t="n">
        <v>51</v>
      </c>
      <c r="AX34" s="103" t="n">
        <v>31</v>
      </c>
      <c r="AY34" s="103"/>
      <c r="AZ34" s="104" t="n">
        <f aca="false">SUM(N34,P34:U34)</f>
        <v>2.6</v>
      </c>
    </row>
    <row r="35" customFormat="false" ht="12.95" hidden="false" customHeight="true" outlineLevel="0" collapsed="false">
      <c r="A35" s="10" t="n">
        <f aca="false">A34+1</f>
        <v>21</v>
      </c>
      <c r="B35" s="126" t="n">
        <v>6902.36</v>
      </c>
      <c r="C35" s="90" t="n">
        <v>292369</v>
      </c>
      <c r="D35" s="127" t="n">
        <f aca="false">C35-C34</f>
        <v>-75</v>
      </c>
      <c r="E35" s="90" t="n">
        <f aca="false">C35-152000</f>
        <v>140369</v>
      </c>
      <c r="F35" s="128" t="n">
        <f aca="false">D35/$D$2</f>
        <v>-37.8119485757499</v>
      </c>
      <c r="G35" s="11" t="n">
        <v>61</v>
      </c>
      <c r="H35" s="12" t="n">
        <v>0.56</v>
      </c>
      <c r="I35" s="11" t="n">
        <f aca="false">G35+H35</f>
        <v>61.56</v>
      </c>
      <c r="J35" s="4" t="n">
        <f aca="false">IF(L35&gt;0,L35,0)</f>
        <v>0</v>
      </c>
      <c r="K35" s="11" t="n">
        <f aca="false">I35+J35</f>
        <v>61.56</v>
      </c>
      <c r="L35" s="11" t="n">
        <f aca="false">F35-(I35-AK35)</f>
        <v>-0.471948575749934</v>
      </c>
      <c r="M35" s="129" t="n">
        <v>3.9</v>
      </c>
      <c r="N35" s="130" t="n">
        <v>0</v>
      </c>
      <c r="O35" s="130" t="n">
        <v>0</v>
      </c>
      <c r="P35" s="93" t="n">
        <v>0</v>
      </c>
      <c r="Q35" s="131" t="n">
        <f aca="false">973400/325851/1.9835*1.02</f>
        <v>1.53617343544576</v>
      </c>
      <c r="R35" s="131" t="n">
        <f aca="false">((1.8)*1.04)-T35</f>
        <v>1.39951136</v>
      </c>
      <c r="S35" s="131" t="n">
        <v>0</v>
      </c>
      <c r="T35" s="133" t="n">
        <f aca="false">(0.4286*1.06)*1.04</f>
        <v>0.47248864</v>
      </c>
      <c r="U35" s="96" t="n">
        <f aca="false">M35-(Q35+R35+S35+T35)</f>
        <v>0.491826564554242</v>
      </c>
      <c r="V35" s="134" t="n">
        <v>65</v>
      </c>
      <c r="W35" s="134" t="n">
        <v>0</v>
      </c>
      <c r="X35" s="135" t="n">
        <f aca="false">M35-N35-P35-O35-Q35-R35-S35-T35-U35+V35+W35</f>
        <v>65</v>
      </c>
      <c r="Y35" s="136" t="n">
        <f aca="false">X35-AO35</f>
        <v>65</v>
      </c>
      <c r="Z35" s="80"/>
      <c r="AA35" s="136"/>
      <c r="AB35" s="80"/>
      <c r="AC35" s="134" t="n">
        <v>0</v>
      </c>
      <c r="AD35" s="80"/>
      <c r="AE35" s="134" t="n">
        <v>0</v>
      </c>
      <c r="AF35" s="137"/>
      <c r="AG35" s="138"/>
      <c r="AH35" s="134" t="n">
        <v>30</v>
      </c>
      <c r="AI35" s="80" t="n">
        <f aca="false">AI34-AH35</f>
        <v>4734</v>
      </c>
      <c r="AJ35" s="80"/>
      <c r="AK35" s="134" t="n">
        <f aca="false">N35+O35+P35+Q35+R35+S35+T35+U35+X35+AE35+AH35</f>
        <v>98.9</v>
      </c>
      <c r="AL35" s="134" t="n">
        <f aca="false">IF(L35&lt;0,L35*-1,0)</f>
        <v>0.471948575749934</v>
      </c>
      <c r="AM35" s="134" t="n">
        <f aca="false">AK35+AL35</f>
        <v>99.3719485757499</v>
      </c>
      <c r="AN35" s="100" t="n">
        <f aca="false">V35</f>
        <v>65</v>
      </c>
      <c r="AO35" s="97"/>
      <c r="AP35" s="101"/>
      <c r="AQ35" s="101"/>
      <c r="AR35" s="101"/>
      <c r="AS35" s="101"/>
      <c r="AU35" s="5"/>
      <c r="AV35" s="102" t="n">
        <v>0.08</v>
      </c>
      <c r="AW35" s="103" t="n">
        <v>48</v>
      </c>
      <c r="AX35" s="103" t="n">
        <v>31</v>
      </c>
      <c r="AY35" s="103"/>
      <c r="AZ35" s="104" t="n">
        <f aca="false">SUM(N35,P35:U35)</f>
        <v>3.9</v>
      </c>
    </row>
    <row r="36" customFormat="false" ht="12.95" hidden="false" customHeight="true" outlineLevel="0" collapsed="false">
      <c r="A36" s="10" t="n">
        <f aca="false">A35+1</f>
        <v>22</v>
      </c>
      <c r="B36" s="126" t="n">
        <v>6902.33</v>
      </c>
      <c r="C36" s="90" t="n">
        <v>292256</v>
      </c>
      <c r="D36" s="127" t="n">
        <f aca="false">C36-C35</f>
        <v>-113</v>
      </c>
      <c r="E36" s="90" t="n">
        <f aca="false">C36-152000</f>
        <v>140256</v>
      </c>
      <c r="F36" s="128" t="n">
        <f aca="false">D36/$D$2</f>
        <v>-56.9700025207966</v>
      </c>
      <c r="G36" s="11" t="n">
        <v>59</v>
      </c>
      <c r="H36" s="11" t="n">
        <v>0.61</v>
      </c>
      <c r="I36" s="11" t="n">
        <f aca="false">G36+H36</f>
        <v>59.61</v>
      </c>
      <c r="J36" s="4" t="n">
        <f aca="false">IF(L36&gt;0,L36,0)</f>
        <v>0</v>
      </c>
      <c r="K36" s="11" t="n">
        <f aca="false">I36+J36</f>
        <v>59.61</v>
      </c>
      <c r="L36" s="11" t="n">
        <f aca="false">F36-(I36-AK36)</f>
        <v>-26.4800025207966</v>
      </c>
      <c r="M36" s="129" t="n">
        <v>3.1</v>
      </c>
      <c r="N36" s="130" t="n">
        <v>0</v>
      </c>
      <c r="O36" s="130" t="n">
        <v>0</v>
      </c>
      <c r="P36" s="93" t="n">
        <v>0</v>
      </c>
      <c r="Q36" s="131" t="n">
        <f aca="false">999200/325851/1.9835*1.02</f>
        <v>1.57688976443127</v>
      </c>
      <c r="R36" s="131" t="n">
        <f aca="false">((1.8)*1.04)-T36</f>
        <v>1.39951136</v>
      </c>
      <c r="S36" s="131" t="n">
        <v>0</v>
      </c>
      <c r="T36" s="133" t="n">
        <f aca="false">(0.4286*1.06)*1.04</f>
        <v>0.47248864</v>
      </c>
      <c r="U36" s="96" t="n">
        <f aca="false">M36-(Q36+R36+S36+T36)</f>
        <v>-0.348889764431274</v>
      </c>
      <c r="V36" s="134" t="n">
        <v>57</v>
      </c>
      <c r="W36" s="134" t="n">
        <v>0</v>
      </c>
      <c r="X36" s="135" t="n">
        <f aca="false">M36-N36-P36-O36-Q36-R36-S36-T36-U36+V36+W36</f>
        <v>57</v>
      </c>
      <c r="Y36" s="136" t="n">
        <f aca="false">X36-AO36</f>
        <v>57</v>
      </c>
      <c r="Z36" s="80"/>
      <c r="AA36" s="136"/>
      <c r="AB36" s="80"/>
      <c r="AC36" s="134" t="n">
        <v>2.1</v>
      </c>
      <c r="AD36" s="80"/>
      <c r="AE36" s="134" t="n">
        <v>0</v>
      </c>
      <c r="AF36" s="137"/>
      <c r="AG36" s="138"/>
      <c r="AH36" s="134" t="n">
        <v>30</v>
      </c>
      <c r="AI36" s="80" t="n">
        <f aca="false">AI35-AH36</f>
        <v>4704</v>
      </c>
      <c r="AJ36" s="80"/>
      <c r="AK36" s="134" t="n">
        <f aca="false">N36+O36+P36+Q36+R36+S36+T36+U36+X36+AE36+AH36</f>
        <v>90.1</v>
      </c>
      <c r="AL36" s="134" t="n">
        <f aca="false">IF(L36&lt;0,L36*-1,0)</f>
        <v>26.4800025207966</v>
      </c>
      <c r="AM36" s="134" t="n">
        <f aca="false">AK36+AL36</f>
        <v>116.580002520797</v>
      </c>
      <c r="AN36" s="100" t="n">
        <f aca="false">V36</f>
        <v>57</v>
      </c>
      <c r="AO36" s="97"/>
      <c r="AP36" s="101"/>
      <c r="AQ36" s="101"/>
      <c r="AR36" s="101"/>
      <c r="AS36" s="101"/>
      <c r="AU36" s="5"/>
      <c r="AV36" s="102" t="n">
        <v>0</v>
      </c>
      <c r="AW36" s="103" t="n">
        <v>49</v>
      </c>
      <c r="AX36" s="103" t="n">
        <v>27</v>
      </c>
      <c r="AY36" s="103"/>
      <c r="AZ36" s="104" t="n">
        <f aca="false">SUM(N36,P36:U36)</f>
        <v>3.1</v>
      </c>
    </row>
    <row r="37" customFormat="false" ht="12.95" hidden="false" customHeight="true" outlineLevel="0" collapsed="false">
      <c r="A37" s="10" t="n">
        <f aca="false">A36+1</f>
        <v>23</v>
      </c>
      <c r="B37" s="126" t="n">
        <v>6902.3</v>
      </c>
      <c r="C37" s="90" t="n">
        <v>292143</v>
      </c>
      <c r="D37" s="127" t="n">
        <f aca="false">C37-C36</f>
        <v>-113</v>
      </c>
      <c r="E37" s="90" t="n">
        <f aca="false">C37-152000</f>
        <v>140143</v>
      </c>
      <c r="F37" s="128" t="n">
        <f aca="false">D37/$D$2</f>
        <v>-56.9700025207966</v>
      </c>
      <c r="G37" s="11" t="n">
        <v>50</v>
      </c>
      <c r="H37" s="12" t="n">
        <v>0.54</v>
      </c>
      <c r="I37" s="11" t="n">
        <f aca="false">G37+H37</f>
        <v>50.54</v>
      </c>
      <c r="J37" s="4" t="n">
        <f aca="false">IF(L37&gt;0,L37,0)</f>
        <v>0</v>
      </c>
      <c r="K37" s="11" t="n">
        <f aca="false">I37+J37</f>
        <v>50.54</v>
      </c>
      <c r="L37" s="11" t="n">
        <f aca="false">F37-(I37-AK37)</f>
        <v>-19.0100025207966</v>
      </c>
      <c r="M37" s="129" t="n">
        <v>3.5</v>
      </c>
      <c r="N37" s="130" t="n">
        <v>0</v>
      </c>
      <c r="O37" s="130" t="n">
        <v>0</v>
      </c>
      <c r="P37" s="93" t="n">
        <v>0</v>
      </c>
      <c r="Q37" s="131" t="n">
        <f aca="false">807800/325851/1.9835*1.02</f>
        <v>1.27483141684106</v>
      </c>
      <c r="R37" s="131" t="n">
        <f aca="false">((1.8)*1.04)-T37</f>
        <v>1.39951136</v>
      </c>
      <c r="S37" s="131" t="n">
        <v>0</v>
      </c>
      <c r="T37" s="133" t="n">
        <f aca="false">(0.4286*1.06)*1.04</f>
        <v>0.47248864</v>
      </c>
      <c r="U37" s="96" t="n">
        <f aca="false">M37-(Q37+R37+S37+T37)</f>
        <v>0.353168583158944</v>
      </c>
      <c r="V37" s="134" t="n">
        <v>55</v>
      </c>
      <c r="W37" s="134" t="n">
        <v>0</v>
      </c>
      <c r="X37" s="135" t="n">
        <f aca="false">M37-N37-P37-O37-Q37-R37-S37-T37-U37+V37+W37</f>
        <v>55</v>
      </c>
      <c r="Y37" s="136" t="n">
        <f aca="false">X37-AO37</f>
        <v>55</v>
      </c>
      <c r="Z37" s="80"/>
      <c r="AA37" s="136"/>
      <c r="AB37" s="80"/>
      <c r="AC37" s="134" t="n">
        <v>0</v>
      </c>
      <c r="AD37" s="80"/>
      <c r="AE37" s="134" t="n">
        <v>0</v>
      </c>
      <c r="AF37" s="137"/>
      <c r="AG37" s="138"/>
      <c r="AH37" s="134" t="n">
        <v>30</v>
      </c>
      <c r="AI37" s="80" t="n">
        <f aca="false">AI36-AH37</f>
        <v>4674</v>
      </c>
      <c r="AJ37" s="80"/>
      <c r="AK37" s="134" t="n">
        <f aca="false">N37+O37+P37+Q37+R37+S37+T37+U37+X37+AE37+AH37</f>
        <v>88.5</v>
      </c>
      <c r="AL37" s="134" t="n">
        <f aca="false">IF(L37&lt;0,L37*-1,0)</f>
        <v>19.0100025207966</v>
      </c>
      <c r="AM37" s="134" t="n">
        <f aca="false">AK37+AL37</f>
        <v>107.510002520797</v>
      </c>
      <c r="AN37" s="100" t="n">
        <f aca="false">V37</f>
        <v>55</v>
      </c>
      <c r="AO37" s="97"/>
      <c r="AP37" s="101"/>
      <c r="AQ37" s="101"/>
      <c r="AR37" s="101"/>
      <c r="AS37" s="101"/>
      <c r="AU37" s="5"/>
      <c r="AV37" s="102" t="n">
        <v>0</v>
      </c>
      <c r="AW37" s="103" t="n">
        <v>57</v>
      </c>
      <c r="AX37" s="140" t="n">
        <v>27</v>
      </c>
      <c r="AY37" s="140"/>
      <c r="AZ37" s="104" t="n">
        <f aca="false">SUM(N37,P37:U37)</f>
        <v>3.5</v>
      </c>
    </row>
    <row r="38" customFormat="false" ht="12.95" hidden="false" customHeight="true" outlineLevel="0" collapsed="false">
      <c r="A38" s="10" t="n">
        <f aca="false">A37+1</f>
        <v>24</v>
      </c>
      <c r="B38" s="126" t="n">
        <v>6902.27</v>
      </c>
      <c r="C38" s="90" t="n">
        <v>292030</v>
      </c>
      <c r="D38" s="127" t="n">
        <f aca="false">C38-C37</f>
        <v>-113</v>
      </c>
      <c r="E38" s="90" t="n">
        <f aca="false">C38-152000</f>
        <v>140030</v>
      </c>
      <c r="F38" s="128" t="n">
        <f aca="false">D38/$D$2</f>
        <v>-56.9700025207966</v>
      </c>
      <c r="G38" s="11" t="n">
        <v>48</v>
      </c>
      <c r="H38" s="11" t="n">
        <v>0.51</v>
      </c>
      <c r="I38" s="11" t="n">
        <f aca="false">G38+H38</f>
        <v>48.51</v>
      </c>
      <c r="J38" s="4" t="n">
        <f aca="false">IF(L38&gt;0,L38,0)</f>
        <v>0</v>
      </c>
      <c r="K38" s="11" t="n">
        <f aca="false">I38+J38</f>
        <v>48.51</v>
      </c>
      <c r="L38" s="11" t="n">
        <f aca="false">F38-(I38-AK38)</f>
        <v>-16.5800025207966</v>
      </c>
      <c r="M38" s="129" t="n">
        <v>3.9</v>
      </c>
      <c r="N38" s="130" t="n">
        <v>0</v>
      </c>
      <c r="O38" s="130" t="n">
        <v>0</v>
      </c>
      <c r="P38" s="93" t="n">
        <v>0</v>
      </c>
      <c r="Q38" s="131" t="n">
        <f aca="false">913500/325851/1.9835*1.02</f>
        <v>1.44164211349877</v>
      </c>
      <c r="R38" s="131" t="n">
        <f aca="false">((1.8)*1.04)-T38</f>
        <v>1.39951136</v>
      </c>
      <c r="S38" s="131" t="n">
        <v>0</v>
      </c>
      <c r="T38" s="133" t="n">
        <f aca="false">(0.4286*1.06)*1.04</f>
        <v>0.47248864</v>
      </c>
      <c r="U38" s="96" t="n">
        <f aca="false">M38-(Q38+R38+S38+T38)</f>
        <v>0.586357886501232</v>
      </c>
      <c r="V38" s="134" t="n">
        <v>55</v>
      </c>
      <c r="W38" s="134" t="n">
        <v>0</v>
      </c>
      <c r="X38" s="135" t="n">
        <f aca="false">M38-N38-P38-O38-Q38-R38-S38-T38-U38+V38+W38</f>
        <v>55</v>
      </c>
      <c r="Y38" s="136" t="n">
        <f aca="false">X38-AO38</f>
        <v>55</v>
      </c>
      <c r="Z38" s="80"/>
      <c r="AA38" s="136"/>
      <c r="AB38" s="80"/>
      <c r="AC38" s="134" t="n">
        <v>0</v>
      </c>
      <c r="AD38" s="80"/>
      <c r="AE38" s="134" t="n">
        <v>0</v>
      </c>
      <c r="AF38" s="137"/>
      <c r="AG38" s="138"/>
      <c r="AH38" s="134" t="n">
        <v>30</v>
      </c>
      <c r="AI38" s="80" t="n">
        <f aca="false">AI37-AH38</f>
        <v>4644</v>
      </c>
      <c r="AJ38" s="80"/>
      <c r="AK38" s="134" t="n">
        <f aca="false">N38+O38+P38+Q38+R38+S38+T38+U38+X38+AE38+AH38</f>
        <v>88.9</v>
      </c>
      <c r="AL38" s="134" t="n">
        <f aca="false">IF(L38&lt;0,L38*-1,0)</f>
        <v>16.5800025207966</v>
      </c>
      <c r="AM38" s="134" t="n">
        <f aca="false">AK38+AL38</f>
        <v>105.480002520797</v>
      </c>
      <c r="AN38" s="100" t="n">
        <f aca="false">V38</f>
        <v>55</v>
      </c>
      <c r="AO38" s="97"/>
      <c r="AP38" s="101"/>
      <c r="AQ38" s="101"/>
      <c r="AR38" s="101"/>
      <c r="AS38" s="101"/>
      <c r="AU38" s="5"/>
      <c r="AV38" s="102" t="n">
        <v>0</v>
      </c>
      <c r="AW38" s="103" t="n">
        <v>56</v>
      </c>
      <c r="AX38" s="140" t="n">
        <v>30</v>
      </c>
      <c r="AY38" s="140"/>
      <c r="AZ38" s="104" t="n">
        <f aca="false">SUM(N38,P38:U38)</f>
        <v>3.9</v>
      </c>
    </row>
    <row r="39" customFormat="false" ht="12.95" hidden="false" customHeight="true" outlineLevel="0" collapsed="false">
      <c r="A39" s="10" t="n">
        <f aca="false">A38+1</f>
        <v>25</v>
      </c>
      <c r="B39" s="126" t="n">
        <v>6902.25</v>
      </c>
      <c r="C39" s="90" t="n">
        <v>291955</v>
      </c>
      <c r="D39" s="127" t="n">
        <f aca="false">C39-C38</f>
        <v>-75</v>
      </c>
      <c r="E39" s="90" t="n">
        <f aca="false">C39-152000</f>
        <v>139955</v>
      </c>
      <c r="F39" s="128" t="n">
        <f aca="false">D39/$D$2</f>
        <v>-37.8119485757499</v>
      </c>
      <c r="G39" s="11" t="n">
        <v>72</v>
      </c>
      <c r="H39" s="12" t="n">
        <v>0.79</v>
      </c>
      <c r="I39" s="11" t="n">
        <f aca="false">G39+H39</f>
        <v>72.79</v>
      </c>
      <c r="J39" s="4" t="n">
        <f aca="false">IF(L39&gt;0,L39,0)</f>
        <v>0</v>
      </c>
      <c r="K39" s="11" t="n">
        <f aca="false">I39+J39</f>
        <v>72.79</v>
      </c>
      <c r="L39" s="11" t="n">
        <f aca="false">F39-(I39-AK39)</f>
        <v>-22.8019485757499</v>
      </c>
      <c r="M39" s="129" t="n">
        <v>2.8</v>
      </c>
      <c r="N39" s="130" t="n">
        <v>0</v>
      </c>
      <c r="O39" s="130" t="n">
        <v>0</v>
      </c>
      <c r="P39" s="93" t="n">
        <v>0</v>
      </c>
      <c r="Q39" s="131" t="n">
        <f aca="false">851500/325851/1.9835*1.02</f>
        <v>1.34379667175063</v>
      </c>
      <c r="R39" s="131" t="n">
        <f aca="false">((1.8)*1.04)-T39</f>
        <v>1.38650304</v>
      </c>
      <c r="S39" s="131" t="n">
        <v>0</v>
      </c>
      <c r="T39" s="133" t="n">
        <f aca="false">(0.4404*1.06)*1.04</f>
        <v>0.48549696</v>
      </c>
      <c r="U39" s="96" t="n">
        <f aca="false">M39-(Q39+R39+S39+T39)</f>
        <v>-0.41579667175063</v>
      </c>
      <c r="V39" s="134" t="n">
        <v>55</v>
      </c>
      <c r="W39" s="134" t="n">
        <v>0</v>
      </c>
      <c r="X39" s="135" t="n">
        <f aca="false">M39-N39-P39-O39-Q39-R39-S39-T39-U39+V39+W39</f>
        <v>55</v>
      </c>
      <c r="Y39" s="136" t="n">
        <f aca="false">X39-AO39</f>
        <v>55</v>
      </c>
      <c r="Z39" s="80"/>
      <c r="AA39" s="136"/>
      <c r="AB39" s="80"/>
      <c r="AC39" s="134" t="n">
        <v>11.9</v>
      </c>
      <c r="AD39" s="80"/>
      <c r="AE39" s="134" t="n">
        <v>0</v>
      </c>
      <c r="AF39" s="137"/>
      <c r="AG39" s="138"/>
      <c r="AH39" s="134" t="n">
        <v>30</v>
      </c>
      <c r="AI39" s="80" t="n">
        <f aca="false">AI38-AH39</f>
        <v>4614</v>
      </c>
      <c r="AJ39" s="80"/>
      <c r="AK39" s="134" t="n">
        <f aca="false">N39+O39+P39+Q39+R39+S39+T39+U39+X39+AE39+AH39</f>
        <v>87.8</v>
      </c>
      <c r="AL39" s="134" t="n">
        <f aca="false">IF(L39&lt;0,L39*-1,0)</f>
        <v>22.8019485757499</v>
      </c>
      <c r="AM39" s="134" t="n">
        <f aca="false">AK39+AL39</f>
        <v>110.60194857575</v>
      </c>
      <c r="AN39" s="100" t="n">
        <f aca="false">V39</f>
        <v>55</v>
      </c>
      <c r="AO39" s="97"/>
      <c r="AP39" s="101"/>
      <c r="AQ39" s="101"/>
      <c r="AR39" s="101"/>
      <c r="AS39" s="101"/>
      <c r="AU39" s="5"/>
      <c r="AV39" s="102" t="n">
        <v>0.05</v>
      </c>
      <c r="AW39" s="103" t="n">
        <v>56</v>
      </c>
      <c r="AX39" s="140" t="n">
        <v>30</v>
      </c>
      <c r="AY39" s="140"/>
      <c r="AZ39" s="104" t="n">
        <f aca="false">SUM(N39,P39:U39)</f>
        <v>2.8</v>
      </c>
    </row>
    <row r="40" customFormat="false" ht="12.95" hidden="false" customHeight="true" outlineLevel="0" collapsed="false">
      <c r="A40" s="10" t="n">
        <f aca="false">A39+1</f>
        <v>26</v>
      </c>
      <c r="B40" s="126" t="n">
        <v>6902.23</v>
      </c>
      <c r="C40" s="90" t="n">
        <v>291880</v>
      </c>
      <c r="D40" s="127" t="n">
        <f aca="false">C40-C39</f>
        <v>-75</v>
      </c>
      <c r="E40" s="90" t="n">
        <f aca="false">C40-152000</f>
        <v>139880</v>
      </c>
      <c r="F40" s="128" t="n">
        <f aca="false">D40/$D$2</f>
        <v>-37.8119485757499</v>
      </c>
      <c r="G40" s="11" t="n">
        <v>55</v>
      </c>
      <c r="H40" s="12" t="n">
        <v>0.72</v>
      </c>
      <c r="I40" s="11" t="n">
        <f aca="false">G40+H40</f>
        <v>55.72</v>
      </c>
      <c r="J40" s="4" t="n">
        <f aca="false">IF(L40&gt;0,L40,0)</f>
        <v>0</v>
      </c>
      <c r="K40" s="11" t="n">
        <f aca="false">I40+J40</f>
        <v>55.72</v>
      </c>
      <c r="L40" s="11" t="n">
        <f aca="false">F40-(I40-AK40)</f>
        <v>-4.23194857574994</v>
      </c>
      <c r="M40" s="129" t="n">
        <v>3.3</v>
      </c>
      <c r="N40" s="130" t="n">
        <v>0</v>
      </c>
      <c r="O40" s="130" t="n">
        <v>0</v>
      </c>
      <c r="P40" s="93" t="n">
        <v>0</v>
      </c>
      <c r="Q40" s="131" t="n">
        <f aca="false">851100/325851/1.9835*1.04</f>
        <v>1.36950198751919</v>
      </c>
      <c r="R40" s="131" t="n">
        <f aca="false">((1.8)*1.04)-T40</f>
        <v>1.38650304</v>
      </c>
      <c r="S40" s="131" t="n">
        <v>0</v>
      </c>
      <c r="T40" s="133" t="n">
        <f aca="false">(0.4404*1.06)*1.04</f>
        <v>0.48549696</v>
      </c>
      <c r="U40" s="96" t="n">
        <f aca="false">M40-(Q40+R40+S40+T40)</f>
        <v>0.058498012480813</v>
      </c>
      <c r="V40" s="134" t="n">
        <v>56</v>
      </c>
      <c r="W40" s="134" t="n">
        <v>0</v>
      </c>
      <c r="X40" s="135" t="n">
        <f aca="false">M40-N40-P40-O40-Q40-R40-S40-T40-U40+V40+W40</f>
        <v>56</v>
      </c>
      <c r="Y40" s="136" t="n">
        <f aca="false">X40-AO40</f>
        <v>56</v>
      </c>
      <c r="Z40" s="80"/>
      <c r="AA40" s="136"/>
      <c r="AB40" s="80"/>
      <c r="AC40" s="134" t="n">
        <v>2.1</v>
      </c>
      <c r="AD40" s="80"/>
      <c r="AE40" s="134" t="n">
        <v>0</v>
      </c>
      <c r="AF40" s="137"/>
      <c r="AG40" s="138"/>
      <c r="AH40" s="134" t="n">
        <v>30</v>
      </c>
      <c r="AI40" s="80" t="n">
        <f aca="false">AI39-AH40</f>
        <v>4584</v>
      </c>
      <c r="AJ40" s="80"/>
      <c r="AK40" s="134" t="n">
        <f aca="false">N40+O40+P40+Q40+R40+S40+T40+U40+X40+AE40+AH40</f>
        <v>89.3</v>
      </c>
      <c r="AL40" s="134" t="n">
        <f aca="false">IF(L40&lt;0,L40*-1,0)</f>
        <v>4.23194857574994</v>
      </c>
      <c r="AM40" s="134" t="n">
        <f aca="false">AK40+AL40</f>
        <v>93.5319485757499</v>
      </c>
      <c r="AN40" s="100" t="n">
        <f aca="false">V40</f>
        <v>56</v>
      </c>
      <c r="AO40" s="97"/>
      <c r="AP40" s="101"/>
      <c r="AQ40" s="101"/>
      <c r="AR40" s="101"/>
      <c r="AS40" s="101"/>
      <c r="AU40" s="5"/>
      <c r="AV40" s="102" t="n">
        <v>0</v>
      </c>
      <c r="AW40" s="103" t="n">
        <v>43</v>
      </c>
      <c r="AX40" s="103" t="n">
        <v>23</v>
      </c>
      <c r="AY40" s="103"/>
      <c r="AZ40" s="104" t="n">
        <f aca="false">SUM(N40,P40:U40)</f>
        <v>3.3</v>
      </c>
    </row>
    <row r="41" customFormat="false" ht="12.95" hidden="false" customHeight="true" outlineLevel="0" collapsed="false">
      <c r="A41" s="10" t="n">
        <f aca="false">A40+1</f>
        <v>27</v>
      </c>
      <c r="B41" s="126" t="n">
        <v>6902.21</v>
      </c>
      <c r="C41" s="90" t="n">
        <v>291805</v>
      </c>
      <c r="D41" s="127" t="n">
        <f aca="false">C41-C40</f>
        <v>-75</v>
      </c>
      <c r="E41" s="90" t="n">
        <f aca="false">C41-152000</f>
        <v>139805</v>
      </c>
      <c r="F41" s="128" t="n">
        <f aca="false">D41/$D$2</f>
        <v>-37.8119485757499</v>
      </c>
      <c r="G41" s="11" t="n">
        <v>51</v>
      </c>
      <c r="H41" s="12" t="n">
        <v>0.49</v>
      </c>
      <c r="I41" s="11" t="n">
        <f aca="false">G41+H41</f>
        <v>51.49</v>
      </c>
      <c r="J41" s="4" t="n">
        <f aca="false">IF(L41&gt;0,L41,0)</f>
        <v>0.298051424250055</v>
      </c>
      <c r="K41" s="11" t="n">
        <f aca="false">I41+J41</f>
        <v>51.7880514242501</v>
      </c>
      <c r="L41" s="11" t="n">
        <f aca="false">F41-(I41-AK41)</f>
        <v>0.298051424250055</v>
      </c>
      <c r="M41" s="129" t="n">
        <v>3.6</v>
      </c>
      <c r="N41" s="130" t="n">
        <v>0</v>
      </c>
      <c r="O41" s="130" t="n">
        <v>0</v>
      </c>
      <c r="P41" s="93" t="n">
        <v>0</v>
      </c>
      <c r="Q41" s="131" t="n">
        <f aca="false">1024700/325851/1.9835*1.02</f>
        <v>1.61713264773091</v>
      </c>
      <c r="R41" s="131" t="n">
        <f aca="false">((1.8)*1.04)-T41</f>
        <v>1.38650304</v>
      </c>
      <c r="S41" s="131" t="n">
        <v>0</v>
      </c>
      <c r="T41" s="133" t="n">
        <f aca="false">(0.4404*1.06)*1.04</f>
        <v>0.48549696</v>
      </c>
      <c r="U41" s="96" t="n">
        <f aca="false">M41-(Q41+R41+S41+T41)</f>
        <v>0.110867352269089</v>
      </c>
      <c r="V41" s="134" t="n">
        <v>56</v>
      </c>
      <c r="W41" s="134" t="n">
        <v>0</v>
      </c>
      <c r="X41" s="135" t="n">
        <f aca="false">M41-N41-P41-O41-Q41-R41-S41-T41-U41+V41+W41</f>
        <v>56</v>
      </c>
      <c r="Y41" s="136" t="n">
        <f aca="false">X41-AO41</f>
        <v>56</v>
      </c>
      <c r="Z41" s="80"/>
      <c r="AA41" s="136"/>
      <c r="AB41" s="80"/>
      <c r="AC41" s="134" t="n">
        <v>1.7</v>
      </c>
      <c r="AD41" s="80"/>
      <c r="AE41" s="134" t="n">
        <v>0</v>
      </c>
      <c r="AF41" s="137"/>
      <c r="AG41" s="138"/>
      <c r="AH41" s="134" t="n">
        <v>30</v>
      </c>
      <c r="AI41" s="80" t="n">
        <f aca="false">AI40-AH41</f>
        <v>4554</v>
      </c>
      <c r="AJ41" s="80"/>
      <c r="AK41" s="134" t="n">
        <f aca="false">N41+O41+P41+Q41+R41+S41+T41+U41+X41+AE41+AH41</f>
        <v>89.6</v>
      </c>
      <c r="AL41" s="134" t="n">
        <f aca="false">IF(L41&lt;0,L41*-1,0)</f>
        <v>0</v>
      </c>
      <c r="AM41" s="134" t="n">
        <f aca="false">AK41+AL41</f>
        <v>89.6</v>
      </c>
      <c r="AN41" s="100" t="n">
        <f aca="false">V41</f>
        <v>56</v>
      </c>
      <c r="AO41" s="97"/>
      <c r="AP41" s="101"/>
      <c r="AQ41" s="101"/>
      <c r="AR41" s="101"/>
      <c r="AS41" s="101"/>
      <c r="AU41" s="5"/>
      <c r="AV41" s="102" t="n">
        <v>0</v>
      </c>
      <c r="AW41" s="103" t="n">
        <v>51</v>
      </c>
      <c r="AX41" s="103" t="n">
        <v>21</v>
      </c>
      <c r="AY41" s="103"/>
      <c r="AZ41" s="104" t="n">
        <f aca="false">SUM(N41,P41:U41)</f>
        <v>3.6</v>
      </c>
    </row>
    <row r="42" customFormat="false" ht="12.95" hidden="false" customHeight="true" outlineLevel="0" collapsed="false">
      <c r="A42" s="10" t="n">
        <f aca="false">A41+1</f>
        <v>28</v>
      </c>
      <c r="B42" s="126" t="n">
        <v>6902.2</v>
      </c>
      <c r="C42" s="90" t="n">
        <v>291767</v>
      </c>
      <c r="D42" s="127" t="n">
        <f aca="false">C42-C41</f>
        <v>-38</v>
      </c>
      <c r="E42" s="90" t="n">
        <f aca="false">C42-152000</f>
        <v>139767</v>
      </c>
      <c r="F42" s="128" t="n">
        <f aca="false">D42/$D$2</f>
        <v>-19.1580539450466</v>
      </c>
      <c r="G42" s="11" t="n">
        <v>59</v>
      </c>
      <c r="H42" s="12" t="n">
        <v>0.58</v>
      </c>
      <c r="I42" s="11" t="n">
        <f aca="false">G42+H42</f>
        <v>59.58</v>
      </c>
      <c r="J42" s="4" t="n">
        <f aca="false">IF(L42&gt;0,L42,0)</f>
        <v>3.16194605495337</v>
      </c>
      <c r="K42" s="11" t="n">
        <f aca="false">I42+J42</f>
        <v>62.7419460549534</v>
      </c>
      <c r="L42" s="11" t="n">
        <f aca="false">F42-(I42-AK42)</f>
        <v>3.16194605495337</v>
      </c>
      <c r="M42" s="129" t="n">
        <v>2.9</v>
      </c>
      <c r="N42" s="130" t="n">
        <v>0</v>
      </c>
      <c r="O42" s="130" t="n">
        <v>0</v>
      </c>
      <c r="P42" s="93" t="n">
        <v>0</v>
      </c>
      <c r="Q42" s="131" t="n">
        <f aca="false">1022600/325851/1.9835*1.02</f>
        <v>1.61381852792976</v>
      </c>
      <c r="R42" s="131" t="n">
        <f aca="false">((1.8)*1.04)-T42</f>
        <v>1.38650304</v>
      </c>
      <c r="S42" s="131" t="n">
        <v>0</v>
      </c>
      <c r="T42" s="133" t="n">
        <f aca="false">(0.4404*1.06)*1.04</f>
        <v>0.48549696</v>
      </c>
      <c r="U42" s="96" t="n">
        <f aca="false">M42-(Q42+R42+S42+T42)</f>
        <v>-0.585818527929764</v>
      </c>
      <c r="V42" s="134" t="n">
        <v>48</v>
      </c>
      <c r="W42" s="134" t="n">
        <v>0</v>
      </c>
      <c r="X42" s="135" t="n">
        <f aca="false">M42-N42-P42-O42-Q42-R42-S42-T42-U42+V42+W42</f>
        <v>48</v>
      </c>
      <c r="Y42" s="136" t="n">
        <f aca="false">X42-AO42</f>
        <v>48</v>
      </c>
      <c r="Z42" s="80"/>
      <c r="AA42" s="136"/>
      <c r="AB42" s="80"/>
      <c r="AC42" s="134" t="n">
        <v>17.1</v>
      </c>
      <c r="AD42" s="80"/>
      <c r="AE42" s="134" t="n">
        <v>0</v>
      </c>
      <c r="AF42" s="137"/>
      <c r="AG42" s="138"/>
      <c r="AH42" s="134" t="n">
        <v>31</v>
      </c>
      <c r="AI42" s="80" t="n">
        <f aca="false">AI41-AH42</f>
        <v>4523</v>
      </c>
      <c r="AJ42" s="80"/>
      <c r="AK42" s="134" t="n">
        <f aca="false">N42+O42+P42+Q42+R42+S42+T42+U42+X42+AE42+AH42</f>
        <v>81.9</v>
      </c>
      <c r="AL42" s="134" t="n">
        <f aca="false">IF(L42&lt;0,L42*-1,0)</f>
        <v>0</v>
      </c>
      <c r="AM42" s="134" t="n">
        <f aca="false">AK42+AL42</f>
        <v>81.9</v>
      </c>
      <c r="AN42" s="100" t="n">
        <f aca="false">V42</f>
        <v>48</v>
      </c>
      <c r="AO42" s="97"/>
      <c r="AP42" s="101"/>
      <c r="AQ42" s="101"/>
      <c r="AR42" s="101"/>
      <c r="AS42" s="101"/>
      <c r="AU42" s="5"/>
      <c r="AV42" s="102" t="n">
        <v>0</v>
      </c>
      <c r="AW42" s="103" t="n">
        <v>48</v>
      </c>
      <c r="AX42" s="103" t="n">
        <v>17</v>
      </c>
      <c r="AY42" s="103"/>
      <c r="AZ42" s="104" t="n">
        <f aca="false">SUM(N42,P42:U42)</f>
        <v>2.9</v>
      </c>
    </row>
    <row r="43" customFormat="false" ht="12.95" hidden="false" customHeight="true" outlineLevel="0" collapsed="false">
      <c r="A43" s="10" t="n">
        <f aca="false">A42+1</f>
        <v>29</v>
      </c>
      <c r="B43" s="126" t="n">
        <v>6902.19</v>
      </c>
      <c r="C43" s="90" t="n">
        <v>291729</v>
      </c>
      <c r="D43" s="127" t="n">
        <f aca="false">C43-C42</f>
        <v>-38</v>
      </c>
      <c r="E43" s="90" t="n">
        <f aca="false">C43-152000</f>
        <v>139729</v>
      </c>
      <c r="F43" s="128" t="n">
        <f aca="false">D43/$D$2</f>
        <v>-19.1580539450466</v>
      </c>
      <c r="G43" s="11" t="n">
        <v>68</v>
      </c>
      <c r="H43" s="12" t="n">
        <v>0.69</v>
      </c>
      <c r="I43" s="11" t="n">
        <f aca="false">G43+H43</f>
        <v>68.69</v>
      </c>
      <c r="J43" s="4" t="n">
        <f aca="false">IF(L43&gt;0,L43,0)</f>
        <v>0</v>
      </c>
      <c r="K43" s="11" t="n">
        <f aca="false">I43+J43</f>
        <v>68.69</v>
      </c>
      <c r="L43" s="11" t="n">
        <f aca="false">F43-(I43-AK43)</f>
        <v>-2.74805394504664</v>
      </c>
      <c r="M43" s="129" t="n">
        <v>3.1</v>
      </c>
      <c r="N43" s="130" t="n">
        <v>0</v>
      </c>
      <c r="O43" s="130" t="n">
        <v>0</v>
      </c>
      <c r="P43" s="93" t="n">
        <v>0</v>
      </c>
      <c r="Q43" s="131" t="n">
        <f aca="false">801600/325851/1.9835*1.02</f>
        <v>1.26504687266624</v>
      </c>
      <c r="R43" s="131" t="n">
        <f aca="false">((1.8)*1.04)-T43</f>
        <v>1.38650304</v>
      </c>
      <c r="S43" s="131" t="n">
        <v>0</v>
      </c>
      <c r="T43" s="133" t="n">
        <f aca="false">(0.4404*1.06)*1.04</f>
        <v>0.48549696</v>
      </c>
      <c r="U43" s="96" t="n">
        <f aca="false">M43-(Q43+R43+S43+T43)</f>
        <v>-0.0370468726662421</v>
      </c>
      <c r="V43" s="134" t="n">
        <v>51</v>
      </c>
      <c r="W43" s="134" t="n">
        <v>0</v>
      </c>
      <c r="X43" s="135" t="n">
        <f aca="false">M43-N43-P43-O43-Q43-R43-S43-T43-U43+V43+W43</f>
        <v>51</v>
      </c>
      <c r="Y43" s="136" t="n">
        <f aca="false">X43-AO43</f>
        <v>51</v>
      </c>
      <c r="Z43" s="80"/>
      <c r="AA43" s="136"/>
      <c r="AB43" s="80"/>
      <c r="AC43" s="134" t="n">
        <v>25.9</v>
      </c>
      <c r="AD43" s="80"/>
      <c r="AE43" s="134" t="n">
        <v>0</v>
      </c>
      <c r="AF43" s="137"/>
      <c r="AG43" s="138"/>
      <c r="AH43" s="134" t="n">
        <v>31</v>
      </c>
      <c r="AI43" s="80" t="n">
        <f aca="false">AI42-AH43</f>
        <v>4492</v>
      </c>
      <c r="AJ43" s="80"/>
      <c r="AK43" s="134" t="n">
        <f aca="false">N43+O43+P43+Q43+R43+S43+T43+U43+X43+AE43+AH43</f>
        <v>85.1</v>
      </c>
      <c r="AL43" s="134" t="n">
        <f aca="false">IF(L43&lt;0,L43*-1,0)</f>
        <v>2.74805394504664</v>
      </c>
      <c r="AM43" s="134" t="n">
        <f aca="false">AK43+AL43</f>
        <v>87.8480539450466</v>
      </c>
      <c r="AN43" s="100" t="n">
        <f aca="false">V43</f>
        <v>51</v>
      </c>
      <c r="AO43" s="97"/>
      <c r="AP43" s="101"/>
      <c r="AQ43" s="101"/>
      <c r="AR43" s="101"/>
      <c r="AS43" s="101"/>
      <c r="AU43" s="5"/>
      <c r="AV43" s="102" t="n">
        <v>0</v>
      </c>
      <c r="AW43" s="103" t="n">
        <v>51</v>
      </c>
      <c r="AX43" s="103" t="n">
        <v>25</v>
      </c>
      <c r="AY43" s="103"/>
      <c r="AZ43" s="104" t="n">
        <f aca="false">SUM(N43,P43:U43)</f>
        <v>3.1</v>
      </c>
    </row>
    <row r="44" customFormat="false" ht="12.95" hidden="false" customHeight="true" outlineLevel="0" collapsed="false">
      <c r="A44" s="10" t="n">
        <v>30</v>
      </c>
      <c r="B44" s="126" t="n">
        <v>6902.17</v>
      </c>
      <c r="C44" s="90" t="n">
        <v>291654</v>
      </c>
      <c r="D44" s="127" t="n">
        <f aca="false">C44-C43</f>
        <v>-75</v>
      </c>
      <c r="E44" s="90" t="n">
        <f aca="false">C44-152000</f>
        <v>139654</v>
      </c>
      <c r="F44" s="128" t="n">
        <f aca="false">D44/$D$2</f>
        <v>-37.8119485757499</v>
      </c>
      <c r="G44" s="11" t="n">
        <v>51</v>
      </c>
      <c r="H44" s="12" t="n">
        <v>0.63</v>
      </c>
      <c r="I44" s="11" t="n">
        <f aca="false">G44+H44</f>
        <v>51.63</v>
      </c>
      <c r="J44" s="4" t="n">
        <f aca="false">IF(L44&gt;0,L44,0)</f>
        <v>0.758051424250063</v>
      </c>
      <c r="K44" s="11" t="n">
        <f aca="false">I44+J44</f>
        <v>52.3880514242501</v>
      </c>
      <c r="L44" s="11" t="n">
        <f aca="false">F44-(I44-AK44)</f>
        <v>0.758051424250063</v>
      </c>
      <c r="M44" s="129" t="n">
        <v>3.2</v>
      </c>
      <c r="N44" s="130" t="n">
        <v>0</v>
      </c>
      <c r="O44" s="130" t="n">
        <v>0</v>
      </c>
      <c r="P44" s="93" t="n">
        <v>0</v>
      </c>
      <c r="Q44" s="131" t="n">
        <f aca="false">834600/325851/1.9835*1.02</f>
        <v>1.31712589811283</v>
      </c>
      <c r="R44" s="131" t="n">
        <f aca="false">((1.8)*1.04)-T44</f>
        <v>1.38650304</v>
      </c>
      <c r="S44" s="131" t="n">
        <v>0</v>
      </c>
      <c r="T44" s="133" t="n">
        <f aca="false">(0.4404*1.06)*1.04</f>
        <v>0.48549696</v>
      </c>
      <c r="U44" s="96" t="n">
        <f aca="false">M44-(Q44+R44+S44+T44)</f>
        <v>0.0108741018871692</v>
      </c>
      <c r="V44" s="134" t="n">
        <v>56</v>
      </c>
      <c r="W44" s="134" t="n">
        <v>0</v>
      </c>
      <c r="X44" s="135" t="n">
        <f aca="false">M44-N44-P44-O44-Q44-R44-S44-T44-U44+V44+W44</f>
        <v>56</v>
      </c>
      <c r="Y44" s="136" t="n">
        <f aca="false">X44-AO44</f>
        <v>56</v>
      </c>
      <c r="Z44" s="80"/>
      <c r="AA44" s="136"/>
      <c r="AB44" s="80"/>
      <c r="AC44" s="134" t="n">
        <v>0</v>
      </c>
      <c r="AD44" s="80"/>
      <c r="AE44" s="134" t="n">
        <v>0</v>
      </c>
      <c r="AF44" s="137"/>
      <c r="AG44" s="138"/>
      <c r="AH44" s="134" t="n">
        <v>31</v>
      </c>
      <c r="AI44" s="80" t="n">
        <f aca="false">AI43-AH44</f>
        <v>4461</v>
      </c>
      <c r="AJ44" s="80"/>
      <c r="AK44" s="134" t="n">
        <f aca="false">N44+O44+P44+Q44+R44+S44+T44+U44+X44+AE44+AH44</f>
        <v>90.2</v>
      </c>
      <c r="AL44" s="134" t="n">
        <f aca="false">IF(L44&lt;0,L44*-1,0)</f>
        <v>0</v>
      </c>
      <c r="AM44" s="141" t="n">
        <f aca="false">AK44+AL44</f>
        <v>90.2</v>
      </c>
      <c r="AN44" s="142" t="n">
        <f aca="false">V44</f>
        <v>56</v>
      </c>
      <c r="AO44" s="97"/>
      <c r="AP44" s="101"/>
      <c r="AQ44" s="101"/>
      <c r="AR44" s="101"/>
      <c r="AS44" s="101"/>
      <c r="AU44" s="5"/>
      <c r="AV44" s="102" t="n">
        <v>0</v>
      </c>
      <c r="AW44" s="103" t="n">
        <v>54</v>
      </c>
      <c r="AX44" s="103" t="n">
        <v>16</v>
      </c>
      <c r="AY44" s="103"/>
      <c r="AZ44" s="104" t="n">
        <f aca="false">SUM(N44,P44:U44)</f>
        <v>3.2</v>
      </c>
    </row>
    <row r="45" customFormat="false" ht="3" hidden="false" customHeight="true" outlineLevel="0" collapsed="false">
      <c r="A45" s="109"/>
      <c r="B45" s="143"/>
      <c r="C45" s="111"/>
      <c r="D45" s="109"/>
      <c r="E45" s="111"/>
      <c r="F45" s="112"/>
      <c r="G45" s="109"/>
      <c r="H45" s="113" t="n">
        <v>0.62</v>
      </c>
      <c r="I45" s="109"/>
      <c r="J45" s="109"/>
      <c r="K45" s="109"/>
      <c r="L45" s="109"/>
      <c r="M45" s="114"/>
      <c r="N45" s="109"/>
      <c r="O45" s="109"/>
      <c r="P45" s="115"/>
      <c r="Q45" s="116"/>
      <c r="R45" s="116"/>
      <c r="S45" s="116"/>
      <c r="T45" s="116"/>
      <c r="U45" s="117"/>
      <c r="V45" s="116"/>
      <c r="W45" s="116"/>
      <c r="X45" s="116"/>
      <c r="Y45" s="123"/>
      <c r="Z45" s="119"/>
      <c r="AA45" s="123"/>
      <c r="AB45" s="119"/>
      <c r="AC45" s="119"/>
      <c r="AD45" s="119"/>
      <c r="AE45" s="116"/>
      <c r="AF45" s="120"/>
      <c r="AG45" s="121"/>
      <c r="AH45" s="116"/>
      <c r="AI45" s="116"/>
      <c r="AJ45" s="116"/>
      <c r="AK45" s="116"/>
      <c r="AL45" s="116"/>
      <c r="AM45" s="144"/>
      <c r="AN45" s="118"/>
      <c r="AO45" s="118"/>
      <c r="AP45" s="123"/>
      <c r="AQ45" s="123"/>
      <c r="AR45" s="123"/>
      <c r="AS45" s="123"/>
      <c r="AT45" s="123"/>
      <c r="AU45" s="124"/>
      <c r="AV45" s="125"/>
      <c r="AW45" s="123" t="n">
        <v>4</v>
      </c>
      <c r="AX45" s="123"/>
      <c r="AY45" s="123"/>
      <c r="AZ45" s="118"/>
    </row>
    <row r="46" customFormat="false" ht="12.95" hidden="false" customHeight="true" outlineLevel="0" collapsed="false">
      <c r="A46" s="11" t="s">
        <v>101</v>
      </c>
      <c r="B46" s="89"/>
      <c r="C46" s="90"/>
      <c r="D46" s="90"/>
      <c r="E46" s="90"/>
      <c r="F46" s="91" t="n">
        <f aca="false">SUM(F15:F44)</f>
        <v>-986.639778169902</v>
      </c>
      <c r="G46" s="2" t="n">
        <f aca="false">SUM(G15:G44)</f>
        <v>2009</v>
      </c>
      <c r="H46" s="2" t="n">
        <f aca="false">SUM(H15:H45)</f>
        <v>8.24</v>
      </c>
      <c r="I46" s="2" t="n">
        <f aca="false">SUM(I15:I44)</f>
        <v>2016.62</v>
      </c>
      <c r="J46" s="2" t="n">
        <f aca="false">SUM(J15:J44)</f>
        <v>90.0980463826569</v>
      </c>
      <c r="K46" s="2" t="n">
        <f aca="false">SUM(K15:K44)</f>
        <v>2106.71804638266</v>
      </c>
      <c r="L46" s="2" t="n">
        <f aca="false">SUM(L15:L44)</f>
        <v>-180.459778169902</v>
      </c>
      <c r="M46" s="92" t="n">
        <f aca="false">SUM(M15:M44)</f>
        <v>193.3</v>
      </c>
      <c r="N46" s="90" t="n">
        <f aca="false">SUM(N15:N44)</f>
        <v>0</v>
      </c>
      <c r="O46" s="90" t="n">
        <f aca="false">SUM(O15:O44)</f>
        <v>0</v>
      </c>
      <c r="P46" s="93"/>
      <c r="Q46" s="94" t="n">
        <f aca="false">SUM(Q15:Q44)</f>
        <v>44.0640448638617</v>
      </c>
      <c r="R46" s="94" t="n">
        <f aca="false">SUM(R15:R44)</f>
        <v>45.44994272</v>
      </c>
      <c r="S46" s="94" t="n">
        <f aca="false">SUM(S15:S44)</f>
        <v>0</v>
      </c>
      <c r="T46" s="94" t="n">
        <f aca="false">SUM(T15:T44)</f>
        <v>15.91005728</v>
      </c>
      <c r="U46" s="145" t="n">
        <f aca="false">SUM(U15:U44)</f>
        <v>-1.22987835307434</v>
      </c>
      <c r="V46" s="80" t="n">
        <f aca="false">SUM(V15:V44)</f>
        <v>1680</v>
      </c>
      <c r="W46" s="80" t="n">
        <f aca="false">SUM(W15:W44)</f>
        <v>59.5</v>
      </c>
      <c r="X46" s="80" t="n">
        <f aca="false">SUM(X15:X44)</f>
        <v>1828.60583348921</v>
      </c>
      <c r="Y46" s="80" t="n">
        <f aca="false">SUM(Y15:Y44)</f>
        <v>1625.80876137068</v>
      </c>
      <c r="Z46" s="80"/>
      <c r="AA46" s="80"/>
      <c r="AB46" s="80"/>
      <c r="AC46" s="134" t="n">
        <f aca="false">SUM(AC15:AC44)</f>
        <v>146.2</v>
      </c>
      <c r="AD46" s="80"/>
      <c r="AE46" s="80"/>
      <c r="AF46" s="98"/>
      <c r="AG46" s="99"/>
      <c r="AH46" s="80" t="n">
        <f aca="false">SUM(AH15:AH44)</f>
        <v>890</v>
      </c>
      <c r="AI46" s="80"/>
      <c r="AJ46" s="80" t="n">
        <f aca="false">SUM(AJ15:AJ44)</f>
        <v>0</v>
      </c>
      <c r="AK46" s="80" t="n">
        <f aca="false">SUM(AK15:AK44)</f>
        <v>2822.8</v>
      </c>
      <c r="AL46" s="80" t="n">
        <f aca="false">SUM(AL15:AL44)</f>
        <v>270.557824552559</v>
      </c>
      <c r="AM46" s="146" t="n">
        <f aca="false">SUM(AM15:AM44)</f>
        <v>3093.35782455256</v>
      </c>
      <c r="AN46" s="97" t="n">
        <f aca="false">SUM(AN15:AN44)</f>
        <v>1625.8</v>
      </c>
      <c r="AO46" s="97" t="n">
        <f aca="false">SUM(AO15:AO44)</f>
        <v>202.797072118535</v>
      </c>
      <c r="AP46" s="101"/>
      <c r="AQ46" s="101"/>
      <c r="AR46" s="101"/>
      <c r="AS46" s="101"/>
      <c r="AU46" s="147" t="n">
        <f aca="false">SUM(AU15:AU44)</f>
        <v>44.1</v>
      </c>
      <c r="AV46" s="139" t="n">
        <f aca="false">SUM(AV15:AV44)</f>
        <v>0.48</v>
      </c>
      <c r="AW46" s="103" t="n">
        <f aca="false">AVERAGE(AW15:AW45)</f>
        <v>47.9677419354839</v>
      </c>
      <c r="AX46" s="103" t="n">
        <f aca="false">AVERAGE(AX15:AX45)</f>
        <v>26.4666666666667</v>
      </c>
      <c r="AY46" s="148" t="s">
        <v>102</v>
      </c>
      <c r="AZ46" s="149" t="n">
        <f aca="false">SUM(AZ15:AZ44)</f>
        <v>104.194166510787</v>
      </c>
    </row>
    <row r="47" customFormat="false" ht="12.95" hidden="false" customHeight="true" outlineLevel="0" collapsed="false">
      <c r="A47" s="11" t="s">
        <v>103</v>
      </c>
      <c r="B47" s="89"/>
      <c r="C47" s="90"/>
      <c r="D47" s="90" t="n">
        <f aca="false">SUM(D15:D44)</f>
        <v>-1957</v>
      </c>
      <c r="E47" s="90"/>
      <c r="F47" s="91" t="n">
        <f aca="false">F46*$D$2</f>
        <v>-1957</v>
      </c>
      <c r="G47" s="2" t="n">
        <f aca="false">G46*$D$2</f>
        <v>3984.8515</v>
      </c>
      <c r="H47" s="2" t="n">
        <f aca="false">H46*$D$2</f>
        <v>16.34404</v>
      </c>
      <c r="I47" s="2" t="n">
        <f aca="false">I46*$D$2</f>
        <v>3999.96577</v>
      </c>
      <c r="J47" s="2" t="n">
        <f aca="false">J46*$D$2</f>
        <v>178.709475</v>
      </c>
      <c r="K47" s="2" t="n">
        <f aca="false">K46*$D$2</f>
        <v>4178.675245</v>
      </c>
      <c r="L47" s="2" t="n">
        <f aca="false">L46*$D$2</f>
        <v>-357.94197</v>
      </c>
      <c r="M47" s="92" t="n">
        <f aca="false">M46*$D$2</f>
        <v>383.41055</v>
      </c>
      <c r="N47" s="90" t="n">
        <f aca="false">N46*$D$2</f>
        <v>0</v>
      </c>
      <c r="O47" s="90" t="n">
        <f aca="false">O46*$D$2</f>
        <v>0</v>
      </c>
      <c r="P47" s="93"/>
      <c r="Q47" s="94" t="n">
        <f aca="false">Q46*$D$2</f>
        <v>87.4010329874697</v>
      </c>
      <c r="R47" s="94" t="n">
        <f aca="false">R46*$D$2</f>
        <v>90.14996138512</v>
      </c>
      <c r="S47" s="94" t="n">
        <f aca="false">S46*$D$2</f>
        <v>0</v>
      </c>
      <c r="T47" s="94" t="n">
        <f aca="false">T46*$D$2</f>
        <v>31.55759861488</v>
      </c>
      <c r="U47" s="145" t="n">
        <f aca="false">U46*$D$2</f>
        <v>-2.43946371332296</v>
      </c>
      <c r="V47" s="80" t="n">
        <f aca="false">V46*$D$2</f>
        <v>3332.28</v>
      </c>
      <c r="W47" s="80" t="n">
        <f aca="false">W46*$D$2</f>
        <v>118.01825</v>
      </c>
      <c r="X47" s="80" t="n">
        <f aca="false">X46*$D$2</f>
        <v>3627.03967072585</v>
      </c>
      <c r="Y47" s="80" t="n">
        <f aca="false">Y46*$D$2</f>
        <v>3224.79167817874</v>
      </c>
      <c r="Z47" s="80"/>
      <c r="AA47" s="80"/>
      <c r="AB47" s="80"/>
      <c r="AC47" s="80" t="n">
        <f aca="false">AC46*$D$2</f>
        <v>289.9877</v>
      </c>
      <c r="AD47" s="80"/>
      <c r="AE47" s="80"/>
      <c r="AF47" s="98"/>
      <c r="AG47" s="99"/>
      <c r="AH47" s="80" t="n">
        <f aca="false">AH46*$D$2</f>
        <v>1765.315</v>
      </c>
      <c r="AI47" s="80"/>
      <c r="AJ47" s="80" t="n">
        <f aca="false">AJ46*$D$2</f>
        <v>0</v>
      </c>
      <c r="AK47" s="80" t="n">
        <f aca="false">AK46*$D$2</f>
        <v>5599.0238</v>
      </c>
      <c r="AL47" s="80" t="n">
        <f aca="false">AL46*$D$2</f>
        <v>536.651445</v>
      </c>
      <c r="AM47" s="146" t="n">
        <f aca="false">AM46*$D$2</f>
        <v>6135.675245</v>
      </c>
      <c r="AN47" s="97" t="n">
        <f aca="false">AN46*$D$2</f>
        <v>3224.7743</v>
      </c>
      <c r="AO47" s="97" t="n">
        <f aca="false">AO46*$D$2</f>
        <v>402.247992547115</v>
      </c>
      <c r="AP47" s="101"/>
      <c r="AQ47" s="101"/>
      <c r="AR47" s="101"/>
      <c r="AS47" s="101"/>
      <c r="AU47" s="150" t="n">
        <f aca="false">AU46*$D$2</f>
        <v>87.47235</v>
      </c>
      <c r="AV47" s="102"/>
      <c r="AW47" s="103" t="n">
        <f aca="false">MAX(AW15:AW45)</f>
        <v>61</v>
      </c>
      <c r="AX47" s="103" t="n">
        <f aca="false">MAX(AX15:AX45)</f>
        <v>35</v>
      </c>
      <c r="AY47" s="142" t="s">
        <v>104</v>
      </c>
      <c r="AZ47" s="149" t="n">
        <f aca="false">AZ46*$D$2</f>
        <v>206.669129274147</v>
      </c>
    </row>
    <row r="48" customFormat="false" ht="3" hidden="false" customHeight="true" outlineLevel="0" collapsed="false">
      <c r="A48" s="109"/>
      <c r="B48" s="143"/>
      <c r="C48" s="111"/>
      <c r="D48" s="111"/>
      <c r="E48" s="111"/>
      <c r="F48" s="151"/>
      <c r="G48" s="111"/>
      <c r="H48" s="111"/>
      <c r="I48" s="111"/>
      <c r="J48" s="111"/>
      <c r="K48" s="111"/>
      <c r="L48" s="111"/>
      <c r="M48" s="152"/>
      <c r="N48" s="111"/>
      <c r="O48" s="111"/>
      <c r="P48" s="115"/>
      <c r="Q48" s="119"/>
      <c r="R48" s="119"/>
      <c r="S48" s="119"/>
      <c r="T48" s="119"/>
      <c r="U48" s="153"/>
      <c r="V48" s="119"/>
      <c r="W48" s="119"/>
      <c r="X48" s="119"/>
      <c r="Y48" s="119"/>
      <c r="Z48" s="119"/>
      <c r="AA48" s="119"/>
      <c r="AB48" s="119"/>
      <c r="AC48" s="116"/>
      <c r="AD48" s="119"/>
      <c r="AE48" s="119"/>
      <c r="AF48" s="154"/>
      <c r="AG48" s="155"/>
      <c r="AH48" s="119"/>
      <c r="AI48" s="116"/>
      <c r="AJ48" s="119"/>
      <c r="AK48" s="119"/>
      <c r="AL48" s="119"/>
      <c r="AM48" s="156"/>
      <c r="AN48" s="118"/>
      <c r="AO48" s="118"/>
      <c r="AP48" s="119"/>
      <c r="AQ48" s="119"/>
      <c r="AR48" s="119"/>
      <c r="AS48" s="119"/>
      <c r="AT48" s="119"/>
      <c r="AU48" s="124"/>
      <c r="AV48" s="157"/>
      <c r="AW48" s="123"/>
      <c r="AX48" s="119"/>
      <c r="AY48" s="118"/>
      <c r="AZ48" s="118"/>
    </row>
    <row r="49" customFormat="false" ht="12.95" hidden="false" customHeight="true" outlineLevel="0" collapsed="false">
      <c r="A49" s="11" t="s">
        <v>105</v>
      </c>
      <c r="B49" s="89"/>
      <c r="C49" s="90"/>
      <c r="D49" s="90"/>
      <c r="E49" s="90"/>
      <c r="F49" s="91"/>
      <c r="G49" s="2"/>
      <c r="H49" s="9"/>
      <c r="I49" s="2"/>
      <c r="J49" s="2"/>
      <c r="K49" s="2"/>
      <c r="L49" s="2"/>
      <c r="M49" s="92"/>
      <c r="N49" s="90"/>
      <c r="O49" s="90"/>
      <c r="P49" s="93"/>
      <c r="Q49" s="94"/>
      <c r="R49" s="94"/>
      <c r="S49" s="94"/>
      <c r="T49" s="94"/>
      <c r="U49" s="145"/>
      <c r="V49" s="80"/>
      <c r="W49" s="80"/>
      <c r="X49" s="80"/>
      <c r="Y49" s="80"/>
      <c r="Z49" s="80"/>
      <c r="AA49" s="80"/>
      <c r="AB49" s="80"/>
      <c r="AC49" s="134"/>
      <c r="AD49" s="80"/>
      <c r="AE49" s="80"/>
      <c r="AF49" s="98"/>
      <c r="AG49" s="99"/>
      <c r="AH49" s="80"/>
      <c r="AI49" s="80"/>
      <c r="AJ49" s="80"/>
      <c r="AK49" s="80"/>
      <c r="AL49" s="80"/>
      <c r="AM49" s="146"/>
      <c r="AN49" s="97"/>
      <c r="AO49" s="97"/>
      <c r="AP49" s="101"/>
      <c r="AQ49" s="101"/>
      <c r="AR49" s="101"/>
      <c r="AS49" s="101"/>
      <c r="AU49" s="5"/>
      <c r="AV49" s="102"/>
      <c r="AW49" s="103" t="n">
        <f aca="false">MIN(AW15:AW45)</f>
        <v>4</v>
      </c>
      <c r="AX49" s="103" t="n">
        <f aca="false">MIN(AX15:AX45)</f>
        <v>16</v>
      </c>
      <c r="AY49" s="142" t="s">
        <v>106</v>
      </c>
      <c r="AZ49" s="149"/>
    </row>
    <row r="50" customFormat="false" ht="12.95" hidden="false" customHeight="true" outlineLevel="0" collapsed="false">
      <c r="A50" s="11" t="s">
        <v>107</v>
      </c>
      <c r="B50" s="89"/>
      <c r="C50" s="90"/>
      <c r="D50" s="90"/>
      <c r="E50" s="90"/>
      <c r="F50" s="91"/>
      <c r="G50" s="2"/>
      <c r="H50" s="9"/>
      <c r="I50" s="2"/>
      <c r="J50" s="2"/>
      <c r="K50" s="2"/>
      <c r="L50" s="2"/>
      <c r="M50" s="92"/>
      <c r="N50" s="90"/>
      <c r="O50" s="90"/>
      <c r="P50" s="93"/>
      <c r="Q50" s="94"/>
      <c r="R50" s="94"/>
      <c r="S50" s="94"/>
      <c r="T50" s="94"/>
      <c r="U50" s="145"/>
      <c r="V50" s="80"/>
      <c r="W50" s="80"/>
      <c r="X50" s="80"/>
      <c r="Y50" s="80"/>
      <c r="Z50" s="80"/>
      <c r="AA50" s="80"/>
      <c r="AB50" s="80"/>
      <c r="AC50" s="134"/>
      <c r="AD50" s="80"/>
      <c r="AE50" s="80"/>
      <c r="AF50" s="98"/>
      <c r="AG50" s="99"/>
      <c r="AH50" s="80"/>
      <c r="AI50" s="80"/>
      <c r="AJ50" s="80"/>
      <c r="AK50" s="80"/>
      <c r="AL50" s="80"/>
      <c r="AM50" s="146"/>
      <c r="AN50" s="97"/>
      <c r="AO50" s="97"/>
      <c r="AP50" s="101"/>
      <c r="AQ50" s="101"/>
      <c r="AR50" s="101"/>
      <c r="AS50" s="101"/>
      <c r="AU50" s="158"/>
      <c r="AV50" s="159"/>
      <c r="AW50" s="103"/>
      <c r="AX50" s="103"/>
      <c r="AY50" s="103"/>
      <c r="AZ50" s="149"/>
    </row>
    <row r="51" customFormat="false" ht="3" hidden="false" customHeight="true" outlineLevel="0" collapsed="false">
      <c r="A51" s="109"/>
      <c r="B51" s="143"/>
      <c r="C51" s="111"/>
      <c r="D51" s="111"/>
      <c r="E51" s="111"/>
      <c r="F51" s="151"/>
      <c r="G51" s="111"/>
      <c r="H51" s="160"/>
      <c r="I51" s="111"/>
      <c r="J51" s="111"/>
      <c r="K51" s="111"/>
      <c r="L51" s="111"/>
      <c r="M51" s="152"/>
      <c r="N51" s="111"/>
      <c r="O51" s="111"/>
      <c r="P51" s="115"/>
      <c r="Q51" s="119"/>
      <c r="R51" s="119"/>
      <c r="S51" s="119"/>
      <c r="T51" s="119"/>
      <c r="U51" s="153"/>
      <c r="V51" s="119"/>
      <c r="W51" s="119"/>
      <c r="X51" s="119"/>
      <c r="Y51" s="119"/>
      <c r="Z51" s="119"/>
      <c r="AA51" s="119"/>
      <c r="AB51" s="119"/>
      <c r="AC51" s="116"/>
      <c r="AD51" s="119"/>
      <c r="AE51" s="119"/>
      <c r="AF51" s="154"/>
      <c r="AG51" s="155"/>
      <c r="AH51" s="119"/>
      <c r="AI51" s="119"/>
      <c r="AJ51" s="119"/>
      <c r="AK51" s="119"/>
      <c r="AL51" s="119"/>
      <c r="AM51" s="156"/>
      <c r="AN51" s="118"/>
      <c r="AO51" s="118"/>
      <c r="AP51" s="119"/>
      <c r="AQ51" s="119"/>
      <c r="AR51" s="119"/>
      <c r="AS51" s="119"/>
      <c r="AT51" s="119"/>
      <c r="AU51" s="124"/>
      <c r="AV51" s="125"/>
      <c r="AW51" s="123"/>
      <c r="AX51" s="119"/>
      <c r="AY51" s="119"/>
      <c r="AZ51" s="118"/>
    </row>
    <row r="52" customFormat="false" ht="12.95" hidden="false" customHeight="true" outlineLevel="0" collapsed="false">
      <c r="A52" s="11" t="s">
        <v>108</v>
      </c>
      <c r="B52" s="89"/>
      <c r="C52" s="90"/>
      <c r="D52" s="90"/>
      <c r="E52" s="90"/>
      <c r="F52" s="91" t="n">
        <f aca="false">F13+F46</f>
        <v>-986.639778169902</v>
      </c>
      <c r="G52" s="2" t="n">
        <f aca="false">G13+G46</f>
        <v>2009</v>
      </c>
      <c r="H52" s="9" t="n">
        <f aca="false">H13+H46</f>
        <v>8.24</v>
      </c>
      <c r="I52" s="2" t="n">
        <f aca="false">I13+I46</f>
        <v>2016.62</v>
      </c>
      <c r="J52" s="2" t="n">
        <f aca="false">J13+J46</f>
        <v>90.0980463826569</v>
      </c>
      <c r="K52" s="2" t="n">
        <f aca="false">K13+K46</f>
        <v>2106.71804638266</v>
      </c>
      <c r="L52" s="2" t="n">
        <f aca="false">L13+L46</f>
        <v>-180.459778169902</v>
      </c>
      <c r="M52" s="92" t="n">
        <f aca="false">M13+M46</f>
        <v>193.3</v>
      </c>
      <c r="N52" s="90" t="n">
        <f aca="false">N13+N46</f>
        <v>0</v>
      </c>
      <c r="O52" s="90" t="n">
        <v>0</v>
      </c>
      <c r="P52" s="93"/>
      <c r="Q52" s="94" t="n">
        <f aca="false">Q13+Q46</f>
        <v>44.0640448638617</v>
      </c>
      <c r="R52" s="94" t="n">
        <f aca="false">R13+R46</f>
        <v>45.44994272</v>
      </c>
      <c r="S52" s="94" t="n">
        <f aca="false">S13+S46</f>
        <v>0</v>
      </c>
      <c r="T52" s="94" t="n">
        <f aca="false">T13+T46</f>
        <v>15.91005728</v>
      </c>
      <c r="U52" s="145" t="n">
        <f aca="false">U13+U46</f>
        <v>-1.22987835307434</v>
      </c>
      <c r="V52" s="80" t="n">
        <f aca="false">V13+V46</f>
        <v>1680</v>
      </c>
      <c r="W52" s="80" t="n">
        <f aca="false">W13+W46</f>
        <v>59.5</v>
      </c>
      <c r="X52" s="80" t="n">
        <f aca="false">X13+X46</f>
        <v>1828.60583348921</v>
      </c>
      <c r="Y52" s="80" t="n">
        <f aca="false">Y13+Y46</f>
        <v>1625.80876137068</v>
      </c>
      <c r="Z52" s="80"/>
      <c r="AA52" s="80"/>
      <c r="AB52" s="80"/>
      <c r="AC52" s="134" t="n">
        <f aca="false">AC13+AC46</f>
        <v>146.2</v>
      </c>
      <c r="AD52" s="80"/>
      <c r="AE52" s="80"/>
      <c r="AF52" s="98"/>
      <c r="AG52" s="99"/>
      <c r="AH52" s="80" t="n">
        <f aca="false">AH13+AH46</f>
        <v>890</v>
      </c>
      <c r="AI52" s="80" t="n">
        <f aca="false">AI44</f>
        <v>4461</v>
      </c>
      <c r="AJ52" s="80" t="n">
        <f aca="false">AJ13+AJ46</f>
        <v>0</v>
      </c>
      <c r="AK52" s="80" t="n">
        <f aca="false">AK13+AK46</f>
        <v>2822.8</v>
      </c>
      <c r="AL52" s="80" t="n">
        <f aca="false">AL13+AL46</f>
        <v>270.557824552559</v>
      </c>
      <c r="AM52" s="146" t="n">
        <f aca="false">AM13+AM46</f>
        <v>3093.35782455256</v>
      </c>
      <c r="AN52" s="97" t="n">
        <f aca="false">AN13+AN46</f>
        <v>1625.8</v>
      </c>
      <c r="AO52" s="97" t="n">
        <f aca="false">AO13+AO46</f>
        <v>202.797072118535</v>
      </c>
      <c r="AP52" s="101"/>
      <c r="AQ52" s="101"/>
      <c r="AR52" s="101"/>
      <c r="AS52" s="101"/>
      <c r="AU52" s="5"/>
      <c r="AV52" s="102" t="n">
        <f aca="false">AV13+AV46</f>
        <v>0.48</v>
      </c>
      <c r="AW52" s="103"/>
      <c r="AX52" s="103"/>
      <c r="AY52" s="103"/>
      <c r="AZ52" s="149" t="n">
        <f aca="false">AZ13+AZ46</f>
        <v>104.194166510787</v>
      </c>
    </row>
    <row r="53" customFormat="false" ht="12.95" hidden="false" customHeight="true" outlineLevel="0" collapsed="false">
      <c r="A53" s="11" t="s">
        <v>109</v>
      </c>
      <c r="B53" s="89"/>
      <c r="C53" s="90"/>
      <c r="D53" s="90" t="n">
        <f aca="false">D13+D47</f>
        <v>-1957</v>
      </c>
      <c r="E53" s="90" t="n">
        <f aca="false">E44</f>
        <v>139654</v>
      </c>
      <c r="F53" s="91" t="n">
        <f aca="false">F52*$D$2</f>
        <v>-1957</v>
      </c>
      <c r="G53" s="2" t="n">
        <f aca="false">G52*$D$2</f>
        <v>3984.8515</v>
      </c>
      <c r="H53" s="9" t="n">
        <f aca="false">H52*$D$2</f>
        <v>16.34404</v>
      </c>
      <c r="I53" s="2" t="n">
        <f aca="false">I52*$D$2</f>
        <v>3999.96577</v>
      </c>
      <c r="J53" s="2" t="n">
        <f aca="false">J52*$D$2</f>
        <v>178.709475</v>
      </c>
      <c r="K53" s="2" t="n">
        <f aca="false">K52*$D$2</f>
        <v>4178.675245</v>
      </c>
      <c r="L53" s="2" t="n">
        <f aca="false">L52*$D$2</f>
        <v>-357.94197</v>
      </c>
      <c r="M53" s="92" t="n">
        <f aca="false">M52*$D$2</f>
        <v>383.41055</v>
      </c>
      <c r="N53" s="90" t="n">
        <f aca="false">N52*$D$2</f>
        <v>0</v>
      </c>
      <c r="O53" s="90" t="n">
        <f aca="false">O52*$D$2</f>
        <v>0</v>
      </c>
      <c r="P53" s="93"/>
      <c r="Q53" s="94" t="n">
        <f aca="false">Q52*$D$2</f>
        <v>87.4010329874697</v>
      </c>
      <c r="R53" s="94" t="n">
        <f aca="false">R52*$D$2</f>
        <v>90.14996138512</v>
      </c>
      <c r="S53" s="94" t="n">
        <f aca="false">S52*$D$2</f>
        <v>0</v>
      </c>
      <c r="T53" s="94" t="n">
        <f aca="false">T52*$D$2</f>
        <v>31.55759861488</v>
      </c>
      <c r="U53" s="145" t="n">
        <f aca="false">U52*$D$2</f>
        <v>-2.43946371332296</v>
      </c>
      <c r="V53" s="80" t="n">
        <f aca="false">V52*$D$2</f>
        <v>3332.28</v>
      </c>
      <c r="W53" s="80" t="n">
        <f aca="false">W52*$D$2</f>
        <v>118.01825</v>
      </c>
      <c r="X53" s="80" t="n">
        <f aca="false">X52*$D$2</f>
        <v>3627.03967072585</v>
      </c>
      <c r="Y53" s="80" t="n">
        <f aca="false">Y52*$D$2</f>
        <v>3224.79167817874</v>
      </c>
      <c r="Z53" s="80"/>
      <c r="AA53" s="80"/>
      <c r="AB53" s="80"/>
      <c r="AC53" s="80" t="n">
        <f aca="false">AC52*$D$2</f>
        <v>289.9877</v>
      </c>
      <c r="AD53" s="80"/>
      <c r="AE53" s="80"/>
      <c r="AF53" s="98"/>
      <c r="AG53" s="99"/>
      <c r="AH53" s="80" t="n">
        <f aca="false">AH52*$D$2</f>
        <v>1765.315</v>
      </c>
      <c r="AI53" s="80" t="n">
        <f aca="false">AI52*$D$2</f>
        <v>8848.3935</v>
      </c>
      <c r="AJ53" s="80" t="n">
        <f aca="false">AJ52*$D$2</f>
        <v>0</v>
      </c>
      <c r="AK53" s="80" t="n">
        <f aca="false">AK52*$D$2</f>
        <v>5599.0238</v>
      </c>
      <c r="AL53" s="80" t="n">
        <f aca="false">AL52*$D$2</f>
        <v>536.651445</v>
      </c>
      <c r="AM53" s="161" t="n">
        <f aca="false">AM52*$D$2</f>
        <v>6135.675245</v>
      </c>
      <c r="AN53" s="97" t="n">
        <f aca="false">AN52*$D$2</f>
        <v>3224.7743</v>
      </c>
      <c r="AO53" s="97" t="n">
        <f aca="false">AO52*$D$2</f>
        <v>402.247992547115</v>
      </c>
      <c r="AP53" s="101"/>
      <c r="AQ53" s="101"/>
      <c r="AR53" s="101"/>
      <c r="AS53" s="101"/>
      <c r="AV53" s="102"/>
      <c r="AW53" s="103"/>
      <c r="AX53" s="162"/>
      <c r="AY53" s="162"/>
      <c r="AZ53" s="163" t="n">
        <f aca="false">AZ52*$D$2</f>
        <v>206.669129274147</v>
      </c>
    </row>
    <row r="54" customFormat="false" ht="3" hidden="false" customHeight="true" outlineLevel="0" collapsed="false">
      <c r="A54" s="109"/>
      <c r="B54" s="143"/>
      <c r="C54" s="111"/>
      <c r="D54" s="109"/>
      <c r="E54" s="111"/>
      <c r="F54" s="112"/>
      <c r="G54" s="109"/>
      <c r="H54" s="113"/>
      <c r="I54" s="109"/>
      <c r="J54" s="109"/>
      <c r="K54" s="109"/>
      <c r="L54" s="109"/>
      <c r="M54" s="114"/>
      <c r="N54" s="109"/>
      <c r="O54" s="109"/>
      <c r="P54" s="115"/>
      <c r="Q54" s="109"/>
      <c r="R54" s="109"/>
      <c r="S54" s="109"/>
      <c r="T54" s="109"/>
      <c r="U54" s="117"/>
      <c r="V54" s="109"/>
      <c r="W54" s="109"/>
      <c r="X54" s="109"/>
      <c r="Y54" s="164"/>
      <c r="Z54" s="111"/>
      <c r="AA54" s="164"/>
      <c r="AB54" s="111"/>
      <c r="AC54" s="111"/>
      <c r="AD54" s="111"/>
      <c r="AE54" s="109"/>
      <c r="AF54" s="114"/>
      <c r="AG54" s="165"/>
      <c r="AH54" s="109"/>
      <c r="AI54" s="111"/>
      <c r="AJ54" s="111"/>
      <c r="AK54" s="109"/>
      <c r="AL54" s="109"/>
      <c r="AM54" s="109"/>
      <c r="AN54" s="166"/>
      <c r="AO54" s="164"/>
      <c r="AP54" s="109"/>
      <c r="AQ54" s="167"/>
      <c r="AR54" s="167"/>
      <c r="AS54" s="168"/>
      <c r="AT54" s="168"/>
      <c r="AU54" s="124"/>
      <c r="AV54" s="109"/>
      <c r="AW54" s="160"/>
      <c r="AX54" s="109"/>
      <c r="AY54" s="109"/>
      <c r="AZ54" s="169"/>
    </row>
    <row r="55" customFormat="false" ht="14.1" hidden="false" customHeight="true" outlineLevel="0" collapsed="false">
      <c r="A55" s="170"/>
      <c r="B55" s="171"/>
      <c r="D55" s="11"/>
      <c r="F55" s="11"/>
      <c r="G55" s="11"/>
      <c r="I55" s="11"/>
      <c r="J55" s="11"/>
      <c r="K55" s="11"/>
      <c r="L55" s="11"/>
      <c r="M55" s="11"/>
      <c r="N55" s="11"/>
      <c r="O55" s="11"/>
      <c r="Q55" s="11"/>
      <c r="R55" s="11"/>
      <c r="S55" s="11"/>
      <c r="T55" s="11"/>
      <c r="V55" s="11"/>
      <c r="W55" s="11"/>
      <c r="X55" s="11"/>
      <c r="Z55" s="2"/>
      <c r="AB55" s="2"/>
      <c r="AC55" s="2"/>
      <c r="AD55" s="2"/>
      <c r="AE55" s="11"/>
      <c r="AF55" s="11"/>
      <c r="AG55" s="11"/>
      <c r="AH55" s="11"/>
      <c r="AI55" s="2"/>
      <c r="AJ55" s="2"/>
      <c r="AK55" s="11"/>
      <c r="AL55" s="11"/>
      <c r="AN55" s="172"/>
      <c r="AO55" s="172"/>
      <c r="AU55" s="6"/>
      <c r="AX55" s="9"/>
      <c r="AY55" s="9"/>
    </row>
    <row r="56" customFormat="false" ht="11.1" hidden="false" customHeight="true" outlineLevel="0" collapsed="false">
      <c r="A56" s="11"/>
      <c r="B56" s="173"/>
      <c r="F56" s="11"/>
      <c r="G56" s="11"/>
      <c r="I56" s="12"/>
      <c r="J56" s="11"/>
      <c r="K56" s="174"/>
      <c r="L56" s="11"/>
      <c r="M56" s="11"/>
      <c r="N56" s="11"/>
      <c r="O56" s="11"/>
      <c r="Q56" s="11"/>
      <c r="R56" s="11"/>
      <c r="S56" s="11"/>
      <c r="T56" s="11"/>
      <c r="V56" s="11"/>
      <c r="W56" s="11"/>
      <c r="X56" s="11"/>
      <c r="Z56" s="2"/>
      <c r="AB56" s="2"/>
      <c r="AC56" s="2"/>
      <c r="AD56" s="2"/>
      <c r="AE56" s="11"/>
      <c r="AF56" s="11"/>
      <c r="AG56" s="11"/>
      <c r="AH56" s="11"/>
      <c r="AI56" s="2"/>
      <c r="AJ56" s="2"/>
      <c r="AK56" s="11"/>
      <c r="AL56" s="11"/>
      <c r="AN56" s="172"/>
      <c r="AO56" s="172"/>
      <c r="AU56" s="5"/>
      <c r="AX56" s="9"/>
      <c r="AY56" s="9"/>
    </row>
    <row r="57" customFormat="false" ht="11.1" hidden="false" customHeight="true" outlineLevel="0" collapsed="false">
      <c r="D57" s="2"/>
      <c r="S57" s="4"/>
      <c r="T57" s="4"/>
      <c r="X57" s="1"/>
      <c r="Z57" s="2"/>
      <c r="AB57" s="2"/>
      <c r="AC57" s="2"/>
      <c r="AD57" s="2"/>
      <c r="AF57" s="1"/>
      <c r="AG57" s="1"/>
      <c r="AH57" s="1"/>
      <c r="AI57" s="2"/>
      <c r="AJ57" s="2"/>
      <c r="AN57" s="172"/>
      <c r="AO57" s="172"/>
      <c r="AX57" s="9"/>
      <c r="AY57" s="9"/>
    </row>
    <row r="58" customFormat="false" ht="11.1" hidden="false" customHeight="true" outlineLevel="0" collapsed="false">
      <c r="B58" s="5"/>
      <c r="D58" s="2"/>
      <c r="S58" s="4"/>
      <c r="T58" s="4"/>
      <c r="X58" s="1"/>
      <c r="Z58" s="2"/>
      <c r="AB58" s="2"/>
      <c r="AC58" s="2"/>
      <c r="AD58" s="2"/>
      <c r="AF58" s="1"/>
      <c r="AG58" s="1"/>
      <c r="AH58" s="1"/>
      <c r="AI58" s="2"/>
      <c r="AJ58" s="2"/>
      <c r="AN58" s="172"/>
      <c r="AO58" s="172"/>
      <c r="AX58" s="9"/>
      <c r="AY58" s="9"/>
    </row>
    <row r="59" customFormat="false" ht="11.1" hidden="false" customHeight="true" outlineLevel="0" collapsed="false">
      <c r="G59" s="175"/>
    </row>
  </sheetData>
  <mergeCells count="1">
    <mergeCell ref="M5:U5"/>
  </mergeCells>
  <printOptions headings="true" gridLines="true" gridLinesSet="true" horizontalCentered="false" verticalCentered="true"/>
  <pageMargins left="0.25" right="0.25" top="0.5" bottom="0" header="0.5" footer="0.511811023622047"/>
  <pageSetup paperSize="3" scale="90" fitToWidth="1" fitToHeight="1" pageOrder="downThenOver" orientation="landscape" blackAndWhite="false" draft="false" cellComments="atEnd" horizontalDpi="300" verticalDpi="300" copies="1"/>
  <headerFooter differentFirst="false" differentOddEven="false">
    <oddHeader>&amp;C2012 Provisional</oddHeader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K30" activePane="bottomRight" state="frozen"/>
      <selection pane="topLeft" activeCell="A1" activeCellId="0" sqref="A1"/>
      <selection pane="topRight" activeCell="K1" activeCellId="0" sqref="K1"/>
      <selection pane="bottomLeft" activeCell="A30" activeCellId="0" sqref="A30"/>
      <selection pane="bottomRight" activeCell="AH45" activeCellId="0" sqref="AH45"/>
    </sheetView>
  </sheetViews>
  <sheetFormatPr defaultColWidth="9.328125" defaultRowHeight="11.1" zeroHeight="false" outlineLevelRow="0" outlineLevelCol="0"/>
  <cols>
    <col collapsed="false" customWidth="true" hidden="false" outlineLevel="0" max="1" min="1" style="176" width="4.66"/>
    <col collapsed="false" customWidth="true" hidden="false" outlineLevel="0" max="2" min="2" style="176" width="6.99"/>
    <col collapsed="false" customWidth="true" hidden="false" outlineLevel="0" max="3" min="3" style="177" width="6.32"/>
    <col collapsed="false" customWidth="true" hidden="false" outlineLevel="0" max="4" min="4" style="176" width="6.32"/>
    <col collapsed="false" customWidth="true" hidden="false" outlineLevel="0" max="5" min="5" style="177" width="6.99"/>
    <col collapsed="false" customWidth="true" hidden="false" outlineLevel="0" max="6" min="6" style="176" width="7.32"/>
    <col collapsed="false" customWidth="true" hidden="false" outlineLevel="0" max="7" min="7" style="176" width="6.82"/>
    <col collapsed="false" customWidth="true" hidden="false" outlineLevel="0" max="8" min="8" style="178" width="5.66"/>
    <col collapsed="false" customWidth="true" hidden="false" outlineLevel="0" max="11" min="9" style="176" width="6.32"/>
    <col collapsed="false" customWidth="true" hidden="false" outlineLevel="0" max="12" min="12" style="176" width="6.82"/>
    <col collapsed="false" customWidth="true" hidden="false" outlineLevel="0" max="13" min="13" style="179" width="5.49"/>
    <col collapsed="false" customWidth="true" hidden="false" outlineLevel="0" max="14" min="14" style="179" width="4.49"/>
    <col collapsed="false" customWidth="true" hidden="false" outlineLevel="0" max="15" min="15" style="179" width="5.49"/>
    <col collapsed="false" customWidth="true" hidden="false" outlineLevel="0" max="16" min="16" style="8" width="4.82"/>
    <col collapsed="false" customWidth="true" hidden="false" outlineLevel="0" max="20" min="17" style="176" width="4.32"/>
    <col collapsed="false" customWidth="true" hidden="false" outlineLevel="0" max="21" min="21" style="8" width="5.16"/>
    <col collapsed="false" customWidth="true" hidden="false" outlineLevel="0" max="23" min="22" style="176" width="5.49"/>
    <col collapsed="false" customWidth="true" hidden="false" outlineLevel="0" max="25" min="24" style="177" width="6.32"/>
    <col collapsed="false" customWidth="true" hidden="false" outlineLevel="0" max="26" min="26" style="179" width="5.49"/>
    <col collapsed="false" customWidth="true" hidden="false" outlineLevel="0" max="27" min="27" style="177" width="6.32"/>
    <col collapsed="false" customWidth="true" hidden="false" outlineLevel="0" max="28" min="28" style="179" width="5.49"/>
    <col collapsed="false" customWidth="true" hidden="false" outlineLevel="0" max="29" min="29" style="179" width="5.82"/>
    <col collapsed="false" customWidth="true" hidden="false" outlineLevel="0" max="33" min="30" style="176" width="5.49"/>
    <col collapsed="false" customWidth="true" hidden="false" outlineLevel="0" max="34" min="34" style="177" width="6.32"/>
    <col collapsed="false" customWidth="true" hidden="false" outlineLevel="0" max="35" min="35" style="176" width="5.49"/>
    <col collapsed="false" customWidth="true" hidden="false" outlineLevel="0" max="36" min="36" style="180" width="6.32"/>
    <col collapsed="false" customWidth="true" hidden="false" outlineLevel="0" max="37" min="37" style="176" width="6.32"/>
    <col collapsed="false" customWidth="true" hidden="false" outlineLevel="0" max="38" min="38" style="176" width="6.82"/>
    <col collapsed="false" customWidth="true" hidden="false" outlineLevel="0" max="39" min="39" style="8" width="6.82"/>
    <col collapsed="false" customWidth="true" hidden="false" outlineLevel="0" max="40" min="40" style="176" width="5.49"/>
    <col collapsed="false" customWidth="true" hidden="false" outlineLevel="0" max="41" min="41" style="179" width="5.49"/>
    <col collapsed="false" customWidth="true" hidden="false" outlineLevel="0" max="42" min="42" style="176" width="6.32"/>
    <col collapsed="false" customWidth="true" hidden="false" outlineLevel="0" max="43" min="43" style="181" width="6.32"/>
    <col collapsed="false" customWidth="true" hidden="false" outlineLevel="0" max="44" min="44" style="181" width="5.49"/>
    <col collapsed="false" customWidth="true" hidden="false" outlineLevel="0" max="45" min="45" style="181" width="5.32"/>
    <col collapsed="false" customWidth="true" hidden="false" outlineLevel="0" max="46" min="46" style="181" width="5.82"/>
    <col collapsed="false" customWidth="true" hidden="false" outlineLevel="0" max="47" min="47" style="176" width="4.99"/>
    <col collapsed="false" customWidth="true" hidden="false" outlineLevel="0" max="48" min="48" style="178" width="5.32"/>
    <col collapsed="false" customWidth="true" hidden="false" outlineLevel="0" max="49" min="49" style="182" width="3.82"/>
    <col collapsed="false" customWidth="true" hidden="false" outlineLevel="0" max="51" min="50" style="183" width="3.82"/>
    <col collapsed="false" customWidth="true" hidden="false" outlineLevel="0" max="52" min="52" style="180" width="5.49"/>
    <col collapsed="false" customWidth="false" hidden="false" outlineLevel="0" max="257" min="53" style="184" width="9.32"/>
  </cols>
  <sheetData>
    <row r="1" customFormat="false" ht="14.1" hidden="false" customHeight="true" outlineLevel="0" collapsed="false">
      <c r="A1" s="185"/>
      <c r="B1" s="185"/>
      <c r="D1" s="185"/>
      <c r="F1" s="185"/>
      <c r="G1" s="185"/>
      <c r="H1" s="186"/>
      <c r="I1" s="185"/>
      <c r="J1" s="185"/>
      <c r="K1" s="187" t="s">
        <v>0</v>
      </c>
      <c r="L1" s="185"/>
      <c r="M1" s="185"/>
      <c r="N1" s="185"/>
      <c r="O1" s="185"/>
      <c r="Q1" s="185"/>
      <c r="R1" s="185"/>
      <c r="S1" s="185"/>
      <c r="T1" s="185"/>
      <c r="V1" s="185"/>
      <c r="W1" s="185"/>
      <c r="AD1" s="185"/>
      <c r="AE1" s="185"/>
      <c r="AF1" s="185"/>
      <c r="AG1" s="185"/>
      <c r="AI1" s="185"/>
      <c r="AJ1" s="188"/>
      <c r="AK1" s="185"/>
      <c r="AL1" s="185"/>
    </row>
    <row r="2" customFormat="false" ht="14.1" hidden="false" customHeight="true" outlineLevel="0" collapsed="false">
      <c r="A2" s="188" t="s">
        <v>1</v>
      </c>
      <c r="B2" s="185"/>
      <c r="D2" s="189" t="n">
        <v>1.9835</v>
      </c>
      <c r="F2" s="185"/>
      <c r="G2" s="185"/>
      <c r="H2" s="186"/>
      <c r="I2" s="185"/>
      <c r="J2" s="185"/>
      <c r="K2" s="190" t="s">
        <v>110</v>
      </c>
      <c r="L2" s="191"/>
      <c r="M2" s="192"/>
      <c r="N2" s="192"/>
      <c r="O2" s="192"/>
      <c r="P2" s="193"/>
      <c r="Q2" s="192"/>
      <c r="R2" s="192"/>
      <c r="S2" s="192"/>
      <c r="T2" s="192"/>
      <c r="U2" s="193"/>
      <c r="V2" s="192"/>
      <c r="W2" s="192"/>
      <c r="X2" s="84"/>
      <c r="Y2" s="84"/>
      <c r="Z2" s="194"/>
      <c r="AA2" s="84"/>
      <c r="AB2" s="194"/>
      <c r="AC2" s="194"/>
      <c r="AD2" s="192"/>
      <c r="AE2" s="185"/>
      <c r="AF2" s="185"/>
      <c r="AG2" s="185"/>
      <c r="AI2" s="185"/>
      <c r="AJ2" s="188"/>
      <c r="AK2" s="185"/>
      <c r="AL2" s="185"/>
    </row>
    <row r="3" customFormat="false" ht="14.1" hidden="false" customHeight="true" outlineLevel="0" collapsed="false">
      <c r="A3" s="195"/>
      <c r="B3" s="195"/>
      <c r="C3" s="196"/>
      <c r="D3" s="197"/>
      <c r="E3" s="196"/>
      <c r="F3" s="195"/>
      <c r="G3" s="195"/>
      <c r="H3" s="198"/>
      <c r="I3" s="195"/>
      <c r="J3" s="195"/>
      <c r="K3" s="195"/>
      <c r="L3" s="195"/>
      <c r="M3" s="195"/>
      <c r="N3" s="195"/>
      <c r="O3" s="195"/>
      <c r="P3" s="199"/>
      <c r="Q3" s="195"/>
      <c r="R3" s="195"/>
      <c r="S3" s="195"/>
      <c r="T3" s="195"/>
      <c r="U3" s="199"/>
      <c r="V3" s="195"/>
      <c r="W3" s="195"/>
      <c r="X3" s="196"/>
      <c r="Y3" s="196"/>
      <c r="Z3" s="200"/>
      <c r="AA3" s="196"/>
      <c r="AB3" s="200"/>
      <c r="AC3" s="200"/>
      <c r="AD3" s="195"/>
      <c r="AE3" s="195"/>
      <c r="AF3" s="195"/>
      <c r="AG3" s="195"/>
      <c r="AH3" s="196"/>
      <c r="AI3" s="195"/>
      <c r="AJ3" s="201"/>
      <c r="AK3" s="195"/>
      <c r="AL3" s="195"/>
      <c r="AM3" s="199"/>
      <c r="AN3" s="202"/>
      <c r="AO3" s="200"/>
      <c r="AP3" s="202"/>
      <c r="AQ3" s="203"/>
      <c r="AV3" s="204"/>
      <c r="AW3" s="205"/>
      <c r="AX3" s="206"/>
    </row>
    <row r="4" s="1" customFormat="true" ht="14.1" hidden="false" customHeight="true" outlineLevel="0" collapsed="false">
      <c r="A4" s="31"/>
      <c r="B4" s="32"/>
      <c r="C4" s="33"/>
      <c r="D4" s="34" t="s">
        <v>3</v>
      </c>
      <c r="E4" s="33"/>
      <c r="F4" s="31"/>
      <c r="G4" s="35"/>
      <c r="H4" s="35"/>
      <c r="I4" s="36" t="s">
        <v>111</v>
      </c>
      <c r="J4" s="35"/>
      <c r="K4" s="35"/>
      <c r="L4" s="37"/>
      <c r="M4" s="35"/>
      <c r="N4" s="35"/>
      <c r="O4" s="35"/>
      <c r="P4" s="38"/>
      <c r="Q4" s="35"/>
      <c r="R4" s="35"/>
      <c r="S4" s="35"/>
      <c r="T4" s="35"/>
      <c r="U4" s="38"/>
      <c r="V4" s="35"/>
      <c r="W4" s="35"/>
      <c r="X4" s="39" t="s">
        <v>5</v>
      </c>
      <c r="Y4" s="39"/>
      <c r="Z4" s="40"/>
      <c r="AA4" s="39"/>
      <c r="AB4" s="40"/>
      <c r="AC4" s="40"/>
      <c r="AD4" s="41"/>
      <c r="AE4" s="35"/>
      <c r="AF4" s="35"/>
      <c r="AG4" s="35"/>
      <c r="AH4" s="33"/>
      <c r="AI4" s="35"/>
      <c r="AJ4" s="42"/>
      <c r="AK4" s="35"/>
      <c r="AL4" s="35"/>
      <c r="AM4" s="38"/>
      <c r="AN4" s="43"/>
      <c r="AO4" s="44"/>
      <c r="AP4" s="45" t="s">
        <v>6</v>
      </c>
      <c r="AQ4" s="46"/>
      <c r="AR4" s="47"/>
      <c r="AS4" s="48"/>
      <c r="AT4" s="49"/>
      <c r="AU4" s="49"/>
      <c r="AV4" s="51"/>
      <c r="AW4" s="52" t="s">
        <v>7</v>
      </c>
      <c r="AX4" s="53"/>
      <c r="AY4" s="207"/>
      <c r="AZ4" s="208"/>
    </row>
    <row r="5" customFormat="false" ht="12.95" hidden="false" customHeight="true" outlineLevel="0" collapsed="false">
      <c r="A5" s="55" t="s">
        <v>8</v>
      </c>
      <c r="B5" s="56" t="s">
        <v>9</v>
      </c>
      <c r="C5" s="57" t="s">
        <v>9</v>
      </c>
      <c r="D5" s="58" t="s">
        <v>10</v>
      </c>
      <c r="E5" s="57" t="s">
        <v>11</v>
      </c>
      <c r="F5" s="59" t="s">
        <v>12</v>
      </c>
      <c r="G5" s="55" t="s">
        <v>13</v>
      </c>
      <c r="H5" s="55" t="s">
        <v>14</v>
      </c>
      <c r="I5" s="55" t="s">
        <v>15</v>
      </c>
      <c r="J5" s="55" t="s">
        <v>16</v>
      </c>
      <c r="K5" s="55" t="s">
        <v>17</v>
      </c>
      <c r="L5" s="77" t="s">
        <v>16</v>
      </c>
      <c r="M5" s="209" t="s">
        <v>18</v>
      </c>
      <c r="N5" s="209"/>
      <c r="O5" s="209"/>
      <c r="P5" s="209"/>
      <c r="Q5" s="209"/>
      <c r="R5" s="209"/>
      <c r="S5" s="209"/>
      <c r="T5" s="209"/>
      <c r="U5" s="209"/>
      <c r="V5" s="55" t="s">
        <v>19</v>
      </c>
      <c r="W5" s="55" t="s">
        <v>20</v>
      </c>
      <c r="X5" s="55" t="s">
        <v>17</v>
      </c>
      <c r="Y5" s="55" t="s">
        <v>17</v>
      </c>
      <c r="Z5" s="61" t="s">
        <v>21</v>
      </c>
      <c r="AA5" s="55" t="s">
        <v>21</v>
      </c>
      <c r="AB5" s="61" t="s">
        <v>21</v>
      </c>
      <c r="AC5" s="61" t="s">
        <v>22</v>
      </c>
      <c r="AD5" s="62" t="s">
        <v>21</v>
      </c>
      <c r="AE5" s="55" t="s">
        <v>23</v>
      </c>
      <c r="AF5" s="63" t="s">
        <v>24</v>
      </c>
      <c r="AG5" s="64"/>
      <c r="AH5" s="55" t="s">
        <v>25</v>
      </c>
      <c r="AI5" s="65" t="s">
        <v>26</v>
      </c>
      <c r="AJ5" s="65" t="s">
        <v>27</v>
      </c>
      <c r="AK5" s="55" t="s">
        <v>15</v>
      </c>
      <c r="AL5" s="55" t="s">
        <v>16</v>
      </c>
      <c r="AM5" s="58" t="s">
        <v>17</v>
      </c>
      <c r="AN5" s="66" t="s">
        <v>28</v>
      </c>
      <c r="AO5" s="62" t="s">
        <v>21</v>
      </c>
      <c r="AP5" s="61" t="s">
        <v>29</v>
      </c>
      <c r="AQ5" s="67" t="s">
        <v>29</v>
      </c>
      <c r="AR5" s="62" t="s">
        <v>30</v>
      </c>
      <c r="AS5" s="68" t="s">
        <v>31</v>
      </c>
      <c r="AT5" s="68" t="s">
        <v>32</v>
      </c>
      <c r="AU5" s="210" t="s">
        <v>33</v>
      </c>
      <c r="AV5" s="70" t="s">
        <v>34</v>
      </c>
      <c r="AW5" s="71" t="s">
        <v>35</v>
      </c>
      <c r="AX5" s="71" t="s">
        <v>36</v>
      </c>
      <c r="AY5" s="211"/>
      <c r="AZ5" s="212" t="s">
        <v>17</v>
      </c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</row>
    <row r="6" customFormat="false" ht="12.95" hidden="false" customHeight="true" outlineLevel="0" collapsed="false">
      <c r="A6" s="73" t="s">
        <v>112</v>
      </c>
      <c r="B6" s="56" t="s">
        <v>38</v>
      </c>
      <c r="C6" s="57"/>
      <c r="D6" s="58" t="s">
        <v>39</v>
      </c>
      <c r="E6" s="57" t="s">
        <v>40</v>
      </c>
      <c r="F6" s="59" t="s">
        <v>41</v>
      </c>
      <c r="G6" s="55" t="s">
        <v>42</v>
      </c>
      <c r="H6" s="55" t="s">
        <v>43</v>
      </c>
      <c r="I6" s="55" t="s">
        <v>44</v>
      </c>
      <c r="J6" s="55" t="s">
        <v>44</v>
      </c>
      <c r="K6" s="55" t="s">
        <v>44</v>
      </c>
      <c r="L6" s="77" t="s">
        <v>45</v>
      </c>
      <c r="M6" s="58" t="s">
        <v>46</v>
      </c>
      <c r="N6" s="58" t="s">
        <v>47</v>
      </c>
      <c r="O6" s="58" t="s">
        <v>48</v>
      </c>
      <c r="P6" s="75" t="s">
        <v>49</v>
      </c>
      <c r="Q6" s="58" t="s">
        <v>50</v>
      </c>
      <c r="R6" s="58" t="s">
        <v>51</v>
      </c>
      <c r="S6" s="58"/>
      <c r="T6" s="58" t="s">
        <v>48</v>
      </c>
      <c r="U6" s="76" t="s">
        <v>52</v>
      </c>
      <c r="V6" s="55" t="s">
        <v>53</v>
      </c>
      <c r="W6" s="55" t="s">
        <v>54</v>
      </c>
      <c r="X6" s="55" t="s">
        <v>21</v>
      </c>
      <c r="Y6" s="55" t="s">
        <v>21</v>
      </c>
      <c r="Z6" s="61" t="s">
        <v>55</v>
      </c>
      <c r="AA6" s="55" t="s">
        <v>55</v>
      </c>
      <c r="AB6" s="61" t="s">
        <v>56</v>
      </c>
      <c r="AC6" s="61" t="s">
        <v>57</v>
      </c>
      <c r="AD6" s="62" t="s">
        <v>58</v>
      </c>
      <c r="AE6" s="55" t="s">
        <v>59</v>
      </c>
      <c r="AF6" s="74" t="s">
        <v>60</v>
      </c>
      <c r="AG6" s="77" t="s">
        <v>61</v>
      </c>
      <c r="AH6" s="55" t="s">
        <v>62</v>
      </c>
      <c r="AI6" s="65" t="s">
        <v>63</v>
      </c>
      <c r="AJ6" s="65"/>
      <c r="AK6" s="55" t="s">
        <v>64</v>
      </c>
      <c r="AL6" s="55" t="s">
        <v>64</v>
      </c>
      <c r="AM6" s="58" t="s">
        <v>64</v>
      </c>
      <c r="AN6" s="66" t="s">
        <v>113</v>
      </c>
      <c r="AO6" s="62" t="s">
        <v>66</v>
      </c>
      <c r="AP6" s="61" t="s">
        <v>67</v>
      </c>
      <c r="AQ6" s="67" t="s">
        <v>67</v>
      </c>
      <c r="AR6" s="62" t="s">
        <v>68</v>
      </c>
      <c r="AS6" s="68" t="s">
        <v>69</v>
      </c>
      <c r="AT6" s="68" t="s">
        <v>70</v>
      </c>
      <c r="AU6" s="210" t="s">
        <v>71</v>
      </c>
      <c r="AV6" s="78"/>
      <c r="AW6" s="71" t="s">
        <v>72</v>
      </c>
      <c r="AX6" s="71" t="s">
        <v>72</v>
      </c>
      <c r="AY6" s="211"/>
      <c r="AZ6" s="212" t="s">
        <v>73</v>
      </c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</row>
    <row r="7" customFormat="false" ht="12.95" hidden="false" customHeight="true" outlineLevel="0" collapsed="false">
      <c r="A7" s="55"/>
      <c r="B7" s="56"/>
      <c r="C7" s="57"/>
      <c r="D7" s="58"/>
      <c r="E7" s="57"/>
      <c r="F7" s="59"/>
      <c r="G7" s="55"/>
      <c r="H7" s="55"/>
      <c r="I7" s="55"/>
      <c r="J7" s="55"/>
      <c r="K7" s="55"/>
      <c r="L7" s="77"/>
      <c r="M7" s="58"/>
      <c r="N7" s="58" t="s">
        <v>74</v>
      </c>
      <c r="O7" s="58" t="s">
        <v>75</v>
      </c>
      <c r="P7" s="75"/>
      <c r="Q7" s="58" t="s">
        <v>76</v>
      </c>
      <c r="R7" s="58" t="s">
        <v>76</v>
      </c>
      <c r="S7" s="58" t="s">
        <v>61</v>
      </c>
      <c r="T7" s="58" t="s">
        <v>61</v>
      </c>
      <c r="U7" s="76" t="s">
        <v>77</v>
      </c>
      <c r="V7" s="55"/>
      <c r="W7" s="55"/>
      <c r="X7" s="65" t="s">
        <v>78</v>
      </c>
      <c r="Y7" s="57" t="s">
        <v>79</v>
      </c>
      <c r="Z7" s="61" t="s">
        <v>80</v>
      </c>
      <c r="AA7" s="55" t="s">
        <v>81</v>
      </c>
      <c r="AB7" s="61" t="s">
        <v>82</v>
      </c>
      <c r="AC7" s="61"/>
      <c r="AD7" s="62"/>
      <c r="AE7" s="77"/>
      <c r="AF7" s="79" t="n">
        <v>1.7</v>
      </c>
      <c r="AG7" s="79" t="n">
        <v>1.3</v>
      </c>
      <c r="AH7" s="74"/>
      <c r="AI7" s="80"/>
      <c r="AJ7" s="65"/>
      <c r="AK7" s="55"/>
      <c r="AL7" s="55"/>
      <c r="AM7" s="58"/>
      <c r="AN7" s="66"/>
      <c r="AO7" s="62"/>
      <c r="AP7" s="61" t="s">
        <v>83</v>
      </c>
      <c r="AQ7" s="67" t="s">
        <v>84</v>
      </c>
      <c r="AR7" s="62" t="s">
        <v>85</v>
      </c>
      <c r="AS7" s="68" t="s">
        <v>86</v>
      </c>
      <c r="AT7" s="68" t="s">
        <v>87</v>
      </c>
      <c r="AU7" s="210" t="s">
        <v>88</v>
      </c>
      <c r="AV7" s="78"/>
      <c r="AW7" s="71"/>
      <c r="AX7" s="71"/>
      <c r="AY7" s="211"/>
      <c r="AZ7" s="212" t="s">
        <v>89</v>
      </c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</row>
    <row r="8" customFormat="false" ht="12.95" hidden="false" customHeight="true" outlineLevel="0" collapsed="false">
      <c r="A8" s="55"/>
      <c r="B8" s="56"/>
      <c r="C8" s="57"/>
      <c r="D8" s="58"/>
      <c r="E8" s="57"/>
      <c r="F8" s="59"/>
      <c r="G8" s="55"/>
      <c r="H8" s="55"/>
      <c r="I8" s="55"/>
      <c r="J8" s="55"/>
      <c r="K8" s="55"/>
      <c r="L8" s="77"/>
      <c r="M8" s="58"/>
      <c r="N8" s="58"/>
      <c r="O8" s="58"/>
      <c r="P8" s="75"/>
      <c r="Q8" s="58" t="s">
        <v>61</v>
      </c>
      <c r="R8" s="58" t="s">
        <v>61</v>
      </c>
      <c r="S8" s="58"/>
      <c r="T8" s="58"/>
      <c r="U8" s="76"/>
      <c r="V8" s="55"/>
      <c r="W8" s="55"/>
      <c r="X8" s="65" t="s">
        <v>90</v>
      </c>
      <c r="Y8" s="57" t="s">
        <v>78</v>
      </c>
      <c r="Z8" s="61"/>
      <c r="AA8" s="57" t="s">
        <v>91</v>
      </c>
      <c r="AB8" s="61" t="s">
        <v>92</v>
      </c>
      <c r="AC8" s="61"/>
      <c r="AD8" s="62"/>
      <c r="AE8" s="77"/>
      <c r="AF8" s="79"/>
      <c r="AG8" s="79"/>
      <c r="AH8" s="74"/>
      <c r="AI8" s="80"/>
      <c r="AJ8" s="65"/>
      <c r="AK8" s="55"/>
      <c r="AL8" s="55"/>
      <c r="AM8" s="58"/>
      <c r="AN8" s="66"/>
      <c r="AO8" s="62"/>
      <c r="AP8" s="61"/>
      <c r="AQ8" s="67"/>
      <c r="AR8" s="62"/>
      <c r="AS8" s="68"/>
      <c r="AT8" s="68"/>
      <c r="AU8" s="210"/>
      <c r="AV8" s="78"/>
      <c r="AW8" s="71"/>
      <c r="AX8" s="71"/>
      <c r="AY8" s="211"/>
      <c r="AZ8" s="212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</row>
    <row r="9" customFormat="false" ht="12.95" hidden="false" customHeight="true" outlineLevel="0" collapsed="false">
      <c r="A9" s="55"/>
      <c r="B9" s="56"/>
      <c r="C9" s="57"/>
      <c r="D9" s="58"/>
      <c r="E9" s="57"/>
      <c r="F9" s="59"/>
      <c r="G9" s="55"/>
      <c r="H9" s="55"/>
      <c r="I9" s="55"/>
      <c r="J9" s="55"/>
      <c r="K9" s="55"/>
      <c r="L9" s="77"/>
      <c r="M9" s="58"/>
      <c r="N9" s="58"/>
      <c r="O9" s="58"/>
      <c r="P9" s="75"/>
      <c r="Q9" s="58"/>
      <c r="R9" s="81" t="n">
        <v>4.2</v>
      </c>
      <c r="S9" s="58"/>
      <c r="T9" s="58"/>
      <c r="U9" s="76"/>
      <c r="V9" s="55"/>
      <c r="W9" s="55"/>
      <c r="X9" s="65"/>
      <c r="Y9" s="57" t="s">
        <v>90</v>
      </c>
      <c r="Z9" s="61"/>
      <c r="AA9" s="57" t="s">
        <v>90</v>
      </c>
      <c r="AB9" s="61" t="s">
        <v>93</v>
      </c>
      <c r="AC9" s="61"/>
      <c r="AD9" s="62"/>
      <c r="AE9" s="77"/>
      <c r="AF9" s="79"/>
      <c r="AG9" s="79"/>
      <c r="AH9" s="74"/>
      <c r="AI9" s="80"/>
      <c r="AJ9" s="65"/>
      <c r="AK9" s="55"/>
      <c r="AL9" s="55"/>
      <c r="AM9" s="58"/>
      <c r="AN9" s="66"/>
      <c r="AO9" s="62"/>
      <c r="AP9" s="61"/>
      <c r="AQ9" s="67"/>
      <c r="AR9" s="62"/>
      <c r="AS9" s="68"/>
      <c r="AT9" s="68"/>
      <c r="AU9" s="210"/>
      <c r="AV9" s="78"/>
      <c r="AW9" s="71"/>
      <c r="AX9" s="71"/>
      <c r="AY9" s="211"/>
      <c r="AZ9" s="212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</row>
    <row r="10" customFormat="false" ht="12.95" hidden="false" customHeight="true" outlineLevel="0" collapsed="false">
      <c r="A10" s="55"/>
      <c r="B10" s="56"/>
      <c r="C10" s="57" t="s">
        <v>94</v>
      </c>
      <c r="D10" s="58"/>
      <c r="E10" s="57" t="s">
        <v>95</v>
      </c>
      <c r="F10" s="59"/>
      <c r="G10" s="58" t="s">
        <v>41</v>
      </c>
      <c r="H10" s="58" t="s">
        <v>41</v>
      </c>
      <c r="I10" s="58" t="s">
        <v>41</v>
      </c>
      <c r="J10" s="58" t="s">
        <v>41</v>
      </c>
      <c r="K10" s="58" t="s">
        <v>41</v>
      </c>
      <c r="L10" s="77" t="s">
        <v>41</v>
      </c>
      <c r="M10" s="58" t="s">
        <v>41</v>
      </c>
      <c r="N10" s="58" t="s">
        <v>41</v>
      </c>
      <c r="O10" s="58" t="s">
        <v>41</v>
      </c>
      <c r="P10" s="58" t="s">
        <v>41</v>
      </c>
      <c r="Q10" s="58" t="s">
        <v>41</v>
      </c>
      <c r="R10" s="58" t="s">
        <v>41</v>
      </c>
      <c r="S10" s="58" t="s">
        <v>41</v>
      </c>
      <c r="T10" s="58" t="s">
        <v>41</v>
      </c>
      <c r="U10" s="77" t="s">
        <v>41</v>
      </c>
      <c r="V10" s="58" t="s">
        <v>41</v>
      </c>
      <c r="W10" s="58" t="s">
        <v>41</v>
      </c>
      <c r="X10" s="57" t="n">
        <v>153400</v>
      </c>
      <c r="Y10" s="57" t="n">
        <v>150400</v>
      </c>
      <c r="Z10" s="58"/>
      <c r="AA10" s="57"/>
      <c r="AB10" s="57" t="n">
        <v>72000</v>
      </c>
      <c r="AC10" s="58" t="s">
        <v>41</v>
      </c>
      <c r="AD10" s="58" t="s">
        <v>41</v>
      </c>
      <c r="AE10" s="77" t="s">
        <v>41</v>
      </c>
      <c r="AF10" s="58" t="s">
        <v>41</v>
      </c>
      <c r="AG10" s="58" t="s">
        <v>41</v>
      </c>
      <c r="AH10" s="74" t="s">
        <v>41</v>
      </c>
      <c r="AI10" s="58" t="s">
        <v>41</v>
      </c>
      <c r="AJ10" s="58" t="s">
        <v>41</v>
      </c>
      <c r="AK10" s="58" t="s">
        <v>41</v>
      </c>
      <c r="AL10" s="58" t="s">
        <v>41</v>
      </c>
      <c r="AM10" s="58" t="s">
        <v>41</v>
      </c>
      <c r="AN10" s="62" t="s">
        <v>41</v>
      </c>
      <c r="AO10" s="62" t="s">
        <v>41</v>
      </c>
      <c r="AP10" s="62" t="s">
        <v>41</v>
      </c>
      <c r="AQ10" s="67" t="s">
        <v>96</v>
      </c>
      <c r="AR10" s="62" t="s">
        <v>41</v>
      </c>
      <c r="AS10" s="62" t="s">
        <v>41</v>
      </c>
      <c r="AT10" s="62" t="s">
        <v>41</v>
      </c>
      <c r="AU10" s="62" t="s">
        <v>41</v>
      </c>
      <c r="AV10" s="78"/>
      <c r="AW10" s="71"/>
      <c r="AX10" s="71"/>
      <c r="AY10" s="211"/>
      <c r="AZ10" s="212" t="s">
        <v>97</v>
      </c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2.95" hidden="false" customHeight="true" outlineLevel="0" collapsed="false">
      <c r="A11" s="55"/>
      <c r="B11" s="56"/>
      <c r="C11" s="57"/>
      <c r="D11" s="58"/>
      <c r="E11" s="57"/>
      <c r="F11" s="59"/>
      <c r="G11" s="55"/>
      <c r="H11" s="55"/>
      <c r="I11" s="55"/>
      <c r="J11" s="55"/>
      <c r="K11" s="55"/>
      <c r="L11" s="77"/>
      <c r="M11" s="58"/>
      <c r="N11" s="46" t="n">
        <v>1.03</v>
      </c>
      <c r="O11" s="46" t="n">
        <v>1.05</v>
      </c>
      <c r="P11" s="46" t="n">
        <v>1.02</v>
      </c>
      <c r="Q11" s="82" t="n">
        <v>1.02</v>
      </c>
      <c r="R11" s="83" t="n">
        <v>1.04</v>
      </c>
      <c r="S11" s="58"/>
      <c r="T11" s="82" t="n">
        <v>1.04</v>
      </c>
      <c r="U11" s="76"/>
      <c r="V11" s="55"/>
      <c r="W11" s="55"/>
      <c r="X11" s="58" t="s">
        <v>41</v>
      </c>
      <c r="Y11" s="58" t="s">
        <v>41</v>
      </c>
      <c r="Z11" s="58" t="s">
        <v>41</v>
      </c>
      <c r="AA11" s="57" t="s">
        <v>41</v>
      </c>
      <c r="AB11" s="84" t="s">
        <v>98</v>
      </c>
      <c r="AC11" s="61"/>
      <c r="AD11" s="61"/>
      <c r="AE11" s="85"/>
      <c r="AF11" s="79"/>
      <c r="AG11" s="79"/>
      <c r="AH11" s="74"/>
      <c r="AI11" s="80"/>
      <c r="AJ11" s="86"/>
      <c r="AK11" s="55"/>
      <c r="AL11" s="55"/>
      <c r="AM11" s="58"/>
      <c r="AN11" s="66"/>
      <c r="AO11" s="62"/>
      <c r="AP11" s="61"/>
      <c r="AQ11" s="67"/>
      <c r="AR11" s="67"/>
      <c r="AS11" s="87"/>
      <c r="AT11" s="87"/>
      <c r="AU11" s="87"/>
      <c r="AV11" s="78"/>
      <c r="AW11" s="71"/>
      <c r="AX11" s="71"/>
      <c r="AY11" s="211"/>
      <c r="AZ11" s="212" t="s">
        <v>41</v>
      </c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2.95" hidden="false" customHeight="true" outlineLevel="0" collapsed="false">
      <c r="A12" s="188" t="s">
        <v>99</v>
      </c>
      <c r="B12" s="213"/>
      <c r="C12" s="107"/>
      <c r="D12" s="107"/>
      <c r="E12" s="107"/>
      <c r="F12" s="214"/>
      <c r="G12" s="107"/>
      <c r="H12" s="215"/>
      <c r="I12" s="107"/>
      <c r="J12" s="107"/>
      <c r="K12" s="107"/>
      <c r="L12" s="107"/>
      <c r="M12" s="216"/>
      <c r="N12" s="107"/>
      <c r="O12" s="107"/>
      <c r="P12" s="158"/>
      <c r="Q12" s="107"/>
      <c r="R12" s="107"/>
      <c r="S12" s="107"/>
      <c r="T12" s="107"/>
      <c r="U12" s="217"/>
      <c r="V12" s="107"/>
      <c r="W12" s="107"/>
      <c r="X12" s="107"/>
      <c r="Y12" s="107"/>
      <c r="Z12" s="136"/>
      <c r="AA12" s="107"/>
      <c r="AB12" s="136"/>
      <c r="AC12" s="136"/>
      <c r="AD12" s="107"/>
      <c r="AE12" s="107"/>
      <c r="AF12" s="216"/>
      <c r="AG12" s="218"/>
      <c r="AH12" s="107"/>
      <c r="AI12" s="107"/>
      <c r="AJ12" s="219"/>
      <c r="AK12" s="107"/>
      <c r="AL12" s="107"/>
      <c r="AM12" s="107"/>
      <c r="AN12" s="220"/>
      <c r="AO12" s="136"/>
      <c r="AP12" s="221"/>
      <c r="AV12" s="222"/>
      <c r="AW12" s="215"/>
      <c r="AX12" s="215"/>
      <c r="AY12" s="223"/>
      <c r="AZ12" s="224"/>
    </row>
    <row r="13" s="230" customFormat="true" ht="12.95" hidden="false" customHeight="true" outlineLevel="0" collapsed="false">
      <c r="A13" s="225" t="s">
        <v>100</v>
      </c>
      <c r="B13" s="106" t="n">
        <f aca="false">NOV!B44</f>
        <v>6902.17</v>
      </c>
      <c r="C13" s="107" t="n">
        <f aca="false">NOV!C44</f>
        <v>291654</v>
      </c>
      <c r="D13" s="107" t="n">
        <f aca="false">NOV!D53</f>
        <v>-1957</v>
      </c>
      <c r="E13" s="107" t="n">
        <f aca="false">NOV!E53</f>
        <v>139654</v>
      </c>
      <c r="F13" s="214" t="n">
        <f aca="false">NOV!F52</f>
        <v>-986.639778169902</v>
      </c>
      <c r="G13" s="107" t="n">
        <f aca="false">NOV!G52</f>
        <v>2009</v>
      </c>
      <c r="H13" s="215" t="n">
        <f aca="false">NOV!H52</f>
        <v>8.24</v>
      </c>
      <c r="I13" s="107" t="n">
        <f aca="false">NOV!I52</f>
        <v>2016.62</v>
      </c>
      <c r="J13" s="107" t="n">
        <f aca="false">NOV!J52</f>
        <v>90.0980463826569</v>
      </c>
      <c r="K13" s="107" t="n">
        <f aca="false">NOV!K52</f>
        <v>2106.71804638266</v>
      </c>
      <c r="L13" s="107" t="n">
        <f aca="false">NOV!L52</f>
        <v>-180.459778169902</v>
      </c>
      <c r="M13" s="216" t="n">
        <f aca="false">NOV!M52</f>
        <v>193.3</v>
      </c>
      <c r="N13" s="107" t="n">
        <f aca="false">NOV!N52</f>
        <v>0</v>
      </c>
      <c r="O13" s="107" t="n">
        <f aca="false">NOV!O52</f>
        <v>0</v>
      </c>
      <c r="P13" s="107" t="n">
        <f aca="false">NOV!P52</f>
        <v>0</v>
      </c>
      <c r="Q13" s="107" t="n">
        <f aca="false">NOV!Q52</f>
        <v>44.0640448638617</v>
      </c>
      <c r="R13" s="107" t="n">
        <f aca="false">NOV!R52</f>
        <v>45.44994272</v>
      </c>
      <c r="S13" s="226" t="n">
        <f aca="false">NOV!S52</f>
        <v>0</v>
      </c>
      <c r="T13" s="226" t="n">
        <f aca="false">NOV!T52</f>
        <v>15.91005728</v>
      </c>
      <c r="U13" s="227" t="n">
        <f aca="false">NOV!U52</f>
        <v>-1.22987835307434</v>
      </c>
      <c r="V13" s="107" t="n">
        <f aca="false">NOV!V52</f>
        <v>1680</v>
      </c>
      <c r="W13" s="107" t="n">
        <f aca="false">NOV!W52</f>
        <v>59.5</v>
      </c>
      <c r="X13" s="107" t="n">
        <f aca="false">NOV!X52</f>
        <v>1828.60583348921</v>
      </c>
      <c r="Y13" s="107" t="n">
        <f aca="false">NOV!Y52</f>
        <v>1625.80876137068</v>
      </c>
      <c r="Z13" s="136"/>
      <c r="AA13" s="107"/>
      <c r="AB13" s="136"/>
      <c r="AC13" s="107" t="n">
        <f aca="false">NOV!AC52</f>
        <v>146.2</v>
      </c>
      <c r="AD13" s="107"/>
      <c r="AE13" s="107"/>
      <c r="AF13" s="216"/>
      <c r="AG13" s="218"/>
      <c r="AH13" s="107" t="n">
        <f aca="false">NOV!AH52</f>
        <v>890</v>
      </c>
      <c r="AI13" s="107" t="n">
        <f aca="false">NOV!AI52</f>
        <v>4461</v>
      </c>
      <c r="AJ13" s="107"/>
      <c r="AK13" s="107" t="n">
        <f aca="false">NOV!AK52</f>
        <v>2822.8</v>
      </c>
      <c r="AL13" s="107" t="n">
        <f aca="false">NOV!AL52</f>
        <v>270.557824552559</v>
      </c>
      <c r="AM13" s="107" t="n">
        <f aca="false">NOV!AM52</f>
        <v>3093.35782455256</v>
      </c>
      <c r="AN13" s="220" t="n">
        <f aca="false">NOV!AN52</f>
        <v>1625.8</v>
      </c>
      <c r="AO13" s="136" t="n">
        <f aca="false">NOV!AO52</f>
        <v>202.797072118535</v>
      </c>
      <c r="AP13" s="107"/>
      <c r="AQ13" s="228"/>
      <c r="AR13" s="228"/>
      <c r="AS13" s="228"/>
      <c r="AT13" s="228"/>
      <c r="AU13" s="177"/>
      <c r="AV13" s="222" t="n">
        <f aca="false">NOV!AV52</f>
        <v>0.48</v>
      </c>
      <c r="AW13" s="215"/>
      <c r="AX13" s="215"/>
      <c r="AY13" s="223"/>
      <c r="AZ13" s="229" t="n">
        <f aca="false">NOV!AZ52</f>
        <v>104.194166510787</v>
      </c>
    </row>
    <row r="14" customFormat="false" ht="3" hidden="false" customHeight="true" outlineLevel="0" collapsed="false">
      <c r="A14" s="231"/>
      <c r="B14" s="232"/>
      <c r="C14" s="233"/>
      <c r="D14" s="234"/>
      <c r="E14" s="233"/>
      <c r="F14" s="235"/>
      <c r="G14" s="234"/>
      <c r="H14" s="236"/>
      <c r="I14" s="234"/>
      <c r="J14" s="234"/>
      <c r="K14" s="234"/>
      <c r="L14" s="234"/>
      <c r="M14" s="237"/>
      <c r="N14" s="234"/>
      <c r="O14" s="234"/>
      <c r="P14" s="238"/>
      <c r="Q14" s="234"/>
      <c r="R14" s="234"/>
      <c r="S14" s="234"/>
      <c r="T14" s="234"/>
      <c r="U14" s="239"/>
      <c r="V14" s="234"/>
      <c r="W14" s="234"/>
      <c r="X14" s="234"/>
      <c r="Y14" s="234"/>
      <c r="Z14" s="240"/>
      <c r="AA14" s="234"/>
      <c r="AB14" s="240"/>
      <c r="AC14" s="240"/>
      <c r="AD14" s="233"/>
      <c r="AE14" s="234"/>
      <c r="AF14" s="237"/>
      <c r="AG14" s="241"/>
      <c r="AH14" s="234"/>
      <c r="AI14" s="233"/>
      <c r="AJ14" s="233"/>
      <c r="AK14" s="234"/>
      <c r="AL14" s="234"/>
      <c r="AM14" s="234"/>
      <c r="AN14" s="242"/>
      <c r="AO14" s="240"/>
      <c r="AP14" s="243"/>
      <c r="AQ14" s="244"/>
      <c r="AR14" s="244"/>
      <c r="AS14" s="244"/>
      <c r="AT14" s="244"/>
      <c r="AU14" s="243"/>
      <c r="AV14" s="245"/>
      <c r="AW14" s="243"/>
      <c r="AX14" s="243"/>
      <c r="AY14" s="243"/>
      <c r="AZ14" s="123"/>
    </row>
    <row r="15" customFormat="false" ht="12.95" hidden="false" customHeight="true" outlineLevel="0" collapsed="false">
      <c r="A15" s="183" t="n">
        <v>1</v>
      </c>
      <c r="B15" s="106" t="n">
        <v>6902.16</v>
      </c>
      <c r="C15" s="107" t="n">
        <v>291616</v>
      </c>
      <c r="D15" s="215" t="n">
        <f aca="false">C15-C13</f>
        <v>-38</v>
      </c>
      <c r="E15" s="107" t="n">
        <f aca="false">C15-152000</f>
        <v>139616</v>
      </c>
      <c r="F15" s="246" t="n">
        <f aca="false">D15/$D$2</f>
        <v>-19.1580539450466</v>
      </c>
      <c r="G15" s="135" t="n">
        <v>52</v>
      </c>
      <c r="H15" s="247" t="n">
        <v>0.62</v>
      </c>
      <c r="I15" s="135" t="n">
        <f aca="false">G15+H15</f>
        <v>52.62</v>
      </c>
      <c r="J15" s="136" t="n">
        <f aca="false">IF(L15&gt;0,L15,0)</f>
        <v>10.4219460549534</v>
      </c>
      <c r="K15" s="135" t="n">
        <f aca="false">I15+J15</f>
        <v>63.0419460549534</v>
      </c>
      <c r="L15" s="135" t="n">
        <f aca="false">F15-(I15-AK15)</f>
        <v>10.4219460549534</v>
      </c>
      <c r="M15" s="248" t="n">
        <v>3.2</v>
      </c>
      <c r="N15" s="135" t="n">
        <v>0</v>
      </c>
      <c r="O15" s="135" t="n">
        <v>0</v>
      </c>
      <c r="P15" s="158" t="n">
        <v>0</v>
      </c>
      <c r="Q15" s="131" t="n">
        <f aca="false">985000/325851/1.9835*1.02</f>
        <v>1.55448000196638</v>
      </c>
      <c r="R15" s="131" t="n">
        <f aca="false">((1.8)*1.04)-T15</f>
        <v>1.2954448</v>
      </c>
      <c r="S15" s="131" t="n">
        <v>0</v>
      </c>
      <c r="T15" s="131" t="n">
        <f aca="false">(0.523*1.06)*1.04</f>
        <v>0.5765552</v>
      </c>
      <c r="U15" s="96" t="n">
        <f aca="false">M15-(Q15+R15+S15+T15)</f>
        <v>-0.226480001966377</v>
      </c>
      <c r="V15" s="135" t="n">
        <v>48</v>
      </c>
      <c r="W15" s="135" t="n">
        <v>0</v>
      </c>
      <c r="X15" s="135" t="n">
        <f aca="false">M15-N15-P15-O15-Q15-R15-S15-T15-U15+V15+W15</f>
        <v>48</v>
      </c>
      <c r="Y15" s="135" t="n">
        <f aca="false">X15-AO15</f>
        <v>48</v>
      </c>
      <c r="Z15" s="136"/>
      <c r="AA15" s="135"/>
      <c r="AB15" s="136"/>
      <c r="AC15" s="136" t="n">
        <v>5</v>
      </c>
      <c r="AD15" s="107"/>
      <c r="AE15" s="135" t="n">
        <v>0</v>
      </c>
      <c r="AF15" s="248"/>
      <c r="AG15" s="249"/>
      <c r="AH15" s="135" t="n">
        <v>31</v>
      </c>
      <c r="AI15" s="107" t="n">
        <f aca="false">AI13-AH15</f>
        <v>4430</v>
      </c>
      <c r="AJ15" s="107"/>
      <c r="AK15" s="134" t="n">
        <f aca="false">N15+O15+P15+Q15+R15+S15+T15+U15+X15+AE15+AH15</f>
        <v>82.2</v>
      </c>
      <c r="AL15" s="135" t="n">
        <f aca="false">IF(L15&lt;0,L15*-1,0)</f>
        <v>0</v>
      </c>
      <c r="AM15" s="135" t="n">
        <f aca="false">AK15+AL15</f>
        <v>82.2</v>
      </c>
      <c r="AN15" s="220" t="n">
        <f aca="false">V15</f>
        <v>48</v>
      </c>
      <c r="AO15" s="136" t="n">
        <v>0</v>
      </c>
      <c r="AP15" s="221"/>
      <c r="AV15" s="222" t="n">
        <v>0</v>
      </c>
      <c r="AW15" s="215" t="n">
        <v>53</v>
      </c>
      <c r="AX15" s="215" t="n">
        <v>28</v>
      </c>
      <c r="AY15" s="223"/>
      <c r="AZ15" s="250" t="n">
        <f aca="false">SUM(N15,P15:U15)</f>
        <v>3.2</v>
      </c>
    </row>
    <row r="16" customFormat="false" ht="12.95" hidden="false" customHeight="true" outlineLevel="0" collapsed="false">
      <c r="A16" s="183" t="n">
        <f aca="false">A15+1</f>
        <v>2</v>
      </c>
      <c r="B16" s="106" t="n">
        <v>6902.14</v>
      </c>
      <c r="C16" s="107" t="n">
        <v>291541</v>
      </c>
      <c r="D16" s="215" t="n">
        <f aca="false">C16-C15</f>
        <v>-75</v>
      </c>
      <c r="E16" s="107" t="n">
        <f aca="false">C16-152000</f>
        <v>139541</v>
      </c>
      <c r="F16" s="246" t="n">
        <f aca="false">D16/$D$2</f>
        <v>-37.8119485757499</v>
      </c>
      <c r="G16" s="135" t="n">
        <v>58</v>
      </c>
      <c r="H16" s="247" t="n">
        <v>0.68</v>
      </c>
      <c r="I16" s="135" t="n">
        <f aca="false">G16+H16</f>
        <v>58.68</v>
      </c>
      <c r="J16" s="136" t="n">
        <f aca="false">IF(L16&gt;0,L16,0)</f>
        <v>0</v>
      </c>
      <c r="K16" s="135" t="n">
        <f aca="false">I16+J16</f>
        <v>58.68</v>
      </c>
      <c r="L16" s="135" t="n">
        <f aca="false">F16-(I16-AK16)</f>
        <v>-17.4919485757499</v>
      </c>
      <c r="M16" s="248" t="n">
        <v>4</v>
      </c>
      <c r="N16" s="135" t="n">
        <v>0</v>
      </c>
      <c r="O16" s="135" t="n">
        <v>0</v>
      </c>
      <c r="P16" s="158" t="n">
        <v>0</v>
      </c>
      <c r="Q16" s="131" t="n">
        <f aca="false">857200/325851/1.9835*1.02</f>
        <v>1.35279213978231</v>
      </c>
      <c r="R16" s="131" t="n">
        <f aca="false">((1.8)*1.04)-T16</f>
        <v>1.27648352</v>
      </c>
      <c r="S16" s="131" t="n">
        <v>0</v>
      </c>
      <c r="T16" s="131" t="n">
        <f aca="false">(0.5402*1.06)*1.04</f>
        <v>0.59551648</v>
      </c>
      <c r="U16" s="96" t="n">
        <f aca="false">M16-(Q16+R16+S16+T16)</f>
        <v>0.775207860217686</v>
      </c>
      <c r="V16" s="135" t="n">
        <v>44</v>
      </c>
      <c r="W16" s="135" t="n">
        <v>0</v>
      </c>
      <c r="X16" s="135" t="n">
        <f aca="false">M16-N16-P16-O16-Q16-R16-S16-T16-U16+V16+W16</f>
        <v>44</v>
      </c>
      <c r="Y16" s="135" t="n">
        <f aca="false">X16-AO16</f>
        <v>44</v>
      </c>
      <c r="Z16" s="136"/>
      <c r="AA16" s="135"/>
      <c r="AB16" s="136"/>
      <c r="AC16" s="136" t="n">
        <v>13.1</v>
      </c>
      <c r="AD16" s="107"/>
      <c r="AE16" s="135" t="n">
        <v>0</v>
      </c>
      <c r="AF16" s="248"/>
      <c r="AG16" s="249"/>
      <c r="AH16" s="135" t="n">
        <v>31</v>
      </c>
      <c r="AI16" s="107" t="n">
        <f aca="false">AI15-AH16</f>
        <v>4399</v>
      </c>
      <c r="AJ16" s="107"/>
      <c r="AK16" s="134" t="n">
        <f aca="false">N16+O16+P16+Q16+R16+S16+T16+U16+X16+AE16+AH16</f>
        <v>79</v>
      </c>
      <c r="AL16" s="135" t="n">
        <f aca="false">IF(L16&lt;0,L16*-1,0)</f>
        <v>17.4919485757499</v>
      </c>
      <c r="AM16" s="135" t="n">
        <f aca="false">AK16+AL16</f>
        <v>96.4919485757499</v>
      </c>
      <c r="AN16" s="220" t="n">
        <f aca="false">V16</f>
        <v>44</v>
      </c>
      <c r="AO16" s="136" t="n">
        <v>0</v>
      </c>
      <c r="AP16" s="221"/>
      <c r="AV16" s="222" t="n">
        <v>0.05</v>
      </c>
      <c r="AW16" s="215" t="n">
        <v>38</v>
      </c>
      <c r="AX16" s="215" t="n">
        <v>27</v>
      </c>
      <c r="AY16" s="223"/>
      <c r="AZ16" s="250" t="n">
        <f aca="false">SUM(N16,P16:U16)</f>
        <v>4</v>
      </c>
    </row>
    <row r="17" customFormat="false" ht="12.95" hidden="false" customHeight="true" outlineLevel="0" collapsed="false">
      <c r="A17" s="183" t="n">
        <f aca="false">A16+1</f>
        <v>3</v>
      </c>
      <c r="B17" s="106" t="n">
        <v>6902.12</v>
      </c>
      <c r="C17" s="107" t="n">
        <v>291466</v>
      </c>
      <c r="D17" s="215" t="n">
        <f aca="false">C17-C16</f>
        <v>-75</v>
      </c>
      <c r="E17" s="107" t="n">
        <f aca="false">C17-152000</f>
        <v>139466</v>
      </c>
      <c r="F17" s="246" t="n">
        <f aca="false">D17/$D$2</f>
        <v>-37.8119485757499</v>
      </c>
      <c r="G17" s="135" t="n">
        <v>57</v>
      </c>
      <c r="H17" s="247" t="n">
        <v>0.75</v>
      </c>
      <c r="I17" s="135" t="n">
        <f aca="false">G17+H17</f>
        <v>57.75</v>
      </c>
      <c r="J17" s="136" t="n">
        <f aca="false">IF(L17&gt;0,L17,0)</f>
        <v>0</v>
      </c>
      <c r="K17" s="135" t="n">
        <f aca="false">I17+J17</f>
        <v>57.75</v>
      </c>
      <c r="L17" s="135" t="n">
        <f aca="false">F17-(I17-AK17)</f>
        <v>-17.7619485757499</v>
      </c>
      <c r="M17" s="248" t="n">
        <v>2.8</v>
      </c>
      <c r="N17" s="135" t="n">
        <v>0</v>
      </c>
      <c r="O17" s="135" t="n">
        <v>0</v>
      </c>
      <c r="P17" s="158" t="n">
        <v>0</v>
      </c>
      <c r="Q17" s="131" t="n">
        <f aca="false">774500/325851/1.9835*1.02</f>
        <v>1.22227894570859</v>
      </c>
      <c r="R17" s="131" t="n">
        <f aca="false">((1.8)*1.04)-T17</f>
        <v>1.27648352</v>
      </c>
      <c r="S17" s="131" t="n">
        <v>0</v>
      </c>
      <c r="T17" s="131" t="n">
        <f aca="false">(0.5402*1.06)*1.04</f>
        <v>0.59551648</v>
      </c>
      <c r="U17" s="96" t="n">
        <f aca="false">M17-(Q17+R17+S17+T17)</f>
        <v>-0.294278945708589</v>
      </c>
      <c r="V17" s="135" t="n">
        <v>44</v>
      </c>
      <c r="W17" s="135" t="n">
        <v>0</v>
      </c>
      <c r="X17" s="135" t="n">
        <f aca="false">M17-N17-P17-O17-Q17-R17-S17-T17-U17+V17+W17</f>
        <v>44</v>
      </c>
      <c r="Y17" s="135" t="n">
        <f aca="false">X17-AO17</f>
        <v>44</v>
      </c>
      <c r="Z17" s="136"/>
      <c r="AA17" s="135"/>
      <c r="AB17" s="136"/>
      <c r="AC17" s="136" t="n">
        <v>11.9</v>
      </c>
      <c r="AD17" s="107"/>
      <c r="AE17" s="135" t="n">
        <v>0</v>
      </c>
      <c r="AF17" s="248"/>
      <c r="AG17" s="249"/>
      <c r="AH17" s="135" t="n">
        <v>31</v>
      </c>
      <c r="AI17" s="107" t="n">
        <f aca="false">AI16-AH17</f>
        <v>4368</v>
      </c>
      <c r="AJ17" s="107"/>
      <c r="AK17" s="134" t="n">
        <f aca="false">N17+O17+P17+Q17+R17+S17+T17+U17+X17+AE17+AH17</f>
        <v>77.8</v>
      </c>
      <c r="AL17" s="135" t="n">
        <f aca="false">IF(L17&lt;0,L17*-1,0)</f>
        <v>17.7619485757499</v>
      </c>
      <c r="AM17" s="135" t="n">
        <f aca="false">AK17+AL17</f>
        <v>95.5619485757499</v>
      </c>
      <c r="AN17" s="220" t="n">
        <f aca="false">V17</f>
        <v>44</v>
      </c>
      <c r="AO17" s="136" t="n">
        <v>0</v>
      </c>
      <c r="AP17" s="221"/>
      <c r="AV17" s="222" t="n">
        <v>0.04</v>
      </c>
      <c r="AW17" s="215" t="n">
        <v>33</v>
      </c>
      <c r="AX17" s="215" t="n">
        <v>21</v>
      </c>
      <c r="AY17" s="223"/>
      <c r="AZ17" s="250" t="n">
        <f aca="false">SUM(N17,P17:U17)</f>
        <v>2.8</v>
      </c>
    </row>
    <row r="18" customFormat="false" ht="12.95" hidden="false" customHeight="true" outlineLevel="0" collapsed="false">
      <c r="A18" s="183" t="n">
        <f aca="false">A17+1</f>
        <v>4</v>
      </c>
      <c r="B18" s="106" t="n">
        <v>6902.1</v>
      </c>
      <c r="C18" s="107" t="n">
        <v>291391</v>
      </c>
      <c r="D18" s="215" t="n">
        <f aca="false">C18-C17</f>
        <v>-75</v>
      </c>
      <c r="E18" s="107" t="n">
        <f aca="false">C18-152000</f>
        <v>139391</v>
      </c>
      <c r="F18" s="246" t="n">
        <f aca="false">D18/$D$2</f>
        <v>-37.8119485757499</v>
      </c>
      <c r="G18" s="135" t="n">
        <v>57</v>
      </c>
      <c r="H18" s="247" t="n">
        <v>0.72</v>
      </c>
      <c r="I18" s="135" t="n">
        <f aca="false">G18+H18</f>
        <v>57.72</v>
      </c>
      <c r="J18" s="136" t="n">
        <f aca="false">IF(L18&gt;0,L18,0)</f>
        <v>0</v>
      </c>
      <c r="K18" s="135" t="n">
        <f aca="false">I18+J18</f>
        <v>57.72</v>
      </c>
      <c r="L18" s="135" t="n">
        <f aca="false">F18-(I18-AK18)</f>
        <v>-16.3319485757499</v>
      </c>
      <c r="M18" s="248" t="n">
        <v>3.2</v>
      </c>
      <c r="N18" s="135" t="n">
        <v>0</v>
      </c>
      <c r="O18" s="135" t="n">
        <v>0</v>
      </c>
      <c r="P18" s="158" t="n">
        <v>0</v>
      </c>
      <c r="Q18" s="131" t="n">
        <f aca="false">1102900/325851/1.9835*1.02</f>
        <v>1.74054415651647</v>
      </c>
      <c r="R18" s="131" t="n">
        <f aca="false">((1.8)*1.04)-T18</f>
        <v>1.27648352</v>
      </c>
      <c r="S18" s="131" t="n">
        <v>0</v>
      </c>
      <c r="T18" s="131" t="n">
        <f aca="false">(0.5402*1.06)*1.04</f>
        <v>0.59551648</v>
      </c>
      <c r="U18" s="96" t="n">
        <f aca="false">M18-(Q18+R18+S18+T18)</f>
        <v>-0.412544156516465</v>
      </c>
      <c r="V18" s="135" t="n">
        <v>45</v>
      </c>
      <c r="W18" s="135" t="n">
        <v>0</v>
      </c>
      <c r="X18" s="135" t="n">
        <f aca="false">M18-N18-P18-O18-Q18-R18-S18-T18-U18+V18+W18</f>
        <v>45</v>
      </c>
      <c r="Y18" s="135" t="n">
        <f aca="false">X18-AO18</f>
        <v>45</v>
      </c>
      <c r="Z18" s="136"/>
      <c r="AA18" s="135"/>
      <c r="AB18" s="136"/>
      <c r="AC18" s="136" t="n">
        <v>11.2</v>
      </c>
      <c r="AD18" s="107"/>
      <c r="AE18" s="135" t="n">
        <v>0</v>
      </c>
      <c r="AF18" s="248"/>
      <c r="AG18" s="249"/>
      <c r="AH18" s="135" t="n">
        <v>31</v>
      </c>
      <c r="AI18" s="107" t="n">
        <f aca="false">AI17-AH18</f>
        <v>4337</v>
      </c>
      <c r="AJ18" s="107"/>
      <c r="AK18" s="134" t="n">
        <f aca="false">N18+O18+P18+Q18+R18+S18+T18+U18+X18+AE18+AH18</f>
        <v>79.2</v>
      </c>
      <c r="AL18" s="135" t="n">
        <f aca="false">IF(L18&lt;0,L18*-1,0)</f>
        <v>16.3319485757499</v>
      </c>
      <c r="AM18" s="135" t="n">
        <f aca="false">AK18+AL18</f>
        <v>95.5319485757499</v>
      </c>
      <c r="AN18" s="220" t="n">
        <f aca="false">V18</f>
        <v>45</v>
      </c>
      <c r="AO18" s="136" t="n">
        <v>0</v>
      </c>
      <c r="AP18" s="221"/>
      <c r="AV18" s="222" t="n">
        <v>0.05</v>
      </c>
      <c r="AW18" s="215" t="n">
        <v>29</v>
      </c>
      <c r="AX18" s="215" t="n">
        <v>24</v>
      </c>
      <c r="AY18" s="223"/>
      <c r="AZ18" s="250" t="n">
        <f aca="false">SUM(N18,P18:U18)</f>
        <v>3.2</v>
      </c>
    </row>
    <row r="19" customFormat="false" ht="12.95" hidden="false" customHeight="true" outlineLevel="0" collapsed="false">
      <c r="A19" s="183" t="n">
        <f aca="false">A18+1</f>
        <v>5</v>
      </c>
      <c r="B19" s="106" t="n">
        <v>6902.08</v>
      </c>
      <c r="C19" s="107" t="n">
        <v>291315</v>
      </c>
      <c r="D19" s="215" t="n">
        <f aca="false">C19-C18</f>
        <v>-76</v>
      </c>
      <c r="E19" s="107" t="n">
        <f aca="false">C19-152000</f>
        <v>139315</v>
      </c>
      <c r="F19" s="246" t="n">
        <f aca="false">D19/$D$2</f>
        <v>-38.3161078900933</v>
      </c>
      <c r="G19" s="135" t="n">
        <v>48</v>
      </c>
      <c r="H19" s="247" t="n">
        <v>0.69</v>
      </c>
      <c r="I19" s="135" t="n">
        <f aca="false">G19+H19</f>
        <v>48.69</v>
      </c>
      <c r="J19" s="136" t="n">
        <f aca="false">IF(L19&gt;0,L19,0)</f>
        <v>0</v>
      </c>
      <c r="K19" s="135" t="n">
        <f aca="false">I19+J19</f>
        <v>48.69</v>
      </c>
      <c r="L19" s="135" t="n">
        <f aca="false">F19-(I19-AK19)</f>
        <v>-8.40610789009327</v>
      </c>
      <c r="M19" s="248" t="n">
        <v>3.6</v>
      </c>
      <c r="N19" s="135" t="n">
        <v>0</v>
      </c>
      <c r="O19" s="135" t="n">
        <v>0</v>
      </c>
      <c r="P19" s="158" t="n">
        <v>0</v>
      </c>
      <c r="Q19" s="131" t="n">
        <f aca="false">869600/325851/1.9835*1.02</f>
        <v>1.37236122813194</v>
      </c>
      <c r="R19" s="131" t="n">
        <f aca="false">((1.8)*1.04)-T19</f>
        <v>1.27648352</v>
      </c>
      <c r="S19" s="131" t="n">
        <v>0</v>
      </c>
      <c r="T19" s="131" t="n">
        <f aca="false">(0.5402*1.06)*1.04</f>
        <v>0.59551648</v>
      </c>
      <c r="U19" s="96" t="n">
        <f aca="false">M19-(Q19+R19+S19+T19)</f>
        <v>0.355638771868058</v>
      </c>
      <c r="V19" s="135" t="n">
        <v>45</v>
      </c>
      <c r="W19" s="135" t="n">
        <v>0</v>
      </c>
      <c r="X19" s="135" t="n">
        <f aca="false">M19-N19-P19-O19-Q19-R19-S19-T19-U19+V19+W19</f>
        <v>45</v>
      </c>
      <c r="Y19" s="135" t="n">
        <f aca="false">X19-AO19</f>
        <v>45</v>
      </c>
      <c r="Z19" s="136"/>
      <c r="AA19" s="135"/>
      <c r="AB19" s="136"/>
      <c r="AC19" s="136" t="n">
        <v>5.3</v>
      </c>
      <c r="AD19" s="107"/>
      <c r="AE19" s="135" t="n">
        <v>0</v>
      </c>
      <c r="AF19" s="248"/>
      <c r="AG19" s="249"/>
      <c r="AH19" s="135" t="n">
        <v>30</v>
      </c>
      <c r="AI19" s="107" t="n">
        <f aca="false">AI18-AH19</f>
        <v>4307</v>
      </c>
      <c r="AJ19" s="107"/>
      <c r="AK19" s="134" t="n">
        <f aca="false">N19+O19+P19+Q19+R19+S19+T19+U19+X19+AE19+AH19</f>
        <v>78.6</v>
      </c>
      <c r="AL19" s="135" t="n">
        <f aca="false">IF(L19&lt;0,L19*-1,0)</f>
        <v>8.40610789009327</v>
      </c>
      <c r="AM19" s="135" t="n">
        <f aca="false">AK19+AL19</f>
        <v>87.0061078900933</v>
      </c>
      <c r="AN19" s="220" t="n">
        <f aca="false">V19</f>
        <v>45</v>
      </c>
      <c r="AO19" s="136" t="n">
        <v>0</v>
      </c>
      <c r="AP19" s="221"/>
      <c r="AV19" s="222" t="n">
        <v>0.01</v>
      </c>
      <c r="AW19" s="215" t="n">
        <v>25</v>
      </c>
      <c r="AX19" s="215" t="n">
        <v>6</v>
      </c>
      <c r="AY19" s="223"/>
      <c r="AZ19" s="250" t="n">
        <f aca="false">SUM(N19,P19:U19)</f>
        <v>3.6</v>
      </c>
    </row>
    <row r="20" customFormat="false" ht="12.95" hidden="false" customHeight="true" outlineLevel="0" collapsed="false">
      <c r="A20" s="183" t="n">
        <f aca="false">A19+1</f>
        <v>6</v>
      </c>
      <c r="B20" s="106" t="n">
        <v>6902.06</v>
      </c>
      <c r="C20" s="107" t="n">
        <v>291240</v>
      </c>
      <c r="D20" s="215" t="n">
        <f aca="false">C20-C19</f>
        <v>-75</v>
      </c>
      <c r="E20" s="107" t="n">
        <f aca="false">C20-152000</f>
        <v>139240</v>
      </c>
      <c r="F20" s="246" t="n">
        <f aca="false">D20/$D$2</f>
        <v>-37.8119485757499</v>
      </c>
      <c r="G20" s="135" t="n">
        <v>24</v>
      </c>
      <c r="H20" s="247" t="n">
        <v>0.61</v>
      </c>
      <c r="I20" s="135" t="n">
        <f aca="false">G20+H20</f>
        <v>24.61</v>
      </c>
      <c r="J20" s="136" t="n">
        <f aca="false">IF(L20&gt;0,L20,0)</f>
        <v>12.1780514242501</v>
      </c>
      <c r="K20" s="135" t="n">
        <f aca="false">I20+J20</f>
        <v>36.7880514242501</v>
      </c>
      <c r="L20" s="135" t="n">
        <f aca="false">F20-(I20-AK20)</f>
        <v>12.1780514242501</v>
      </c>
      <c r="M20" s="248" t="n">
        <v>3.6</v>
      </c>
      <c r="N20" s="135" t="n">
        <v>0</v>
      </c>
      <c r="O20" s="135" t="n">
        <v>0</v>
      </c>
      <c r="P20" s="158" t="n">
        <v>0</v>
      </c>
      <c r="Q20" s="131" t="n">
        <f aca="false">839200/325851/1.9835*1.02</f>
        <v>1.32438539862963</v>
      </c>
      <c r="R20" s="131" t="n">
        <f aca="false">((1.9)*1.04)-T20</f>
        <v>1.38048352</v>
      </c>
      <c r="S20" s="131" t="n">
        <v>0</v>
      </c>
      <c r="T20" s="131" t="n">
        <f aca="false">(0.5402*1.06)*1.04</f>
        <v>0.59551648</v>
      </c>
      <c r="U20" s="96" t="n">
        <f aca="false">M20-(Q20+R20+S20+T20)</f>
        <v>0.299614601370371</v>
      </c>
      <c r="V20" s="135" t="n">
        <v>41</v>
      </c>
      <c r="W20" s="135" t="n">
        <v>0</v>
      </c>
      <c r="X20" s="135" t="n">
        <f aca="false">M20-N20-P20-O20-Q20-R20-S20-T20-U20+V20+W20</f>
        <v>41</v>
      </c>
      <c r="Y20" s="135" t="n">
        <f aca="false">X20-AO20</f>
        <v>41</v>
      </c>
      <c r="Z20" s="136"/>
      <c r="AA20" s="135"/>
      <c r="AB20" s="136"/>
      <c r="AC20" s="136" t="n">
        <v>0</v>
      </c>
      <c r="AD20" s="107"/>
      <c r="AE20" s="135" t="n">
        <v>0</v>
      </c>
      <c r="AF20" s="248"/>
      <c r="AG20" s="249"/>
      <c r="AH20" s="135" t="n">
        <v>30</v>
      </c>
      <c r="AI20" s="107" t="n">
        <f aca="false">AI19-AH20</f>
        <v>4277</v>
      </c>
      <c r="AJ20" s="107"/>
      <c r="AK20" s="134" t="n">
        <f aca="false">N20+O20+P20+Q20+R20+S20+T20+U20+X20+AE20+AH20</f>
        <v>74.6</v>
      </c>
      <c r="AL20" s="135" t="n">
        <f aca="false">IF(L20&lt;0,L20*-1,0)</f>
        <v>0</v>
      </c>
      <c r="AM20" s="135" t="n">
        <f aca="false">AK20+AL20</f>
        <v>74.6</v>
      </c>
      <c r="AN20" s="220" t="n">
        <f aca="false">V20</f>
        <v>41</v>
      </c>
      <c r="AO20" s="136" t="n">
        <v>0</v>
      </c>
      <c r="AP20" s="221"/>
      <c r="AV20" s="222" t="n">
        <v>0</v>
      </c>
      <c r="AW20" s="215" t="n">
        <v>31</v>
      </c>
      <c r="AX20" s="215" t="n">
        <v>-3</v>
      </c>
      <c r="AY20" s="223"/>
      <c r="AZ20" s="250" t="n">
        <f aca="false">SUM(N20,P20:U20)</f>
        <v>3.6</v>
      </c>
    </row>
    <row r="21" customFormat="false" ht="12.95" hidden="false" customHeight="true" outlineLevel="0" collapsed="false">
      <c r="A21" s="183" t="n">
        <f aca="false">A20+1</f>
        <v>7</v>
      </c>
      <c r="B21" s="106" t="n">
        <v>6902.04</v>
      </c>
      <c r="C21" s="107" t="n">
        <v>291165</v>
      </c>
      <c r="D21" s="215" t="n">
        <f aca="false">C21-C20</f>
        <v>-75</v>
      </c>
      <c r="E21" s="107" t="n">
        <f aca="false">C21-152000</f>
        <v>139165</v>
      </c>
      <c r="F21" s="246" t="n">
        <f aca="false">D21/$D$2</f>
        <v>-37.8119485757499</v>
      </c>
      <c r="G21" s="135" t="n">
        <v>45</v>
      </c>
      <c r="H21" s="247" t="n">
        <v>0.63</v>
      </c>
      <c r="I21" s="135" t="n">
        <f aca="false">G21+H21</f>
        <v>45.63</v>
      </c>
      <c r="J21" s="136" t="n">
        <f aca="false">IF(L21&gt;0,L21,0)</f>
        <v>0</v>
      </c>
      <c r="K21" s="135" t="n">
        <f aca="false">I21+J21</f>
        <v>45.63</v>
      </c>
      <c r="L21" s="135" t="n">
        <f aca="false">F21-(I21-AK21)</f>
        <v>-11.0419485757499</v>
      </c>
      <c r="M21" s="248" t="n">
        <v>3.4</v>
      </c>
      <c r="N21" s="135" t="n">
        <v>0</v>
      </c>
      <c r="O21" s="135" t="n">
        <v>0</v>
      </c>
      <c r="P21" s="158" t="n">
        <v>0</v>
      </c>
      <c r="Q21" s="131" t="n">
        <f aca="false">1104500/325851/1.9835*1.02</f>
        <v>1.74306920017448</v>
      </c>
      <c r="R21" s="131" t="n">
        <f aca="false">((1.9)*1.04)-T21</f>
        <v>1.38048352</v>
      </c>
      <c r="S21" s="131" t="n">
        <v>0</v>
      </c>
      <c r="T21" s="131" t="n">
        <f aca="false">(0.5402*1.06)*1.04</f>
        <v>0.59551648</v>
      </c>
      <c r="U21" s="96" t="n">
        <f aca="false">M21-(Q21+R21+S21+T21)</f>
        <v>-0.319069200174481</v>
      </c>
      <c r="V21" s="135" t="n">
        <v>39</v>
      </c>
      <c r="W21" s="135" t="n">
        <v>0</v>
      </c>
      <c r="X21" s="135" t="n">
        <f aca="false">M21-N21-P21-O21-Q21-R21-S21-T21-U21+V21+W21</f>
        <v>39</v>
      </c>
      <c r="Y21" s="135" t="n">
        <f aca="false">X21-AO21</f>
        <v>39</v>
      </c>
      <c r="Z21" s="136"/>
      <c r="AA21" s="135"/>
      <c r="AB21" s="136"/>
      <c r="AC21" s="136" t="n">
        <v>0</v>
      </c>
      <c r="AD21" s="107"/>
      <c r="AE21" s="135" t="n">
        <v>0</v>
      </c>
      <c r="AF21" s="248"/>
      <c r="AG21" s="249"/>
      <c r="AH21" s="135" t="n">
        <v>30</v>
      </c>
      <c r="AI21" s="107" t="n">
        <f aca="false">AI20-AH21</f>
        <v>4247</v>
      </c>
      <c r="AJ21" s="107"/>
      <c r="AK21" s="134" t="n">
        <f aca="false">N21+O21+P21+Q21+R21+S21+T21+U21+X21+AE21+AH21</f>
        <v>72.4</v>
      </c>
      <c r="AL21" s="135" t="n">
        <f aca="false">IF(L21&lt;0,L21*-1,0)</f>
        <v>11.0419485757499</v>
      </c>
      <c r="AM21" s="135" t="n">
        <f aca="false">AK21+AL21</f>
        <v>83.4419485757499</v>
      </c>
      <c r="AN21" s="220" t="n">
        <f aca="false">V21</f>
        <v>39</v>
      </c>
      <c r="AO21" s="136" t="n">
        <v>0</v>
      </c>
      <c r="AP21" s="221"/>
      <c r="AV21" s="222" t="n">
        <v>0</v>
      </c>
      <c r="AW21" s="215" t="n">
        <v>36</v>
      </c>
      <c r="AX21" s="215" t="n">
        <v>5</v>
      </c>
      <c r="AY21" s="223"/>
      <c r="AZ21" s="250" t="n">
        <f aca="false">SUM(N21,P21:U21)</f>
        <v>3.4</v>
      </c>
    </row>
    <row r="22" customFormat="false" ht="12.95" hidden="false" customHeight="true" outlineLevel="0" collapsed="false">
      <c r="A22" s="183" t="n">
        <f aca="false">A21+1</f>
        <v>8</v>
      </c>
      <c r="B22" s="106" t="n">
        <v>6902.02</v>
      </c>
      <c r="C22" s="107" t="n">
        <v>291090</v>
      </c>
      <c r="D22" s="215" t="n">
        <f aca="false">C22-C21</f>
        <v>-75</v>
      </c>
      <c r="E22" s="107" t="n">
        <f aca="false">C22-152000</f>
        <v>139090</v>
      </c>
      <c r="F22" s="246" t="n">
        <f aca="false">D22/$D$2</f>
        <v>-37.8119485757499</v>
      </c>
      <c r="G22" s="135" t="n">
        <v>45</v>
      </c>
      <c r="H22" s="247" t="n">
        <v>0.61</v>
      </c>
      <c r="I22" s="135" t="n">
        <f aca="false">G22+H22</f>
        <v>45.61</v>
      </c>
      <c r="J22" s="136" t="n">
        <f aca="false">IF(L22&gt;0,L22,0)</f>
        <v>0</v>
      </c>
      <c r="K22" s="135" t="n">
        <f aca="false">I22+J22</f>
        <v>45.61</v>
      </c>
      <c r="L22" s="135" t="n">
        <f aca="false">F22-(I22-AK22)</f>
        <v>-11.5219485757499</v>
      </c>
      <c r="M22" s="248" t="n">
        <v>2.9</v>
      </c>
      <c r="N22" s="135" t="n">
        <v>0</v>
      </c>
      <c r="O22" s="135" t="n">
        <v>0</v>
      </c>
      <c r="P22" s="158" t="n">
        <v>0</v>
      </c>
      <c r="Q22" s="131" t="n">
        <f aca="false">837400/325851/1.9835*1.02</f>
        <v>1.32154472451436</v>
      </c>
      <c r="R22" s="131" t="n">
        <f aca="false">((1.9)*1.04)-T22</f>
        <v>1.38048352</v>
      </c>
      <c r="S22" s="131" t="n">
        <v>0</v>
      </c>
      <c r="T22" s="131" t="n">
        <f aca="false">(0.5402*1.06)*1.04</f>
        <v>0.59551648</v>
      </c>
      <c r="U22" s="96" t="n">
        <f aca="false">M22-(Q22+R22+S22+T22)</f>
        <v>-0.39754472451436</v>
      </c>
      <c r="V22" s="135" t="n">
        <v>39</v>
      </c>
      <c r="W22" s="135" t="n">
        <v>0</v>
      </c>
      <c r="X22" s="135" t="n">
        <f aca="false">M22-N22-P22-O22-Q22-R22-S22-T22-U22+V22+W22</f>
        <v>39</v>
      </c>
      <c r="Y22" s="135" t="n">
        <f aca="false">X22-AO22</f>
        <v>39</v>
      </c>
      <c r="Z22" s="136"/>
      <c r="AA22" s="135"/>
      <c r="AB22" s="136"/>
      <c r="AC22" s="136" t="n">
        <v>0</v>
      </c>
      <c r="AD22" s="107"/>
      <c r="AE22" s="135" t="n">
        <v>0</v>
      </c>
      <c r="AF22" s="248"/>
      <c r="AG22" s="249"/>
      <c r="AH22" s="135" t="n">
        <v>30</v>
      </c>
      <c r="AI22" s="107" t="n">
        <f aca="false">AI21-AH22</f>
        <v>4217</v>
      </c>
      <c r="AJ22" s="107"/>
      <c r="AK22" s="134" t="n">
        <f aca="false">N22+O22+P22+Q22+R22+S22+T22+U22+X22+AE22+AH22</f>
        <v>71.9</v>
      </c>
      <c r="AL22" s="135" t="n">
        <f aca="false">IF(L22&lt;0,L22*-1,0)</f>
        <v>11.5219485757499</v>
      </c>
      <c r="AM22" s="135" t="n">
        <f aca="false">AK22+AL22</f>
        <v>83.4219485757499</v>
      </c>
      <c r="AN22" s="220" t="n">
        <f aca="false">V22</f>
        <v>39</v>
      </c>
      <c r="AO22" s="136" t="n">
        <v>0</v>
      </c>
      <c r="AP22" s="221"/>
      <c r="AV22" s="222" t="n">
        <v>0</v>
      </c>
      <c r="AW22" s="107" t="n">
        <v>38</v>
      </c>
      <c r="AX22" s="215" t="n">
        <v>10</v>
      </c>
      <c r="AY22" s="223"/>
      <c r="AZ22" s="250" t="n">
        <f aca="false">SUM(N22,P22:U22)</f>
        <v>2.9</v>
      </c>
    </row>
    <row r="23" customFormat="false" ht="12.95" hidden="false" customHeight="true" outlineLevel="0" collapsed="false">
      <c r="A23" s="183" t="n">
        <f aca="false">A22+1</f>
        <v>9</v>
      </c>
      <c r="B23" s="106" t="n">
        <v>6902</v>
      </c>
      <c r="C23" s="107" t="n">
        <v>291014</v>
      </c>
      <c r="D23" s="215" t="n">
        <f aca="false">C23-C22</f>
        <v>-76</v>
      </c>
      <c r="E23" s="107" t="n">
        <f aca="false">C23-152000</f>
        <v>139014</v>
      </c>
      <c r="F23" s="246" t="n">
        <f aca="false">D23/$D$2</f>
        <v>-38.3161078900933</v>
      </c>
      <c r="G23" s="135" t="n">
        <v>48</v>
      </c>
      <c r="H23" s="247" t="n">
        <v>0.54</v>
      </c>
      <c r="I23" s="135" t="n">
        <f aca="false">G23+H23</f>
        <v>48.54</v>
      </c>
      <c r="J23" s="136" t="n">
        <f aca="false">IF(L23&gt;0,L23,0)</f>
        <v>0</v>
      </c>
      <c r="K23" s="135" t="n">
        <f aca="false">I23+J23</f>
        <v>48.54</v>
      </c>
      <c r="L23" s="135" t="n">
        <f aca="false">F23-(I23-AK23)</f>
        <v>-13.8561078900933</v>
      </c>
      <c r="M23" s="248" t="n">
        <v>4</v>
      </c>
      <c r="N23" s="135" t="n">
        <v>0</v>
      </c>
      <c r="O23" s="135" t="n">
        <v>0</v>
      </c>
      <c r="P23" s="158" t="n">
        <v>0</v>
      </c>
      <c r="Q23" s="131" t="n">
        <f aca="false">962500/325851/1.9835*1.02</f>
        <v>1.51897157552552</v>
      </c>
      <c r="R23" s="131" t="n">
        <f aca="false">((2)*1.04)-T23</f>
        <v>1.38019648</v>
      </c>
      <c r="S23" s="131" t="n">
        <v>0</v>
      </c>
      <c r="T23" s="131" t="n">
        <f aca="false">(0.6348*1.06)*1.04</f>
        <v>0.69980352</v>
      </c>
      <c r="U23" s="96" t="n">
        <f aca="false">M23-(Q23+R23+S23+T23)</f>
        <v>0.401028424474478</v>
      </c>
      <c r="V23" s="135" t="n">
        <v>39</v>
      </c>
      <c r="W23" s="135" t="n">
        <v>0</v>
      </c>
      <c r="X23" s="135" t="n">
        <f aca="false">M23-N23-P23-O23-Q23-R23-S23-T23-U23+V23+W23</f>
        <v>39</v>
      </c>
      <c r="Y23" s="135" t="n">
        <f aca="false">X23-AO23</f>
        <v>39</v>
      </c>
      <c r="Z23" s="136"/>
      <c r="AA23" s="135"/>
      <c r="AB23" s="136"/>
      <c r="AC23" s="136" t="n">
        <v>0</v>
      </c>
      <c r="AD23" s="107"/>
      <c r="AE23" s="135" t="n">
        <v>0</v>
      </c>
      <c r="AF23" s="248"/>
      <c r="AG23" s="249"/>
      <c r="AH23" s="135" t="n">
        <v>30</v>
      </c>
      <c r="AI23" s="107" t="n">
        <f aca="false">AI22-AH23</f>
        <v>4187</v>
      </c>
      <c r="AJ23" s="107"/>
      <c r="AK23" s="134" t="n">
        <f aca="false">N23+O23+P23+Q23+R23+S23+T23+U23+X23+AE23+AH23</f>
        <v>73</v>
      </c>
      <c r="AL23" s="135" t="n">
        <f aca="false">IF(L23&lt;0,L23*-1,0)</f>
        <v>13.8561078900933</v>
      </c>
      <c r="AM23" s="135" t="n">
        <f aca="false">AK23+AL23</f>
        <v>86.8561078900933</v>
      </c>
      <c r="AN23" s="220" t="n">
        <f aca="false">V23</f>
        <v>39</v>
      </c>
      <c r="AO23" s="136" t="n">
        <v>0</v>
      </c>
      <c r="AP23" s="221"/>
      <c r="AV23" s="222" t="n">
        <v>0</v>
      </c>
      <c r="AW23" s="107" t="n">
        <v>39</v>
      </c>
      <c r="AX23" s="215" t="n">
        <v>9</v>
      </c>
      <c r="AY23" s="223"/>
      <c r="AZ23" s="250" t="n">
        <f aca="false">SUM(N23,P23:U23)</f>
        <v>4</v>
      </c>
    </row>
    <row r="24" customFormat="false" ht="12.95" hidden="false" customHeight="true" outlineLevel="0" collapsed="false">
      <c r="A24" s="183" t="n">
        <f aca="false">A23+1</f>
        <v>10</v>
      </c>
      <c r="B24" s="106" t="n">
        <v>6901.98</v>
      </c>
      <c r="C24" s="107" t="n">
        <v>290940</v>
      </c>
      <c r="D24" s="215" t="n">
        <f aca="false">C24-C23</f>
        <v>-74</v>
      </c>
      <c r="E24" s="107" t="n">
        <f aca="false">C24-152000</f>
        <v>138940</v>
      </c>
      <c r="F24" s="246" t="n">
        <f aca="false">D24/$D$2</f>
        <v>-37.3077892614066</v>
      </c>
      <c r="G24" s="135" t="n">
        <v>44</v>
      </c>
      <c r="H24" s="247" t="n">
        <v>0.5</v>
      </c>
      <c r="I24" s="135" t="n">
        <f aca="false">G24+H24</f>
        <v>44.5</v>
      </c>
      <c r="J24" s="136" t="n">
        <f aca="false">IF(L24&gt;0,L24,0)</f>
        <v>0</v>
      </c>
      <c r="K24" s="135" t="n">
        <f aca="false">I24+J24</f>
        <v>44.5</v>
      </c>
      <c r="L24" s="135" t="n">
        <f aca="false">F24-(I24-AK24)</f>
        <v>-8.70778926140661</v>
      </c>
      <c r="M24" s="248" t="n">
        <v>4.1</v>
      </c>
      <c r="N24" s="135" t="n">
        <v>0</v>
      </c>
      <c r="O24" s="135" t="n">
        <v>0</v>
      </c>
      <c r="P24" s="158" t="n">
        <v>0</v>
      </c>
      <c r="Q24" s="131" t="n">
        <f aca="false">945300/325851/1.9835*1.02</f>
        <v>1.49182735620184</v>
      </c>
      <c r="R24" s="131" t="n">
        <f aca="false">((2)*1.04)-T24</f>
        <v>1.38019648</v>
      </c>
      <c r="S24" s="131" t="n">
        <v>0</v>
      </c>
      <c r="T24" s="131" t="n">
        <f aca="false">(0.6348*1.06)*1.04</f>
        <v>0.69980352</v>
      </c>
      <c r="U24" s="96" t="n">
        <f aca="false">M24-(Q24+R24+S24+T24)</f>
        <v>0.528172643798155</v>
      </c>
      <c r="V24" s="135" t="n">
        <v>39</v>
      </c>
      <c r="W24" s="135" t="n">
        <v>0</v>
      </c>
      <c r="X24" s="135" t="n">
        <f aca="false">M24-N24-P24-O24-Q24-R24-S24-T24-U24+V24+W24</f>
        <v>39</v>
      </c>
      <c r="Y24" s="135" t="n">
        <f aca="false">X24-AO24</f>
        <v>39</v>
      </c>
      <c r="Z24" s="136"/>
      <c r="AA24" s="135"/>
      <c r="AB24" s="136"/>
      <c r="AC24" s="136" t="n">
        <v>0</v>
      </c>
      <c r="AD24" s="107"/>
      <c r="AE24" s="135" t="n">
        <v>0</v>
      </c>
      <c r="AF24" s="248"/>
      <c r="AG24" s="249"/>
      <c r="AH24" s="135" t="n">
        <v>30</v>
      </c>
      <c r="AI24" s="107" t="n">
        <f aca="false">AI23-AH24</f>
        <v>4157</v>
      </c>
      <c r="AJ24" s="107"/>
      <c r="AK24" s="134" t="n">
        <f aca="false">N24+O24+P24+Q24+R24+S24+T24+U24+X24+AE24+AH24</f>
        <v>73.1</v>
      </c>
      <c r="AL24" s="135" t="n">
        <f aca="false">IF(L24&lt;0,L24*-1,0)</f>
        <v>8.70778926140661</v>
      </c>
      <c r="AM24" s="135" t="n">
        <f aca="false">AK24+AL24</f>
        <v>81.8077892614066</v>
      </c>
      <c r="AN24" s="220" t="n">
        <f aca="false">V24</f>
        <v>39</v>
      </c>
      <c r="AO24" s="136" t="n">
        <v>0</v>
      </c>
      <c r="AP24" s="221"/>
      <c r="AV24" s="222" t="n">
        <v>0</v>
      </c>
      <c r="AW24" s="107" t="n">
        <v>44</v>
      </c>
      <c r="AX24" s="215" t="n">
        <v>14</v>
      </c>
      <c r="AY24" s="223"/>
      <c r="AZ24" s="250" t="n">
        <f aca="false">SUM(N24,P24:U24)</f>
        <v>4.1</v>
      </c>
    </row>
    <row r="25" customFormat="false" ht="12.95" hidden="false" customHeight="true" outlineLevel="0" collapsed="false">
      <c r="A25" s="183" t="n">
        <f aca="false">A24+1</f>
        <v>11</v>
      </c>
      <c r="B25" s="106" t="n">
        <v>6901.96</v>
      </c>
      <c r="C25" s="107" t="n">
        <v>290865</v>
      </c>
      <c r="D25" s="215" t="n">
        <f aca="false">C25-C24</f>
        <v>-75</v>
      </c>
      <c r="E25" s="107" t="n">
        <f aca="false">C25-152000</f>
        <v>138865</v>
      </c>
      <c r="F25" s="246" t="n">
        <f aca="false">D25/$D$2</f>
        <v>-37.8119485757499</v>
      </c>
      <c r="G25" s="135" t="n">
        <v>40</v>
      </c>
      <c r="H25" s="247" t="n">
        <v>0.52</v>
      </c>
      <c r="I25" s="135" t="n">
        <f aca="false">G25+H25</f>
        <v>40.52</v>
      </c>
      <c r="J25" s="136" t="n">
        <f aca="false">IF(L25&gt;0,L25,0)</f>
        <v>0</v>
      </c>
      <c r="K25" s="135" t="n">
        <f aca="false">I25+J25</f>
        <v>40.52</v>
      </c>
      <c r="L25" s="135" t="n">
        <f aca="false">F25-(I25-AK25)</f>
        <v>-6.33194857574994</v>
      </c>
      <c r="M25" s="248" t="n">
        <v>3</v>
      </c>
      <c r="N25" s="135" t="n">
        <v>0</v>
      </c>
      <c r="O25" s="135" t="n">
        <v>0</v>
      </c>
      <c r="P25" s="158" t="n">
        <v>0</v>
      </c>
      <c r="Q25" s="131" t="n">
        <f aca="false">1061500/325851/1.9835*1.02</f>
        <v>1.67520865186529</v>
      </c>
      <c r="R25" s="131" t="n">
        <f aca="false">((2)*1.04)-T25</f>
        <v>1.38019648</v>
      </c>
      <c r="S25" s="131" t="n">
        <v>0</v>
      </c>
      <c r="T25" s="131" t="n">
        <f aca="false">(0.6348*1.06)*1.04</f>
        <v>0.69980352</v>
      </c>
      <c r="U25" s="96" t="n">
        <f aca="false">M25-(Q25+R25+S25+T25)</f>
        <v>-0.755208651865289</v>
      </c>
      <c r="V25" s="135" t="n">
        <v>39</v>
      </c>
      <c r="W25" s="135" t="n">
        <v>0</v>
      </c>
      <c r="X25" s="135" t="n">
        <f aca="false">M25-N25-P25-O25-Q25-R25-S25-T25-U25+V25+W25</f>
        <v>39</v>
      </c>
      <c r="Y25" s="135" t="n">
        <f aca="false">X25-AO25</f>
        <v>39</v>
      </c>
      <c r="Z25" s="136"/>
      <c r="AA25" s="135"/>
      <c r="AB25" s="136"/>
      <c r="AC25" s="136" t="n">
        <v>0</v>
      </c>
      <c r="AD25" s="107"/>
      <c r="AE25" s="135" t="n">
        <v>0</v>
      </c>
      <c r="AF25" s="248"/>
      <c r="AG25" s="249"/>
      <c r="AH25" s="135" t="n">
        <v>30</v>
      </c>
      <c r="AI25" s="107" t="n">
        <f aca="false">AI24-AH25</f>
        <v>4127</v>
      </c>
      <c r="AJ25" s="107"/>
      <c r="AK25" s="134" t="n">
        <f aca="false">N25+O25+P25+Q25+R25+S25+T25+U25+X25+AE25+AH25</f>
        <v>72</v>
      </c>
      <c r="AL25" s="135" t="n">
        <f aca="false">IF(L25&lt;0,L25*-1,0)</f>
        <v>6.33194857574994</v>
      </c>
      <c r="AM25" s="135" t="n">
        <f aca="false">AK25+AL25</f>
        <v>78.33194857575</v>
      </c>
      <c r="AN25" s="220" t="n">
        <f aca="false">V25</f>
        <v>39</v>
      </c>
      <c r="AO25" s="136" t="n">
        <v>0</v>
      </c>
      <c r="AP25" s="221"/>
      <c r="AV25" s="222" t="n">
        <v>0</v>
      </c>
      <c r="AW25" s="107" t="n">
        <v>45</v>
      </c>
      <c r="AX25" s="215" t="n">
        <v>12</v>
      </c>
      <c r="AY25" s="223"/>
      <c r="AZ25" s="250" t="n">
        <f aca="false">SUM(N25,P25:U25)</f>
        <v>3</v>
      </c>
    </row>
    <row r="26" customFormat="false" ht="12.95" hidden="false" customHeight="true" outlineLevel="0" collapsed="false">
      <c r="A26" s="183" t="n">
        <f aca="false">A25+1</f>
        <v>12</v>
      </c>
      <c r="B26" s="106" t="n">
        <v>6901.94</v>
      </c>
      <c r="C26" s="107" t="n">
        <v>290790</v>
      </c>
      <c r="D26" s="215" t="n">
        <f aca="false">C26-C25</f>
        <v>-75</v>
      </c>
      <c r="E26" s="107" t="n">
        <f aca="false">C26-152000</f>
        <v>138790</v>
      </c>
      <c r="F26" s="246" t="n">
        <f aca="false">D26/$D$2</f>
        <v>-37.8119485757499</v>
      </c>
      <c r="G26" s="135" t="n">
        <v>41</v>
      </c>
      <c r="H26" s="247" t="n">
        <v>0.64</v>
      </c>
      <c r="I26" s="135" t="n">
        <f aca="false">G26+H26</f>
        <v>41.64</v>
      </c>
      <c r="J26" s="136" t="n">
        <f aca="false">IF(L26&gt;0,L26,0)</f>
        <v>0</v>
      </c>
      <c r="K26" s="135" t="n">
        <f aca="false">I26+J26</f>
        <v>41.64</v>
      </c>
      <c r="L26" s="135" t="n">
        <f aca="false">F26-(I26-AK26)</f>
        <v>-3.45194857574994</v>
      </c>
      <c r="M26" s="248" t="n">
        <v>4</v>
      </c>
      <c r="N26" s="135" t="n">
        <v>0</v>
      </c>
      <c r="O26" s="135" t="n">
        <v>0</v>
      </c>
      <c r="P26" s="158" t="n">
        <v>0</v>
      </c>
      <c r="Q26" s="131" t="n">
        <f aca="false">999100/325851/1.9835*1.02</f>
        <v>1.57673194920265</v>
      </c>
      <c r="R26" s="131" t="n">
        <f aca="false">((2)*1.04)-T26</f>
        <v>1.38019648</v>
      </c>
      <c r="S26" s="131" t="n">
        <v>0</v>
      </c>
      <c r="T26" s="131" t="n">
        <f aca="false">(0.6348*1.06)*1.04</f>
        <v>0.69980352</v>
      </c>
      <c r="U26" s="96" t="n">
        <f aca="false">M26-(Q26+R26+S26+T26)</f>
        <v>0.343268050797352</v>
      </c>
      <c r="V26" s="135" t="n">
        <v>42</v>
      </c>
      <c r="W26" s="135" t="n">
        <v>0</v>
      </c>
      <c r="X26" s="135" t="n">
        <f aca="false">M26-N26-P26-O26-Q26-R26-S26-T26-U26+V26+W26</f>
        <v>42</v>
      </c>
      <c r="Y26" s="135" t="n">
        <f aca="false">X26-AO26</f>
        <v>42</v>
      </c>
      <c r="Z26" s="136"/>
      <c r="AA26" s="135"/>
      <c r="AB26" s="136"/>
      <c r="AC26" s="136" t="n">
        <v>0</v>
      </c>
      <c r="AD26" s="107"/>
      <c r="AE26" s="135" t="n">
        <v>0</v>
      </c>
      <c r="AF26" s="248"/>
      <c r="AG26" s="249"/>
      <c r="AH26" s="135" t="n">
        <v>30</v>
      </c>
      <c r="AI26" s="107" t="n">
        <f aca="false">AI25-AH26</f>
        <v>4097</v>
      </c>
      <c r="AJ26" s="107"/>
      <c r="AK26" s="134" t="n">
        <f aca="false">N26+O26+P26+Q26+R26+S26+T26+U26+X26+AE26+AH26</f>
        <v>76</v>
      </c>
      <c r="AL26" s="135" t="n">
        <f aca="false">IF(L26&lt;0,L26*-1,0)</f>
        <v>3.45194857574994</v>
      </c>
      <c r="AM26" s="135" t="n">
        <f aca="false">AK26+AL26</f>
        <v>79.4519485757499</v>
      </c>
      <c r="AN26" s="220" t="n">
        <f aca="false">V26</f>
        <v>42</v>
      </c>
      <c r="AO26" s="136" t="n">
        <v>0</v>
      </c>
      <c r="AP26" s="221"/>
      <c r="AV26" s="222" t="n">
        <v>0.01</v>
      </c>
      <c r="AW26" s="107" t="n">
        <v>41</v>
      </c>
      <c r="AX26" s="215" t="n">
        <v>20</v>
      </c>
      <c r="AY26" s="223"/>
      <c r="AZ26" s="250" t="n">
        <f aca="false">SUM(N26,P26:U26)</f>
        <v>4</v>
      </c>
    </row>
    <row r="27" customFormat="false" ht="12.95" hidden="false" customHeight="true" outlineLevel="0" collapsed="false">
      <c r="A27" s="183" t="n">
        <f aca="false">A26+1</f>
        <v>13</v>
      </c>
      <c r="B27" s="106" t="n">
        <v>6901.92</v>
      </c>
      <c r="C27" s="107" t="n">
        <v>290716</v>
      </c>
      <c r="D27" s="215" t="n">
        <f aca="false">C27-C26</f>
        <v>-74</v>
      </c>
      <c r="E27" s="107" t="n">
        <f aca="false">C27-152000</f>
        <v>138716</v>
      </c>
      <c r="F27" s="246" t="n">
        <f aca="false">D27/$D$2</f>
        <v>-37.3077892614066</v>
      </c>
      <c r="G27" s="135" t="n">
        <v>46</v>
      </c>
      <c r="H27" s="247" t="n">
        <v>0.74</v>
      </c>
      <c r="I27" s="135" t="n">
        <f aca="false">G27+H27</f>
        <v>46.74</v>
      </c>
      <c r="J27" s="136" t="n">
        <f aca="false">IF(L27&gt;0,L27,0)</f>
        <v>0</v>
      </c>
      <c r="K27" s="135" t="n">
        <f aca="false">I27+J27</f>
        <v>46.74</v>
      </c>
      <c r="L27" s="135" t="n">
        <f aca="false">F27-(I27-AK27)</f>
        <v>-6.54778926140661</v>
      </c>
      <c r="M27" s="248" t="n">
        <v>4.5</v>
      </c>
      <c r="N27" s="135" t="n">
        <v>0</v>
      </c>
      <c r="O27" s="135" t="n">
        <v>0</v>
      </c>
      <c r="P27" s="158" t="n">
        <v>0</v>
      </c>
      <c r="Q27" s="131" t="n">
        <f aca="false">942600/325851/1.9835*1.02</f>
        <v>1.48756634502894</v>
      </c>
      <c r="R27" s="131" t="n">
        <f aca="false">((2.2)*1.04)-T27</f>
        <v>1.58819648</v>
      </c>
      <c r="S27" s="131" t="n">
        <v>0</v>
      </c>
      <c r="T27" s="131" t="n">
        <f aca="false">(0.6348*1.06)*1.04</f>
        <v>0.69980352</v>
      </c>
      <c r="U27" s="96" t="n">
        <f aca="false">M27-(Q27+R27+S27+T27)</f>
        <v>0.724433654971058</v>
      </c>
      <c r="V27" s="135" t="n">
        <v>43</v>
      </c>
      <c r="W27" s="135" t="n">
        <v>0</v>
      </c>
      <c r="X27" s="135" t="n">
        <f aca="false">M27-N27-P27-O27-Q27-R27-S27-T27-U27+V27+W27</f>
        <v>43</v>
      </c>
      <c r="Y27" s="135" t="n">
        <f aca="false">X27-AO27</f>
        <v>43</v>
      </c>
      <c r="Z27" s="136"/>
      <c r="AA27" s="135"/>
      <c r="AB27" s="136"/>
      <c r="AC27" s="136" t="n">
        <v>0</v>
      </c>
      <c r="AD27" s="107"/>
      <c r="AE27" s="135" t="n">
        <v>0</v>
      </c>
      <c r="AF27" s="248"/>
      <c r="AG27" s="249"/>
      <c r="AH27" s="135" t="n">
        <v>30</v>
      </c>
      <c r="AI27" s="107" t="n">
        <f aca="false">AI26-AH27</f>
        <v>4067</v>
      </c>
      <c r="AJ27" s="107"/>
      <c r="AK27" s="134" t="n">
        <f aca="false">N27+O27+P27+Q27+R27+S27+T27+U27+X27+AE27+AH27</f>
        <v>77.5</v>
      </c>
      <c r="AL27" s="135" t="n">
        <f aca="false">IF(L27&lt;0,L27*-1,0)</f>
        <v>6.54778926140661</v>
      </c>
      <c r="AM27" s="135" t="n">
        <f aca="false">AK27+AL27</f>
        <v>84.0477892614066</v>
      </c>
      <c r="AN27" s="220" t="n">
        <f aca="false">V27</f>
        <v>43</v>
      </c>
      <c r="AO27" s="136" t="n">
        <v>0</v>
      </c>
      <c r="AP27" s="221"/>
      <c r="AV27" s="222" t="n">
        <v>0.1</v>
      </c>
      <c r="AW27" s="107" t="n">
        <v>43</v>
      </c>
      <c r="AX27" s="215" t="n">
        <v>31</v>
      </c>
      <c r="AY27" s="223"/>
      <c r="AZ27" s="250" t="n">
        <f aca="false">SUM(N27,P27:U27)</f>
        <v>4.5</v>
      </c>
    </row>
    <row r="28" customFormat="false" ht="12.95" hidden="false" customHeight="true" outlineLevel="0" collapsed="false">
      <c r="A28" s="183" t="n">
        <f aca="false">A27+1</f>
        <v>14</v>
      </c>
      <c r="B28" s="106" t="n">
        <v>6901.9</v>
      </c>
      <c r="C28" s="107" t="n">
        <v>290641</v>
      </c>
      <c r="D28" s="215" t="n">
        <f aca="false">C28-C27</f>
        <v>-75</v>
      </c>
      <c r="E28" s="107" t="n">
        <f aca="false">C28-152000</f>
        <v>138641</v>
      </c>
      <c r="F28" s="246" t="n">
        <f aca="false">D28/$D$2</f>
        <v>-37.8119485757499</v>
      </c>
      <c r="G28" s="135" t="n">
        <v>48</v>
      </c>
      <c r="H28" s="247" t="n">
        <v>0.82</v>
      </c>
      <c r="I28" s="135" t="n">
        <f aca="false">G28+H28</f>
        <v>48.82</v>
      </c>
      <c r="J28" s="136" t="n">
        <f aca="false">IF(L28&gt;0,L28,0)</f>
        <v>0</v>
      </c>
      <c r="K28" s="135" t="n">
        <f aca="false">I28+J28</f>
        <v>48.82</v>
      </c>
      <c r="L28" s="135" t="n">
        <f aca="false">F28-(I28-AK28)</f>
        <v>-10.3319485757499</v>
      </c>
      <c r="M28" s="248" t="n">
        <v>3.3</v>
      </c>
      <c r="N28" s="135" t="n">
        <v>0</v>
      </c>
      <c r="O28" s="135" t="n">
        <v>0</v>
      </c>
      <c r="P28" s="158" t="n">
        <v>0</v>
      </c>
      <c r="Q28" s="131" t="n">
        <f aca="false">1028700/325851/1.9835*1.02</f>
        <v>1.62344525687595</v>
      </c>
      <c r="R28" s="131" t="n">
        <f aca="false">((2.4)*1.04)-T28</f>
        <v>1.79619648</v>
      </c>
      <c r="S28" s="131" t="n">
        <v>0</v>
      </c>
      <c r="T28" s="131" t="n">
        <f aca="false">(0.6348*1.06)*1.04</f>
        <v>0.69980352</v>
      </c>
      <c r="U28" s="96" t="n">
        <f aca="false">M28-(Q28+R28+S28+T28)</f>
        <v>-0.819445256875952</v>
      </c>
      <c r="V28" s="135" t="n">
        <v>43</v>
      </c>
      <c r="W28" s="135" t="n">
        <v>0</v>
      </c>
      <c r="X28" s="135" t="n">
        <f aca="false">M28-N28-P28-O28-Q28-R28-S28-T28-U28+V28+W28</f>
        <v>43</v>
      </c>
      <c r="Y28" s="135" t="n">
        <f aca="false">X28-AO28</f>
        <v>43</v>
      </c>
      <c r="Z28" s="136"/>
      <c r="AA28" s="135"/>
      <c r="AB28" s="136"/>
      <c r="AC28" s="136" t="n">
        <v>0</v>
      </c>
      <c r="AD28" s="107"/>
      <c r="AE28" s="135" t="n">
        <v>0</v>
      </c>
      <c r="AF28" s="248"/>
      <c r="AG28" s="249"/>
      <c r="AH28" s="135" t="n">
        <v>30</v>
      </c>
      <c r="AI28" s="107" t="n">
        <f aca="false">AI27-AH28</f>
        <v>4037</v>
      </c>
      <c r="AJ28" s="107"/>
      <c r="AK28" s="134" t="n">
        <f aca="false">N28+O28+P28+Q28+R28+S28+T28+U28+X28+AE28+AH28</f>
        <v>76.3</v>
      </c>
      <c r="AL28" s="135" t="n">
        <f aca="false">IF(L28&lt;0,L28*-1,0)</f>
        <v>10.3319485757499</v>
      </c>
      <c r="AM28" s="135" t="n">
        <f aca="false">AK28+AL28</f>
        <v>86.6319485757499</v>
      </c>
      <c r="AN28" s="220" t="n">
        <f aca="false">V28</f>
        <v>43</v>
      </c>
      <c r="AO28" s="136" t="n">
        <v>0</v>
      </c>
      <c r="AP28" s="221"/>
      <c r="AV28" s="222" t="n">
        <v>0.05</v>
      </c>
      <c r="AW28" s="107" t="n">
        <v>35</v>
      </c>
      <c r="AX28" s="215" t="n">
        <v>22</v>
      </c>
      <c r="AY28" s="223"/>
      <c r="AZ28" s="250" t="n">
        <f aca="false">SUM(N28,P28:U28)</f>
        <v>3.3</v>
      </c>
    </row>
    <row r="29" customFormat="false" ht="12.95" hidden="false" customHeight="true" outlineLevel="0" collapsed="false">
      <c r="A29" s="183" t="n">
        <f aca="false">A28+1</f>
        <v>15</v>
      </c>
      <c r="B29" s="106" t="n">
        <v>6901.88</v>
      </c>
      <c r="C29" s="107" t="n">
        <v>290567</v>
      </c>
      <c r="D29" s="215" t="n">
        <f aca="false">C29-C28</f>
        <v>-74</v>
      </c>
      <c r="E29" s="107" t="n">
        <f aca="false">C29-152000</f>
        <v>138567</v>
      </c>
      <c r="F29" s="246" t="n">
        <f aca="false">D29/$D$2</f>
        <v>-37.3077892614066</v>
      </c>
      <c r="G29" s="135" t="n">
        <v>43</v>
      </c>
      <c r="H29" s="247" t="n">
        <v>0.9</v>
      </c>
      <c r="I29" s="135" t="n">
        <f aca="false">G29+H29</f>
        <v>43.9</v>
      </c>
      <c r="J29" s="136" t="n">
        <f aca="false">IF(L29&gt;0,L29,0)</f>
        <v>0</v>
      </c>
      <c r="K29" s="135" t="n">
        <f aca="false">I29+J29</f>
        <v>43.9</v>
      </c>
      <c r="L29" s="135" t="n">
        <f aca="false">F29-(I29-AK29)</f>
        <v>-4.2077892614066</v>
      </c>
      <c r="M29" s="248" t="n">
        <v>4</v>
      </c>
      <c r="N29" s="135" t="n">
        <v>0</v>
      </c>
      <c r="O29" s="135" t="n">
        <v>0</v>
      </c>
      <c r="P29" s="158" t="n">
        <v>0</v>
      </c>
      <c r="Q29" s="131" t="n">
        <f aca="false">801800/325851/1.9835*1.02</f>
        <v>1.26536250312349</v>
      </c>
      <c r="R29" s="131" t="n">
        <f aca="false">((2.4)*1.04)-T29</f>
        <v>1.79619648</v>
      </c>
      <c r="S29" s="131" t="n">
        <v>0</v>
      </c>
      <c r="T29" s="131" t="n">
        <f aca="false">(0.6348*1.06)*1.04</f>
        <v>0.69980352</v>
      </c>
      <c r="U29" s="96" t="n">
        <f aca="false">M29-(Q29+R29+S29+T29)</f>
        <v>0.238637496876506</v>
      </c>
      <c r="V29" s="135" t="n">
        <v>43</v>
      </c>
      <c r="W29" s="135" t="n">
        <v>0</v>
      </c>
      <c r="X29" s="135" t="n">
        <f aca="false">M29-N29-P29-O29-Q29-R29-S29-T29-U29+V29+W29</f>
        <v>43</v>
      </c>
      <c r="Y29" s="135" t="n">
        <f aca="false">X29-AO29</f>
        <v>43</v>
      </c>
      <c r="Z29" s="136"/>
      <c r="AA29" s="135"/>
      <c r="AB29" s="136"/>
      <c r="AC29" s="136" t="n">
        <v>0</v>
      </c>
      <c r="AD29" s="107"/>
      <c r="AE29" s="135" t="n">
        <v>0</v>
      </c>
      <c r="AF29" s="248"/>
      <c r="AG29" s="249"/>
      <c r="AH29" s="135" t="n">
        <v>30</v>
      </c>
      <c r="AI29" s="107" t="n">
        <f aca="false">AI28-AH29</f>
        <v>4007</v>
      </c>
      <c r="AJ29" s="107"/>
      <c r="AK29" s="134" t="n">
        <f aca="false">N29+O29+P29+Q29+R29+S29+T29+U29+X29+AE29+AH29</f>
        <v>77</v>
      </c>
      <c r="AL29" s="135" t="n">
        <f aca="false">IF(L29&lt;0,L29*-1,0)</f>
        <v>4.2077892614066</v>
      </c>
      <c r="AM29" s="135" t="n">
        <f aca="false">AK29+AL29</f>
        <v>81.2077892614066</v>
      </c>
      <c r="AN29" s="220" t="n">
        <f aca="false">V29</f>
        <v>43</v>
      </c>
      <c r="AO29" s="136" t="n">
        <v>0</v>
      </c>
      <c r="AP29" s="221"/>
      <c r="AV29" s="222" t="n">
        <v>0.05</v>
      </c>
      <c r="AW29" s="107" t="n">
        <v>36</v>
      </c>
      <c r="AX29" s="215" t="n">
        <v>16</v>
      </c>
      <c r="AY29" s="223"/>
      <c r="AZ29" s="250" t="n">
        <f aca="false">SUM(N29,P29:U29)</f>
        <v>4</v>
      </c>
    </row>
    <row r="30" customFormat="false" ht="12.95" hidden="false" customHeight="true" outlineLevel="0" collapsed="false">
      <c r="A30" s="183" t="n">
        <f aca="false">A29+1</f>
        <v>16</v>
      </c>
      <c r="B30" s="106" t="n">
        <v>6901.86</v>
      </c>
      <c r="C30" s="107" t="n">
        <v>290492</v>
      </c>
      <c r="D30" s="215" t="n">
        <f aca="false">C30-C29</f>
        <v>-75</v>
      </c>
      <c r="E30" s="107" t="n">
        <f aca="false">C30-152000</f>
        <v>138492</v>
      </c>
      <c r="F30" s="246" t="n">
        <f aca="false">D30/$D$2</f>
        <v>-37.8119485757499</v>
      </c>
      <c r="G30" s="135" t="n">
        <v>41</v>
      </c>
      <c r="H30" s="247" t="n">
        <v>0.92</v>
      </c>
      <c r="I30" s="135" t="n">
        <f aca="false">G30+H30</f>
        <v>41.92</v>
      </c>
      <c r="J30" s="136" t="n">
        <f aca="false">IF(L30&gt;0,L30,0)</f>
        <v>0</v>
      </c>
      <c r="K30" s="135" t="n">
        <f aca="false">I30+J30</f>
        <v>41.92</v>
      </c>
      <c r="L30" s="135" t="n">
        <f aca="false">F30-(I30-AK30)</f>
        <v>-2.53194857574994</v>
      </c>
      <c r="M30" s="248" t="n">
        <v>4.2</v>
      </c>
      <c r="N30" s="135" t="n">
        <v>0</v>
      </c>
      <c r="O30" s="135" t="n">
        <v>0</v>
      </c>
      <c r="P30" s="158" t="n">
        <v>0</v>
      </c>
      <c r="Q30" s="131" t="n">
        <f aca="false">804900/325851/1.9835*1.02</f>
        <v>1.2702547752109</v>
      </c>
      <c r="R30" s="131" t="n">
        <f aca="false">((2.4)*1.04)-T30</f>
        <v>1.97743104</v>
      </c>
      <c r="S30" s="131" t="n">
        <v>0</v>
      </c>
      <c r="T30" s="131" t="n">
        <f aca="false">(0.4704*1.06)*1.04</f>
        <v>0.51856896</v>
      </c>
      <c r="U30" s="96" t="n">
        <f aca="false">M30-(Q30+R30+S30+T30)</f>
        <v>0.433745224789099</v>
      </c>
      <c r="V30" s="135" t="n">
        <v>43</v>
      </c>
      <c r="W30" s="135" t="n">
        <v>0</v>
      </c>
      <c r="X30" s="135" t="n">
        <f aca="false">M30-N30-P30-O30-Q30-R30-S30-T30-U30+V30+W30</f>
        <v>43</v>
      </c>
      <c r="Y30" s="135" t="n">
        <f aca="false">X30-AO30</f>
        <v>43</v>
      </c>
      <c r="Z30" s="136"/>
      <c r="AA30" s="135"/>
      <c r="AB30" s="136"/>
      <c r="AC30" s="136" t="n">
        <v>0</v>
      </c>
      <c r="AD30" s="107"/>
      <c r="AE30" s="135" t="n">
        <v>0</v>
      </c>
      <c r="AF30" s="248"/>
      <c r="AG30" s="249"/>
      <c r="AH30" s="135" t="n">
        <v>30</v>
      </c>
      <c r="AI30" s="107" t="n">
        <f aca="false">AI29-AH30</f>
        <v>3977</v>
      </c>
      <c r="AJ30" s="107"/>
      <c r="AK30" s="134" t="n">
        <f aca="false">N30+O30+P30+Q30+R30+S30+T30+U30+X30+AE30+AH30</f>
        <v>77.2</v>
      </c>
      <c r="AL30" s="135" t="n">
        <f aca="false">IF(L30&lt;0,L30*-1,0)</f>
        <v>2.53194857574994</v>
      </c>
      <c r="AM30" s="135" t="n">
        <f aca="false">AK30+AL30</f>
        <v>79.7319485757499</v>
      </c>
      <c r="AN30" s="220" t="n">
        <f aca="false">V30</f>
        <v>43</v>
      </c>
      <c r="AO30" s="136" t="n">
        <v>0</v>
      </c>
      <c r="AP30" s="221"/>
      <c r="AV30" s="222" t="n">
        <v>0.03</v>
      </c>
      <c r="AW30" s="107" t="n">
        <v>41</v>
      </c>
      <c r="AX30" s="215" t="n">
        <v>15</v>
      </c>
      <c r="AY30" s="223"/>
      <c r="AZ30" s="250" t="n">
        <f aca="false">SUM(N30,P30:U30)</f>
        <v>4.2</v>
      </c>
    </row>
    <row r="31" customFormat="false" ht="12.95" hidden="false" customHeight="true" outlineLevel="0" collapsed="false">
      <c r="A31" s="183" t="n">
        <f aca="false">A30+1</f>
        <v>17</v>
      </c>
      <c r="B31" s="106" t="n">
        <v>6901.84</v>
      </c>
      <c r="C31" s="107" t="n">
        <v>290417</v>
      </c>
      <c r="D31" s="215" t="n">
        <f aca="false">C31-C30</f>
        <v>-75</v>
      </c>
      <c r="E31" s="107" t="n">
        <f aca="false">C31-152000</f>
        <v>138417</v>
      </c>
      <c r="F31" s="246" t="n">
        <f aca="false">D31/$D$2</f>
        <v>-37.8119485757499</v>
      </c>
      <c r="G31" s="135" t="n">
        <v>41</v>
      </c>
      <c r="H31" s="247" t="n">
        <v>0.91</v>
      </c>
      <c r="I31" s="135" t="n">
        <f aca="false">G31+H31</f>
        <v>41.91</v>
      </c>
      <c r="J31" s="136" t="n">
        <f aca="false">IF(L31&gt;0,L31,0)</f>
        <v>0</v>
      </c>
      <c r="K31" s="135" t="n">
        <f aca="false">I31+J31</f>
        <v>41.91</v>
      </c>
      <c r="L31" s="135" t="n">
        <f aca="false">F31-(I31-AK31)</f>
        <v>-2.52194857574993</v>
      </c>
      <c r="M31" s="248" t="n">
        <v>4.2</v>
      </c>
      <c r="N31" s="135" t="n">
        <v>0</v>
      </c>
      <c r="O31" s="135" t="n">
        <v>0</v>
      </c>
      <c r="P31" s="158" t="n">
        <v>0</v>
      </c>
      <c r="Q31" s="131" t="n">
        <f aca="false">951100/325851/1.9835*1.02</f>
        <v>1.50098063946215</v>
      </c>
      <c r="R31" s="131" t="n">
        <f aca="false">((2.4)*1.04)-T31</f>
        <v>1.97743104</v>
      </c>
      <c r="S31" s="131" t="n">
        <v>0</v>
      </c>
      <c r="T31" s="131" t="n">
        <f aca="false">(0.4704*1.06)*1.04</f>
        <v>0.51856896</v>
      </c>
      <c r="U31" s="96" t="n">
        <f aca="false">M31-(Q31+R31+S31+T31)</f>
        <v>0.203019360537846</v>
      </c>
      <c r="V31" s="135" t="n">
        <v>43</v>
      </c>
      <c r="W31" s="135" t="n">
        <v>0</v>
      </c>
      <c r="X31" s="135" t="n">
        <f aca="false">M31-N31-P31-O31-Q31-R31-S31-T31-U31+V31+W31</f>
        <v>43</v>
      </c>
      <c r="Y31" s="135" t="n">
        <f aca="false">X31-AO31</f>
        <v>43</v>
      </c>
      <c r="Z31" s="136"/>
      <c r="AA31" s="135"/>
      <c r="AB31" s="136"/>
      <c r="AC31" s="136" t="n">
        <v>0</v>
      </c>
      <c r="AD31" s="107"/>
      <c r="AE31" s="135" t="n">
        <v>0</v>
      </c>
      <c r="AF31" s="248"/>
      <c r="AG31" s="249"/>
      <c r="AH31" s="135" t="n">
        <v>30</v>
      </c>
      <c r="AI31" s="107" t="n">
        <f aca="false">AI30-AH31</f>
        <v>3947</v>
      </c>
      <c r="AJ31" s="107"/>
      <c r="AK31" s="134" t="n">
        <f aca="false">N31+O31+P31+Q31+R31+S31+T31+U31+X31+AE31+AH31</f>
        <v>77.2</v>
      </c>
      <c r="AL31" s="135" t="n">
        <f aca="false">IF(L31&lt;0,L31*-1,0)</f>
        <v>2.52194857574993</v>
      </c>
      <c r="AM31" s="135" t="n">
        <f aca="false">AK31+AL31</f>
        <v>79.7219485757499</v>
      </c>
      <c r="AN31" s="220" t="n">
        <f aca="false">V31</f>
        <v>43</v>
      </c>
      <c r="AO31" s="136" t="n">
        <v>0</v>
      </c>
      <c r="AP31" s="221"/>
      <c r="AV31" s="222" t="n">
        <v>0</v>
      </c>
      <c r="AW31" s="107" t="n">
        <v>49</v>
      </c>
      <c r="AX31" s="215" t="n">
        <v>18</v>
      </c>
      <c r="AY31" s="223"/>
      <c r="AZ31" s="250" t="n">
        <f aca="false">SUM(N31,P31:U31)</f>
        <v>4.2</v>
      </c>
    </row>
    <row r="32" customFormat="false" ht="12.95" hidden="false" customHeight="true" outlineLevel="0" collapsed="false">
      <c r="A32" s="183" t="n">
        <f aca="false">A31+1</f>
        <v>18</v>
      </c>
      <c r="B32" s="106" t="n">
        <v>6901.82</v>
      </c>
      <c r="C32" s="107" t="n">
        <v>290343</v>
      </c>
      <c r="D32" s="215" t="n">
        <f aca="false">C32-C31</f>
        <v>-74</v>
      </c>
      <c r="E32" s="107" t="n">
        <f aca="false">C32-152000</f>
        <v>138343</v>
      </c>
      <c r="F32" s="246" t="n">
        <f aca="false">D32/$D$2</f>
        <v>-37.3077892614066</v>
      </c>
      <c r="G32" s="135" t="n">
        <v>44</v>
      </c>
      <c r="H32" s="247" t="n">
        <v>0.94</v>
      </c>
      <c r="I32" s="135" t="n">
        <f aca="false">G32+H32</f>
        <v>44.94</v>
      </c>
      <c r="J32" s="136" t="n">
        <f aca="false">IF(L32&gt;0,L32,0)</f>
        <v>0</v>
      </c>
      <c r="K32" s="135" t="n">
        <f aca="false">I32+J32</f>
        <v>44.94</v>
      </c>
      <c r="L32" s="135" t="n">
        <f aca="false">F32-(I32-AK32)</f>
        <v>-6.14778926140661</v>
      </c>
      <c r="M32" s="248" t="n">
        <v>3.1</v>
      </c>
      <c r="N32" s="135" t="n">
        <v>0</v>
      </c>
      <c r="O32" s="135" t="n">
        <v>0</v>
      </c>
      <c r="P32" s="158" t="n">
        <v>0</v>
      </c>
      <c r="Q32" s="131" t="n">
        <f aca="false">979000/325851/1.9835*1.02</f>
        <v>1.54501108824882</v>
      </c>
      <c r="R32" s="131" t="n">
        <f aca="false">((2.4)*1.04)-T32</f>
        <v>1.97743104</v>
      </c>
      <c r="S32" s="131" t="n">
        <v>0</v>
      </c>
      <c r="T32" s="131" t="n">
        <f aca="false">(0.4704*1.06)*1.04</f>
        <v>0.51856896</v>
      </c>
      <c r="U32" s="96" t="n">
        <f aca="false">M32-(Q32+R32+S32+T32)</f>
        <v>-0.941011088248815</v>
      </c>
      <c r="V32" s="135" t="n">
        <v>43</v>
      </c>
      <c r="W32" s="135" t="n">
        <v>0</v>
      </c>
      <c r="X32" s="135" t="n">
        <f aca="false">M32-N32-P32-O32-Q32-R32-S32-T32-U32+V32+W32</f>
        <v>43</v>
      </c>
      <c r="Y32" s="135" t="n">
        <f aca="false">X32-AO32</f>
        <v>43</v>
      </c>
      <c r="Z32" s="136"/>
      <c r="AA32" s="135"/>
      <c r="AB32" s="136"/>
      <c r="AC32" s="136" t="n">
        <v>0</v>
      </c>
      <c r="AD32" s="107"/>
      <c r="AE32" s="135" t="n">
        <v>0</v>
      </c>
      <c r="AF32" s="248"/>
      <c r="AG32" s="249"/>
      <c r="AH32" s="135" t="n">
        <v>30</v>
      </c>
      <c r="AI32" s="107" t="n">
        <f aca="false">AI31-AH32</f>
        <v>3917</v>
      </c>
      <c r="AJ32" s="107"/>
      <c r="AK32" s="134" t="n">
        <f aca="false">N32+O32+P32+Q32+R32+S32+T32+U32+X32+AE32+AH32</f>
        <v>76.1</v>
      </c>
      <c r="AL32" s="135" t="n">
        <f aca="false">IF(L32&lt;0,L32*-1,0)</f>
        <v>6.14778926140661</v>
      </c>
      <c r="AM32" s="135" t="n">
        <f aca="false">AK32+AL32</f>
        <v>82.2477892614066</v>
      </c>
      <c r="AN32" s="220" t="n">
        <f aca="false">V32</f>
        <v>43</v>
      </c>
      <c r="AO32" s="136" t="n">
        <v>0</v>
      </c>
      <c r="AP32" s="221"/>
      <c r="AV32" s="222" t="n">
        <v>0</v>
      </c>
      <c r="AW32" s="107" t="n">
        <v>53</v>
      </c>
      <c r="AX32" s="215" t="n">
        <v>26</v>
      </c>
      <c r="AY32" s="223"/>
      <c r="AZ32" s="250" t="n">
        <f aca="false">SUM(N32,P32:U32)</f>
        <v>3.1</v>
      </c>
    </row>
    <row r="33" customFormat="false" ht="12.95" hidden="false" customHeight="true" outlineLevel="0" collapsed="false">
      <c r="A33" s="183" t="n">
        <f aca="false">A32+1</f>
        <v>19</v>
      </c>
      <c r="B33" s="106" t="n">
        <v>6901.8</v>
      </c>
      <c r="C33" s="107" t="n">
        <v>290268</v>
      </c>
      <c r="D33" s="215" t="n">
        <f aca="false">C33-C32</f>
        <v>-75</v>
      </c>
      <c r="E33" s="107" t="n">
        <f aca="false">C33-152000</f>
        <v>138268</v>
      </c>
      <c r="F33" s="246" t="n">
        <f aca="false">D33/$D$2</f>
        <v>-37.8119485757499</v>
      </c>
      <c r="G33" s="135" t="n">
        <v>45</v>
      </c>
      <c r="H33" s="247" t="n">
        <v>1</v>
      </c>
      <c r="I33" s="135" t="n">
        <f aca="false">G33+H33</f>
        <v>46</v>
      </c>
      <c r="J33" s="136" t="n">
        <f aca="false">IF(L33&gt;0,L33,0)</f>
        <v>0</v>
      </c>
      <c r="K33" s="135" t="n">
        <f aca="false">I33+J33</f>
        <v>46</v>
      </c>
      <c r="L33" s="135" t="n">
        <f aca="false">F33-(I33-AK33)</f>
        <v>-6.71194857574994</v>
      </c>
      <c r="M33" s="248" t="n">
        <v>4.1</v>
      </c>
      <c r="N33" s="135" t="n">
        <v>0</v>
      </c>
      <c r="O33" s="135" t="n">
        <v>0</v>
      </c>
      <c r="P33" s="158" t="n">
        <v>0</v>
      </c>
      <c r="Q33" s="131" t="n">
        <f aca="false">963600/325851/1.9835*1.02</f>
        <v>1.52070754304041</v>
      </c>
      <c r="R33" s="131" t="n">
        <f aca="false">((2.2)*1.04)-T33</f>
        <v>1.76943104</v>
      </c>
      <c r="S33" s="131" t="n">
        <v>0</v>
      </c>
      <c r="T33" s="131" t="n">
        <f aca="false">(0.4704*1.06)*1.04</f>
        <v>0.51856896</v>
      </c>
      <c r="U33" s="96" t="n">
        <f aca="false">M33-(Q33+R33+S33+T33)</f>
        <v>0.291292456959592</v>
      </c>
      <c r="V33" s="135" t="n">
        <v>43</v>
      </c>
      <c r="W33" s="135" t="n">
        <v>0</v>
      </c>
      <c r="X33" s="135" t="n">
        <f aca="false">M33-N33-P33-O33-Q33-R33-S33-T33-U33+V33+W33</f>
        <v>43</v>
      </c>
      <c r="Y33" s="135" t="n">
        <f aca="false">X33-AO33</f>
        <v>43</v>
      </c>
      <c r="Z33" s="136"/>
      <c r="AA33" s="135"/>
      <c r="AB33" s="136"/>
      <c r="AC33" s="136" t="n">
        <v>0</v>
      </c>
      <c r="AD33" s="107"/>
      <c r="AE33" s="135" t="n">
        <v>0</v>
      </c>
      <c r="AF33" s="248"/>
      <c r="AG33" s="249"/>
      <c r="AH33" s="135" t="n">
        <v>30</v>
      </c>
      <c r="AI33" s="107" t="n">
        <f aca="false">AI32-AH33</f>
        <v>3887</v>
      </c>
      <c r="AJ33" s="107"/>
      <c r="AK33" s="134" t="n">
        <f aca="false">N33+O33+P33+Q33+R33+S33+T33+U33+X33+AE33+AH33</f>
        <v>77.1</v>
      </c>
      <c r="AL33" s="135" t="n">
        <f aca="false">IF(L33&lt;0,L33*-1,0)</f>
        <v>6.71194857574994</v>
      </c>
      <c r="AM33" s="135" t="n">
        <f aca="false">AK33+AL33</f>
        <v>83.8119485757499</v>
      </c>
      <c r="AN33" s="220" t="n">
        <f aca="false">V33</f>
        <v>43</v>
      </c>
      <c r="AO33" s="136" t="n">
        <v>0</v>
      </c>
      <c r="AP33" s="221"/>
      <c r="AV33" s="222" t="n">
        <v>0</v>
      </c>
      <c r="AW33" s="107" t="n">
        <v>40</v>
      </c>
      <c r="AX33" s="215" t="n">
        <v>30</v>
      </c>
      <c r="AY33" s="223"/>
      <c r="AZ33" s="250" t="n">
        <f aca="false">SUM(N33,P33:U33)</f>
        <v>4.1</v>
      </c>
    </row>
    <row r="34" customFormat="false" ht="12.95" hidden="false" customHeight="true" outlineLevel="0" collapsed="false">
      <c r="A34" s="183" t="n">
        <f aca="false">A33+1</f>
        <v>20</v>
      </c>
      <c r="B34" s="106" t="n">
        <v>6901.78</v>
      </c>
      <c r="C34" s="107" t="n">
        <v>290193</v>
      </c>
      <c r="D34" s="215" t="n">
        <f aca="false">C34-C33</f>
        <v>-75</v>
      </c>
      <c r="E34" s="107" t="n">
        <f aca="false">C34-152000</f>
        <v>138193</v>
      </c>
      <c r="F34" s="246" t="n">
        <f aca="false">D34/$D$2</f>
        <v>-37.8119485757499</v>
      </c>
      <c r="G34" s="135" t="n">
        <v>44</v>
      </c>
      <c r="H34" s="247" t="n">
        <v>1</v>
      </c>
      <c r="I34" s="135" t="n">
        <f aca="false">G34+H34</f>
        <v>45</v>
      </c>
      <c r="J34" s="136" t="n">
        <f aca="false">IF(L34&gt;0,L34,0)</f>
        <v>0</v>
      </c>
      <c r="K34" s="135" t="n">
        <f aca="false">I34+J34</f>
        <v>45</v>
      </c>
      <c r="L34" s="135" t="n">
        <f aca="false">F34-(I34-AK34)</f>
        <v>-5.71194857574994</v>
      </c>
      <c r="M34" s="248" t="n">
        <v>4.1</v>
      </c>
      <c r="N34" s="135" t="n">
        <v>0</v>
      </c>
      <c r="O34" s="135" t="n">
        <v>0</v>
      </c>
      <c r="P34" s="158" t="n">
        <v>0</v>
      </c>
      <c r="Q34" s="131" t="n">
        <f aca="false">930900/325851/1.9835*1.02</f>
        <v>1.4691019632797</v>
      </c>
      <c r="R34" s="131" t="n">
        <f aca="false">((2.2)*1.04)-T34</f>
        <v>1.76943104</v>
      </c>
      <c r="S34" s="131" t="n">
        <v>0</v>
      </c>
      <c r="T34" s="131" t="n">
        <f aca="false">(0.4704*1.06)*1.04</f>
        <v>0.51856896</v>
      </c>
      <c r="U34" s="96" t="n">
        <f aca="false">M34-(Q34+R34+S34+T34)</f>
        <v>0.342898036720303</v>
      </c>
      <c r="V34" s="135" t="n">
        <v>43</v>
      </c>
      <c r="W34" s="135" t="n">
        <v>0</v>
      </c>
      <c r="X34" s="135" t="n">
        <f aca="false">M34-N34-P34-O34-Q34-R34-S34-T34-U34+V34+W34</f>
        <v>43</v>
      </c>
      <c r="Y34" s="135" t="n">
        <f aca="false">X34-AO34</f>
        <v>43</v>
      </c>
      <c r="Z34" s="136"/>
      <c r="AA34" s="135"/>
      <c r="AB34" s="136"/>
      <c r="AC34" s="136" t="n">
        <v>0</v>
      </c>
      <c r="AD34" s="107"/>
      <c r="AE34" s="135" t="n">
        <v>0</v>
      </c>
      <c r="AF34" s="248"/>
      <c r="AG34" s="249"/>
      <c r="AH34" s="135" t="n">
        <v>30</v>
      </c>
      <c r="AI34" s="107" t="n">
        <f aca="false">AI33-AH34</f>
        <v>3857</v>
      </c>
      <c r="AJ34" s="107"/>
      <c r="AK34" s="134" t="n">
        <f aca="false">N34+O34+P34+Q34+R34+S34+T34+U34+X34+AE34+AH34</f>
        <v>77.1</v>
      </c>
      <c r="AL34" s="135" t="n">
        <f aca="false">IF(L34&lt;0,L34*-1,0)</f>
        <v>5.71194857574994</v>
      </c>
      <c r="AM34" s="135" t="n">
        <f aca="false">AK34+AL34</f>
        <v>82.8119485757499</v>
      </c>
      <c r="AN34" s="220" t="n">
        <f aca="false">V34</f>
        <v>43</v>
      </c>
      <c r="AO34" s="136" t="n">
        <v>0</v>
      </c>
      <c r="AP34" s="221"/>
      <c r="AV34" s="222" t="n">
        <v>0.07</v>
      </c>
      <c r="AW34" s="107" t="n">
        <v>36</v>
      </c>
      <c r="AX34" s="215" t="n">
        <v>26</v>
      </c>
      <c r="AY34" s="223"/>
      <c r="AZ34" s="250" t="n">
        <f aca="false">SUM(N34,P34:U34)</f>
        <v>4.1</v>
      </c>
    </row>
    <row r="35" customFormat="false" ht="12.95" hidden="false" customHeight="true" outlineLevel="0" collapsed="false">
      <c r="A35" s="183" t="n">
        <f aca="false">A34+1</f>
        <v>21</v>
      </c>
      <c r="B35" s="106" t="n">
        <v>6901.76</v>
      </c>
      <c r="C35" s="107" t="n">
        <v>290119</v>
      </c>
      <c r="D35" s="215" t="n">
        <f aca="false">C35-C34</f>
        <v>-74</v>
      </c>
      <c r="E35" s="107" t="n">
        <f aca="false">C35-152000</f>
        <v>138119</v>
      </c>
      <c r="F35" s="246" t="n">
        <f aca="false">D35/$D$2</f>
        <v>-37.3077892614066</v>
      </c>
      <c r="G35" s="135" t="n">
        <v>44</v>
      </c>
      <c r="H35" s="247" t="n">
        <v>1</v>
      </c>
      <c r="I35" s="135" t="n">
        <f aca="false">G35+H35</f>
        <v>45</v>
      </c>
      <c r="J35" s="136" t="n">
        <f aca="false">IF(L35&gt;0,L35,0)</f>
        <v>0</v>
      </c>
      <c r="K35" s="135" t="n">
        <f aca="false">I35+J35</f>
        <v>45</v>
      </c>
      <c r="L35" s="135" t="n">
        <f aca="false">F35-(I35-AK35)</f>
        <v>-6.4077892614066</v>
      </c>
      <c r="M35" s="248" t="n">
        <v>2.9</v>
      </c>
      <c r="N35" s="135" t="n">
        <v>0</v>
      </c>
      <c r="O35" s="135" t="n">
        <v>0</v>
      </c>
      <c r="P35" s="158" t="n">
        <v>0</v>
      </c>
      <c r="Q35" s="131" t="n">
        <f aca="false">825400/325851/1.9835*1.02</f>
        <v>1.30260689707924</v>
      </c>
      <c r="R35" s="131" t="n">
        <f aca="false">((2.2)*1.04)-T35</f>
        <v>1.76943104</v>
      </c>
      <c r="S35" s="131" t="n">
        <v>0</v>
      </c>
      <c r="T35" s="131" t="n">
        <f aca="false">(0.4704*1.06)*1.04</f>
        <v>0.51856896</v>
      </c>
      <c r="U35" s="96" t="n">
        <f aca="false">M35-(Q35+R35+S35+T35)</f>
        <v>-0.690606897079237</v>
      </c>
      <c r="V35" s="135" t="n">
        <v>43</v>
      </c>
      <c r="W35" s="135" t="n">
        <v>0</v>
      </c>
      <c r="X35" s="135" t="n">
        <f aca="false">M35-N35-P35-O35-Q35-R35-S35-T35-U35+V35+W35</f>
        <v>43</v>
      </c>
      <c r="Y35" s="135" t="n">
        <f aca="false">X35-AO35</f>
        <v>43</v>
      </c>
      <c r="Z35" s="136"/>
      <c r="AA35" s="135"/>
      <c r="AB35" s="136"/>
      <c r="AC35" s="136" t="n">
        <v>0</v>
      </c>
      <c r="AD35" s="107"/>
      <c r="AE35" s="135" t="n">
        <v>0</v>
      </c>
      <c r="AF35" s="248"/>
      <c r="AG35" s="249"/>
      <c r="AH35" s="135" t="n">
        <v>30</v>
      </c>
      <c r="AI35" s="107" t="n">
        <f aca="false">AI34-AH35</f>
        <v>3827</v>
      </c>
      <c r="AJ35" s="107"/>
      <c r="AK35" s="134" t="n">
        <f aca="false">N35+O35+P35+Q35+R35+S35+T35+U35+X35+AE35+AH35</f>
        <v>75.9</v>
      </c>
      <c r="AL35" s="135" t="n">
        <f aca="false">IF(L35&lt;0,L35*-1,0)</f>
        <v>6.4077892614066</v>
      </c>
      <c r="AM35" s="135" t="n">
        <f aca="false">AK35+AL35</f>
        <v>82.3077892614066</v>
      </c>
      <c r="AN35" s="220" t="n">
        <f aca="false">V35</f>
        <v>43</v>
      </c>
      <c r="AO35" s="136" t="n">
        <v>0</v>
      </c>
      <c r="AP35" s="221"/>
      <c r="AV35" s="222" t="n">
        <v>0</v>
      </c>
      <c r="AW35" s="107" t="n">
        <v>35</v>
      </c>
      <c r="AX35" s="215" t="n">
        <v>24</v>
      </c>
      <c r="AY35" s="223"/>
      <c r="AZ35" s="250" t="n">
        <f aca="false">SUM(N35,P35:U35)</f>
        <v>2.9</v>
      </c>
    </row>
    <row r="36" customFormat="false" ht="12.95" hidden="false" customHeight="true" outlineLevel="0" collapsed="false">
      <c r="A36" s="183" t="n">
        <f aca="false">A35+1</f>
        <v>22</v>
      </c>
      <c r="B36" s="106" t="n">
        <v>6901.74</v>
      </c>
      <c r="C36" s="107" t="n">
        <v>290044</v>
      </c>
      <c r="D36" s="215" t="n">
        <f aca="false">C36-C35</f>
        <v>-75</v>
      </c>
      <c r="E36" s="107" t="n">
        <f aca="false">C36-152000</f>
        <v>138044</v>
      </c>
      <c r="F36" s="246" t="n">
        <f aca="false">D36/$D$2</f>
        <v>-37.8119485757499</v>
      </c>
      <c r="G36" s="135" t="n">
        <v>44</v>
      </c>
      <c r="H36" s="247" t="n">
        <v>0.96</v>
      </c>
      <c r="I36" s="135" t="n">
        <f aca="false">G36+H36</f>
        <v>44.96</v>
      </c>
      <c r="J36" s="136" t="n">
        <f aca="false">IF(L36&gt;0,L36,0)</f>
        <v>0</v>
      </c>
      <c r="K36" s="135" t="n">
        <f aca="false">I36+J36</f>
        <v>44.96</v>
      </c>
      <c r="L36" s="135" t="n">
        <f aca="false">F36-(I36-AK36)</f>
        <v>-5.67194857574994</v>
      </c>
      <c r="M36" s="248" t="n">
        <v>4.1</v>
      </c>
      <c r="N36" s="135" t="n">
        <v>0</v>
      </c>
      <c r="O36" s="135" t="n">
        <v>0</v>
      </c>
      <c r="P36" s="158" t="n">
        <v>0</v>
      </c>
      <c r="Q36" s="131" t="n">
        <f aca="false">938400/325851/1.9835*1.02</f>
        <v>1.48093810542665</v>
      </c>
      <c r="R36" s="131" t="n">
        <f aca="false">((2.4)*1.04)-T36</f>
        <v>1.97743104</v>
      </c>
      <c r="S36" s="131" t="n">
        <v>0</v>
      </c>
      <c r="T36" s="131" t="n">
        <f aca="false">(0.4704*1.06)*1.04</f>
        <v>0.51856896</v>
      </c>
      <c r="U36" s="96" t="n">
        <f aca="false">M36-(Q36+R36+S36+T36)</f>
        <v>0.123061894573351</v>
      </c>
      <c r="V36" s="135" t="n">
        <v>43</v>
      </c>
      <c r="W36" s="135" t="n">
        <v>0</v>
      </c>
      <c r="X36" s="135" t="n">
        <f aca="false">M36-N36-P36-O36-Q36-R36-S36-T36-U36+V36+W36</f>
        <v>43</v>
      </c>
      <c r="Y36" s="135" t="n">
        <f aca="false">X36-AO36</f>
        <v>43</v>
      </c>
      <c r="Z36" s="136"/>
      <c r="AA36" s="135"/>
      <c r="AB36" s="136"/>
      <c r="AC36" s="136" t="n">
        <v>0</v>
      </c>
      <c r="AD36" s="107"/>
      <c r="AE36" s="135" t="n">
        <v>0</v>
      </c>
      <c r="AF36" s="248"/>
      <c r="AG36" s="249"/>
      <c r="AH36" s="135" t="n">
        <v>30</v>
      </c>
      <c r="AI36" s="107" t="n">
        <f aca="false">AI35-AH36</f>
        <v>3797</v>
      </c>
      <c r="AJ36" s="107"/>
      <c r="AK36" s="134" t="n">
        <f aca="false">N36+O36+P36+Q36+R36+S36+T36+U36+X36+AE36+AH36</f>
        <v>77.1</v>
      </c>
      <c r="AL36" s="135" t="n">
        <f aca="false">IF(L36&lt;0,L36*-1,0)</f>
        <v>5.67194857574994</v>
      </c>
      <c r="AM36" s="135" t="n">
        <f aca="false">AK36+AL36</f>
        <v>82.7719485757499</v>
      </c>
      <c r="AN36" s="220" t="n">
        <f aca="false">V36</f>
        <v>43</v>
      </c>
      <c r="AO36" s="136" t="n">
        <v>0</v>
      </c>
      <c r="AP36" s="221"/>
      <c r="AV36" s="222" t="n">
        <v>0.01</v>
      </c>
      <c r="AW36" s="107" t="n">
        <v>28</v>
      </c>
      <c r="AX36" s="215" t="n">
        <v>11</v>
      </c>
      <c r="AY36" s="223"/>
      <c r="AZ36" s="250" t="n">
        <f aca="false">SUM(N36,P36:U36)</f>
        <v>4.1</v>
      </c>
    </row>
    <row r="37" customFormat="false" ht="12.95" hidden="false" customHeight="true" outlineLevel="0" collapsed="false">
      <c r="A37" s="183" t="n">
        <f aca="false">A36+1</f>
        <v>23</v>
      </c>
      <c r="B37" s="106" t="n">
        <v>6901.72</v>
      </c>
      <c r="C37" s="107" t="n">
        <v>289969</v>
      </c>
      <c r="D37" s="215" t="n">
        <f aca="false">C37-C36</f>
        <v>-75</v>
      </c>
      <c r="E37" s="107" t="n">
        <f aca="false">C37-152000</f>
        <v>137969</v>
      </c>
      <c r="F37" s="246" t="n">
        <f aca="false">D37/$D$2</f>
        <v>-37.8119485757499</v>
      </c>
      <c r="G37" s="135" t="n">
        <v>41</v>
      </c>
      <c r="H37" s="247" t="n">
        <v>0.99</v>
      </c>
      <c r="I37" s="135" t="n">
        <f aca="false">G37+H37</f>
        <v>41.99</v>
      </c>
      <c r="J37" s="136" t="n">
        <f aca="false">IF(L37&gt;0,L37,0)</f>
        <v>0</v>
      </c>
      <c r="K37" s="135" t="n">
        <f aca="false">I37+J37</f>
        <v>41.99</v>
      </c>
      <c r="L37" s="135" t="n">
        <f aca="false">F37-(I37-AK37)</f>
        <v>-2.60194857574994</v>
      </c>
      <c r="M37" s="248" t="n">
        <v>4.2</v>
      </c>
      <c r="N37" s="135" t="n">
        <v>0</v>
      </c>
      <c r="O37" s="135" t="n">
        <v>0</v>
      </c>
      <c r="P37" s="158" t="n">
        <v>0</v>
      </c>
      <c r="Q37" s="131" t="n">
        <f aca="false">909400/325851/1.9835*1.02</f>
        <v>1.4351716891251</v>
      </c>
      <c r="R37" s="131" t="n">
        <f aca="false">((2.4)*1.04)-T37</f>
        <v>2.00278624</v>
      </c>
      <c r="S37" s="131" t="n">
        <v>0</v>
      </c>
      <c r="T37" s="131" t="n">
        <f aca="false">(0.4474*1.06)*1.04</f>
        <v>0.49321376</v>
      </c>
      <c r="U37" s="96" t="n">
        <f aca="false">M37-(Q37+R37+S37+T37)</f>
        <v>0.2688283108749</v>
      </c>
      <c r="V37" s="135" t="n">
        <v>43</v>
      </c>
      <c r="W37" s="135" t="n">
        <v>0</v>
      </c>
      <c r="X37" s="135" t="n">
        <f aca="false">M37-N37-P37-O37-Q37-R37-S37-T37-U37+V37+W37</f>
        <v>43</v>
      </c>
      <c r="Y37" s="135" t="n">
        <f aca="false">X37-AO37</f>
        <v>43</v>
      </c>
      <c r="Z37" s="136"/>
      <c r="AA37" s="135"/>
      <c r="AB37" s="136"/>
      <c r="AC37" s="136" t="n">
        <v>0</v>
      </c>
      <c r="AD37" s="107"/>
      <c r="AE37" s="135" t="n">
        <v>0</v>
      </c>
      <c r="AF37" s="248"/>
      <c r="AG37" s="249"/>
      <c r="AH37" s="135" t="n">
        <v>30</v>
      </c>
      <c r="AI37" s="107" t="n">
        <f aca="false">AI36-AH37</f>
        <v>3767</v>
      </c>
      <c r="AJ37" s="107"/>
      <c r="AK37" s="134" t="n">
        <f aca="false">N37+O37+P37+Q37+R37+S37+T37+U37+X37+AE37+AH37</f>
        <v>77.2</v>
      </c>
      <c r="AL37" s="135" t="n">
        <f aca="false">IF(L37&lt;0,L37*-1,0)</f>
        <v>2.60194857574994</v>
      </c>
      <c r="AM37" s="135" t="n">
        <f aca="false">AK37+AL37</f>
        <v>79.80194857575</v>
      </c>
      <c r="AN37" s="220" t="n">
        <f aca="false">V37</f>
        <v>43</v>
      </c>
      <c r="AO37" s="136" t="n">
        <v>0</v>
      </c>
      <c r="AP37" s="221"/>
      <c r="AV37" s="222" t="n">
        <v>0</v>
      </c>
      <c r="AW37" s="107" t="n">
        <v>37</v>
      </c>
      <c r="AX37" s="221" t="n">
        <v>10</v>
      </c>
      <c r="AY37" s="251"/>
      <c r="AZ37" s="250" t="n">
        <f aca="false">SUM(N37,P37:U37)</f>
        <v>4.2</v>
      </c>
    </row>
    <row r="38" customFormat="false" ht="12.95" hidden="false" customHeight="true" outlineLevel="0" collapsed="false">
      <c r="A38" s="183" t="n">
        <f aca="false">A37+1</f>
        <v>24</v>
      </c>
      <c r="B38" s="106" t="n">
        <v>6901.7</v>
      </c>
      <c r="C38" s="107" t="n">
        <v>289895</v>
      </c>
      <c r="D38" s="215" t="n">
        <f aca="false">C38-C37</f>
        <v>-74</v>
      </c>
      <c r="E38" s="107" t="n">
        <f aca="false">C38-152000</f>
        <v>137895</v>
      </c>
      <c r="F38" s="246" t="n">
        <f aca="false">D38/$D$2</f>
        <v>-37.3077892614066</v>
      </c>
      <c r="G38" s="135" t="n">
        <v>39</v>
      </c>
      <c r="H38" s="247" t="n">
        <v>1</v>
      </c>
      <c r="I38" s="135" t="n">
        <f aca="false">G38+H38</f>
        <v>40</v>
      </c>
      <c r="J38" s="136" t="n">
        <f aca="false">IF(L38&gt;0,L38,0)</f>
        <v>0</v>
      </c>
      <c r="K38" s="135" t="n">
        <f aca="false">I38+J38</f>
        <v>40</v>
      </c>
      <c r="L38" s="135" t="n">
        <f aca="false">F38-(I38-AK38)</f>
        <v>-0.107789261406602</v>
      </c>
      <c r="M38" s="248" t="n">
        <v>4.2</v>
      </c>
      <c r="N38" s="135" t="n">
        <v>0</v>
      </c>
      <c r="O38" s="135" t="n">
        <v>0</v>
      </c>
      <c r="P38" s="158" t="n">
        <v>0</v>
      </c>
      <c r="Q38" s="131" t="n">
        <f aca="false">913100/325851/1.9835*1.02</f>
        <v>1.44101085258426</v>
      </c>
      <c r="R38" s="131" t="n">
        <f aca="false">((2.6)*1.04)-T38</f>
        <v>2.21078624</v>
      </c>
      <c r="S38" s="131" t="n">
        <v>0</v>
      </c>
      <c r="T38" s="131" t="n">
        <f aca="false">(0.4474*1.06)*1.04</f>
        <v>0.49321376</v>
      </c>
      <c r="U38" s="96" t="n">
        <f aca="false">M38-(Q38+R38+S38+T38)</f>
        <v>0.0549891474157365</v>
      </c>
      <c r="V38" s="135" t="n">
        <v>43</v>
      </c>
      <c r="W38" s="135" t="n">
        <v>0</v>
      </c>
      <c r="X38" s="135" t="n">
        <f aca="false">M38-N38-P38-O38-Q38-R38-S38-T38-U38+V38+W38</f>
        <v>43</v>
      </c>
      <c r="Y38" s="135" t="n">
        <f aca="false">X38-AO38</f>
        <v>43</v>
      </c>
      <c r="Z38" s="136"/>
      <c r="AA38" s="135"/>
      <c r="AB38" s="136"/>
      <c r="AC38" s="136" t="n">
        <v>0</v>
      </c>
      <c r="AD38" s="107"/>
      <c r="AE38" s="135" t="n">
        <v>0</v>
      </c>
      <c r="AF38" s="248"/>
      <c r="AG38" s="249"/>
      <c r="AH38" s="135" t="n">
        <v>30</v>
      </c>
      <c r="AI38" s="107" t="n">
        <f aca="false">AI37-AH38</f>
        <v>3737</v>
      </c>
      <c r="AJ38" s="107"/>
      <c r="AK38" s="134" t="n">
        <f aca="false">N38+O38+P38+Q38+R38+S38+T38+U38+X38+AE38+AH38</f>
        <v>77.2</v>
      </c>
      <c r="AL38" s="135" t="n">
        <f aca="false">IF(L38&lt;0,L38*-1,0)</f>
        <v>0.107789261406602</v>
      </c>
      <c r="AM38" s="135" t="n">
        <f aca="false">AK38+AL38</f>
        <v>77.3077892614066</v>
      </c>
      <c r="AN38" s="220" t="n">
        <f aca="false">V38</f>
        <v>43</v>
      </c>
      <c r="AO38" s="136" t="n">
        <v>0</v>
      </c>
      <c r="AP38" s="221"/>
      <c r="AV38" s="222" t="n">
        <v>0</v>
      </c>
      <c r="AW38" s="107" t="n">
        <v>41</v>
      </c>
      <c r="AX38" s="221" t="n">
        <v>10</v>
      </c>
      <c r="AY38" s="251"/>
      <c r="AZ38" s="250" t="n">
        <f aca="false">SUM(N38,P38:U38)</f>
        <v>4.2</v>
      </c>
    </row>
    <row r="39" customFormat="false" ht="12.95" hidden="false" customHeight="true" outlineLevel="0" collapsed="false">
      <c r="A39" s="183" t="n">
        <f aca="false">A38+1</f>
        <v>25</v>
      </c>
      <c r="B39" s="106" t="n">
        <v>6901.68</v>
      </c>
      <c r="C39" s="107" t="n">
        <v>289820</v>
      </c>
      <c r="D39" s="215" t="n">
        <f aca="false">C39-C38</f>
        <v>-75</v>
      </c>
      <c r="E39" s="107" t="n">
        <f aca="false">C39-152000</f>
        <v>137820</v>
      </c>
      <c r="F39" s="246" t="n">
        <f aca="false">D39/$D$2</f>
        <v>-37.8119485757499</v>
      </c>
      <c r="G39" s="135" t="n">
        <v>38</v>
      </c>
      <c r="H39" s="247" t="n">
        <v>1</v>
      </c>
      <c r="I39" s="135" t="n">
        <f aca="false">G39+H39</f>
        <v>39</v>
      </c>
      <c r="J39" s="136" t="n">
        <f aca="false">IF(L39&gt;0,L39,0)</f>
        <v>0.388051424250065</v>
      </c>
      <c r="K39" s="135" t="n">
        <f aca="false">I39+J39</f>
        <v>39.3880514242501</v>
      </c>
      <c r="L39" s="135" t="n">
        <f aca="false">F39-(I39-AK39)</f>
        <v>0.388051424250065</v>
      </c>
      <c r="M39" s="248" t="n">
        <v>4.2</v>
      </c>
      <c r="N39" s="135" t="n">
        <v>0</v>
      </c>
      <c r="O39" s="135" t="n">
        <v>0</v>
      </c>
      <c r="P39" s="158" t="n">
        <v>0</v>
      </c>
      <c r="Q39" s="131" t="n">
        <f aca="false">1103800/325851/1.9835*1.02</f>
        <v>1.7419644935741</v>
      </c>
      <c r="R39" s="131" t="n">
        <f aca="false">((2.6)*1.04)-T39</f>
        <v>2.21078624</v>
      </c>
      <c r="S39" s="131" t="n">
        <v>0</v>
      </c>
      <c r="T39" s="131" t="n">
        <f aca="false">(0.4474*1.06)*1.04</f>
        <v>0.49321376</v>
      </c>
      <c r="U39" s="96" t="n">
        <f aca="false">M39-(Q39+R39+S39+T39)</f>
        <v>-0.245964493574099</v>
      </c>
      <c r="V39" s="135" t="n">
        <v>43</v>
      </c>
      <c r="W39" s="135" t="n">
        <v>0</v>
      </c>
      <c r="X39" s="135" t="n">
        <f aca="false">M39-N39-P39-O39-Q39-R39-S39-T39-U39+V39+W39</f>
        <v>43</v>
      </c>
      <c r="Y39" s="135" t="n">
        <f aca="false">X39-AO39</f>
        <v>43</v>
      </c>
      <c r="Z39" s="136"/>
      <c r="AA39" s="135"/>
      <c r="AB39" s="136"/>
      <c r="AC39" s="136" t="n">
        <v>0</v>
      </c>
      <c r="AD39" s="107"/>
      <c r="AE39" s="135" t="n">
        <v>0</v>
      </c>
      <c r="AF39" s="248"/>
      <c r="AG39" s="249"/>
      <c r="AH39" s="135" t="n">
        <v>30</v>
      </c>
      <c r="AI39" s="107" t="n">
        <f aca="false">AI38-AH39</f>
        <v>3707</v>
      </c>
      <c r="AJ39" s="107"/>
      <c r="AK39" s="134" t="n">
        <f aca="false">N39+O39+P39+Q39+R39+S39+T39+U39+X39+AE39+AH39</f>
        <v>77.2</v>
      </c>
      <c r="AL39" s="135" t="n">
        <f aca="false">IF(L39&lt;0,L39*-1,0)</f>
        <v>0</v>
      </c>
      <c r="AM39" s="135" t="n">
        <f aca="false">AK39+AL39</f>
        <v>77.2</v>
      </c>
      <c r="AN39" s="220" t="n">
        <f aca="false">V39</f>
        <v>43</v>
      </c>
      <c r="AO39" s="136" t="n">
        <v>0</v>
      </c>
      <c r="AP39" s="221"/>
      <c r="AV39" s="222" t="n">
        <v>0</v>
      </c>
      <c r="AW39" s="107" t="n">
        <v>45</v>
      </c>
      <c r="AX39" s="221" t="n">
        <v>14</v>
      </c>
      <c r="AY39" s="251"/>
      <c r="AZ39" s="250" t="n">
        <f aca="false">SUM(N39,P39:U39)</f>
        <v>4.2</v>
      </c>
    </row>
    <row r="40" customFormat="false" ht="12.95" hidden="false" customHeight="true" outlineLevel="0" collapsed="false">
      <c r="A40" s="183" t="n">
        <f aca="false">A39+1</f>
        <v>26</v>
      </c>
      <c r="B40" s="106" t="n">
        <v>6901.66</v>
      </c>
      <c r="C40" s="107" t="n">
        <v>289745</v>
      </c>
      <c r="D40" s="215" t="n">
        <f aca="false">C40-C39</f>
        <v>-75</v>
      </c>
      <c r="E40" s="107" t="n">
        <f aca="false">C40-152000</f>
        <v>137745</v>
      </c>
      <c r="F40" s="246" t="n">
        <f aca="false">D40/$D$2</f>
        <v>-37.8119485757499</v>
      </c>
      <c r="G40" s="135" t="n">
        <v>38</v>
      </c>
      <c r="H40" s="247" t="n">
        <v>0.96</v>
      </c>
      <c r="I40" s="135" t="n">
        <f aca="false">G40+H40</f>
        <v>38.96</v>
      </c>
      <c r="J40" s="136" t="n">
        <f aca="false">IF(L40&gt;0,L40,0)</f>
        <v>0.428051424250064</v>
      </c>
      <c r="K40" s="135" t="n">
        <f aca="false">I40+J40</f>
        <v>39.3880514242501</v>
      </c>
      <c r="L40" s="135" t="n">
        <f aca="false">F40-(I40-AK40)</f>
        <v>0.428051424250064</v>
      </c>
      <c r="M40" s="248" t="n">
        <v>4.2</v>
      </c>
      <c r="N40" s="135" t="n">
        <v>0</v>
      </c>
      <c r="O40" s="135" t="n">
        <v>0</v>
      </c>
      <c r="P40" s="158" t="n">
        <v>0</v>
      </c>
      <c r="Q40" s="131" t="n">
        <f aca="false">939600/325851/1.9835*1.02</f>
        <v>1.48283188817016</v>
      </c>
      <c r="R40" s="131" t="n">
        <f aca="false">((2.6)*1.04)-T40</f>
        <v>2.21078624</v>
      </c>
      <c r="S40" s="131" t="n">
        <v>0</v>
      </c>
      <c r="T40" s="131" t="n">
        <f aca="false">(0.4474*1.06)*1.04</f>
        <v>0.49321376</v>
      </c>
      <c r="U40" s="96" t="n">
        <f aca="false">M40-(Q40+R40+S40+T40)</f>
        <v>0.013168111829839</v>
      </c>
      <c r="V40" s="135" t="n">
        <v>43</v>
      </c>
      <c r="W40" s="135" t="n">
        <v>0</v>
      </c>
      <c r="X40" s="135" t="n">
        <f aca="false">M40-N40-P40-O40-Q40-R40-S40-T40-U40+V40+W40</f>
        <v>43</v>
      </c>
      <c r="Y40" s="135" t="n">
        <f aca="false">X40-AO40</f>
        <v>43</v>
      </c>
      <c r="Z40" s="136"/>
      <c r="AA40" s="135"/>
      <c r="AB40" s="136"/>
      <c r="AC40" s="136" t="n">
        <v>0</v>
      </c>
      <c r="AD40" s="107"/>
      <c r="AE40" s="135" t="n">
        <v>0</v>
      </c>
      <c r="AF40" s="248"/>
      <c r="AG40" s="249"/>
      <c r="AH40" s="135" t="n">
        <v>30</v>
      </c>
      <c r="AI40" s="107" t="n">
        <f aca="false">AI39-AH40</f>
        <v>3677</v>
      </c>
      <c r="AJ40" s="107"/>
      <c r="AK40" s="134" t="n">
        <f aca="false">N40+O40+P40+Q40+R40+S40+T40+U40+X40+AE40+AH40</f>
        <v>77.2</v>
      </c>
      <c r="AL40" s="135" t="n">
        <f aca="false">IF(L40&lt;0,L40*-1,0)</f>
        <v>0</v>
      </c>
      <c r="AM40" s="135" t="n">
        <f aca="false">AK40+AL40</f>
        <v>77.2</v>
      </c>
      <c r="AN40" s="220" t="n">
        <f aca="false">V40</f>
        <v>43</v>
      </c>
      <c r="AO40" s="136" t="n">
        <v>0</v>
      </c>
      <c r="AP40" s="221"/>
      <c r="AV40" s="222" t="n">
        <v>0</v>
      </c>
      <c r="AW40" s="107" t="n">
        <v>40</v>
      </c>
      <c r="AX40" s="215" t="n">
        <v>16</v>
      </c>
      <c r="AY40" s="223"/>
      <c r="AZ40" s="250" t="n">
        <f aca="false">SUM(N40,P40:U40)</f>
        <v>4.2</v>
      </c>
    </row>
    <row r="41" customFormat="false" ht="12.95" hidden="false" customHeight="true" outlineLevel="0" collapsed="false">
      <c r="A41" s="183" t="n">
        <f aca="false">A40+1</f>
        <v>27</v>
      </c>
      <c r="B41" s="106" t="n">
        <v>6901.64</v>
      </c>
      <c r="C41" s="107" t="n">
        <v>289671</v>
      </c>
      <c r="D41" s="215" t="n">
        <f aca="false">C41-C40</f>
        <v>-74</v>
      </c>
      <c r="E41" s="107" t="n">
        <f aca="false">C41-152000</f>
        <v>137671</v>
      </c>
      <c r="F41" s="246" t="n">
        <f aca="false">D41/$D$2</f>
        <v>-37.3077892614066</v>
      </c>
      <c r="G41" s="135" t="n">
        <v>38</v>
      </c>
      <c r="H41" s="247" t="n">
        <v>0.95</v>
      </c>
      <c r="I41" s="135" t="n">
        <f aca="false">G41+H41</f>
        <v>38.95</v>
      </c>
      <c r="J41" s="136" t="n">
        <f aca="false">IF(L41&gt;0,L41,0)</f>
        <v>0.942210738593396</v>
      </c>
      <c r="K41" s="135" t="n">
        <f aca="false">I41+J41</f>
        <v>39.8922107385934</v>
      </c>
      <c r="L41" s="135" t="n">
        <f aca="false">F41-(I41-AK41)</f>
        <v>0.942210738593396</v>
      </c>
      <c r="M41" s="248" t="n">
        <v>4.2</v>
      </c>
      <c r="N41" s="135" t="n">
        <v>0</v>
      </c>
      <c r="O41" s="135" t="n">
        <v>0</v>
      </c>
      <c r="P41" s="158" t="n">
        <v>0</v>
      </c>
      <c r="Q41" s="131" t="n">
        <f aca="false">863700/325851/1.9835*1.02</f>
        <v>1.36305012964301</v>
      </c>
      <c r="R41" s="131" t="n">
        <f aca="false">((2.6)*1.04)-T41</f>
        <v>2.21078624</v>
      </c>
      <c r="S41" s="131" t="n">
        <v>0</v>
      </c>
      <c r="T41" s="131" t="n">
        <f aca="false">(0.4474*1.06)*1.04</f>
        <v>0.49321376</v>
      </c>
      <c r="U41" s="96" t="n">
        <f aca="false">M41-(Q41+R41+S41+T41)</f>
        <v>0.132949870356994</v>
      </c>
      <c r="V41" s="135" t="n">
        <v>43</v>
      </c>
      <c r="W41" s="135" t="n">
        <v>0</v>
      </c>
      <c r="X41" s="135" t="n">
        <f aca="false">M41-N41-P41-O41-Q41-R41-S41-T41-U41+V41+W41</f>
        <v>43</v>
      </c>
      <c r="Y41" s="135" t="n">
        <f aca="false">X41-AO41</f>
        <v>43</v>
      </c>
      <c r="Z41" s="136"/>
      <c r="AA41" s="135"/>
      <c r="AB41" s="136"/>
      <c r="AC41" s="136" t="n">
        <v>0</v>
      </c>
      <c r="AD41" s="107"/>
      <c r="AE41" s="135" t="n">
        <v>0</v>
      </c>
      <c r="AF41" s="248"/>
      <c r="AG41" s="249"/>
      <c r="AH41" s="135" t="n">
        <v>30</v>
      </c>
      <c r="AI41" s="107" t="n">
        <f aca="false">AI40-AH41</f>
        <v>3647</v>
      </c>
      <c r="AJ41" s="107"/>
      <c r="AK41" s="134" t="n">
        <f aca="false">N41+O41+P41+Q41+R41+S41+T41+U41+X41+AE41+AH41</f>
        <v>77.2</v>
      </c>
      <c r="AL41" s="135" t="n">
        <f aca="false">IF(L41&lt;0,L41*-1,0)</f>
        <v>0</v>
      </c>
      <c r="AM41" s="135" t="n">
        <f aca="false">AK41+AL41</f>
        <v>77.2</v>
      </c>
      <c r="AN41" s="220" t="n">
        <f aca="false">V41</f>
        <v>43</v>
      </c>
      <c r="AO41" s="136" t="n">
        <v>0</v>
      </c>
      <c r="AP41" s="221"/>
      <c r="AV41" s="222" t="n">
        <v>0</v>
      </c>
      <c r="AW41" s="107" t="n">
        <v>45</v>
      </c>
      <c r="AX41" s="215" t="n">
        <v>16</v>
      </c>
      <c r="AY41" s="223"/>
      <c r="AZ41" s="250" t="n">
        <f aca="false">SUM(N41,P41:U41)</f>
        <v>4.2</v>
      </c>
    </row>
    <row r="42" customFormat="false" ht="12.95" hidden="false" customHeight="true" outlineLevel="0" collapsed="false">
      <c r="A42" s="183" t="n">
        <f aca="false">A41+1</f>
        <v>28</v>
      </c>
      <c r="B42" s="106" t="n">
        <v>6901.62</v>
      </c>
      <c r="C42" s="107" t="n">
        <v>289596</v>
      </c>
      <c r="D42" s="215" t="n">
        <f aca="false">C42-C41</f>
        <v>-75</v>
      </c>
      <c r="E42" s="107" t="n">
        <f aca="false">C42-152000</f>
        <v>137596</v>
      </c>
      <c r="F42" s="246" t="n">
        <f aca="false">D42/$D$2</f>
        <v>-37.8119485757499</v>
      </c>
      <c r="G42" s="135" t="n">
        <v>38</v>
      </c>
      <c r="H42" s="247" t="n">
        <v>0.97</v>
      </c>
      <c r="I42" s="135" t="n">
        <f aca="false">G42+H42</f>
        <v>38.97</v>
      </c>
      <c r="J42" s="136" t="n">
        <f aca="false">IF(L42&gt;0,L42,0)</f>
        <v>0.418051424250066</v>
      </c>
      <c r="K42" s="135" t="n">
        <f aca="false">I42+J42</f>
        <v>39.3880514242501</v>
      </c>
      <c r="L42" s="135" t="n">
        <f aca="false">F42-(I42-AK42)</f>
        <v>0.418051424250066</v>
      </c>
      <c r="M42" s="248" t="n">
        <v>4.2</v>
      </c>
      <c r="N42" s="135" t="n">
        <v>0</v>
      </c>
      <c r="O42" s="135" t="n">
        <v>0</v>
      </c>
      <c r="P42" s="158" t="n">
        <v>0</v>
      </c>
      <c r="Q42" s="131" t="n">
        <f aca="false">1054700/325851/1.9835*1.02</f>
        <v>1.66447721631872</v>
      </c>
      <c r="R42" s="131" t="n">
        <f aca="false">((2.4)*1.04)-T42</f>
        <v>2.00278624</v>
      </c>
      <c r="S42" s="131" t="n">
        <v>0</v>
      </c>
      <c r="T42" s="131" t="n">
        <f aca="false">(0.4474*1.06)*1.04</f>
        <v>0.49321376</v>
      </c>
      <c r="U42" s="96" t="n">
        <f aca="false">M42-(Q42+R42+S42+T42)</f>
        <v>0.0395227836812815</v>
      </c>
      <c r="V42" s="135" t="n">
        <v>43</v>
      </c>
      <c r="W42" s="135" t="n">
        <v>0</v>
      </c>
      <c r="X42" s="135" t="n">
        <f aca="false">M42-N42-P42-O42-Q42-R42-S42-T42-U42+V42+W42</f>
        <v>43</v>
      </c>
      <c r="Y42" s="135" t="n">
        <f aca="false">X42-AO42</f>
        <v>43</v>
      </c>
      <c r="Z42" s="136"/>
      <c r="AA42" s="135"/>
      <c r="AB42" s="136"/>
      <c r="AC42" s="136" t="n">
        <v>0</v>
      </c>
      <c r="AD42" s="107"/>
      <c r="AE42" s="135" t="n">
        <v>0</v>
      </c>
      <c r="AF42" s="248"/>
      <c r="AG42" s="249"/>
      <c r="AH42" s="135" t="n">
        <v>30</v>
      </c>
      <c r="AI42" s="107" t="n">
        <f aca="false">AI41-AH42</f>
        <v>3617</v>
      </c>
      <c r="AJ42" s="107"/>
      <c r="AK42" s="134" t="n">
        <f aca="false">N42+O42+P42+Q42+R42+S42+T42+U42+X42+AE42+AH42</f>
        <v>77.2</v>
      </c>
      <c r="AL42" s="135" t="n">
        <f aca="false">IF(L42&lt;0,L42*-1,0)</f>
        <v>0</v>
      </c>
      <c r="AM42" s="135" t="n">
        <f aca="false">AK42+AL42</f>
        <v>77.2</v>
      </c>
      <c r="AN42" s="220" t="n">
        <f aca="false">V42</f>
        <v>43</v>
      </c>
      <c r="AO42" s="136" t="n">
        <v>0</v>
      </c>
      <c r="AP42" s="221"/>
      <c r="AV42" s="222" t="n">
        <v>0</v>
      </c>
      <c r="AW42" s="107" t="n">
        <v>44</v>
      </c>
      <c r="AX42" s="215" t="n">
        <v>15</v>
      </c>
      <c r="AY42" s="223"/>
      <c r="AZ42" s="250" t="n">
        <f aca="false">SUM(N42,P42:U42)</f>
        <v>4.2</v>
      </c>
    </row>
    <row r="43" customFormat="false" ht="12.95" hidden="false" customHeight="true" outlineLevel="0" collapsed="false">
      <c r="A43" s="183" t="n">
        <f aca="false">A42+1</f>
        <v>29</v>
      </c>
      <c r="B43" s="106" t="n">
        <v>6901.6</v>
      </c>
      <c r="C43" s="107" t="n">
        <v>289521</v>
      </c>
      <c r="D43" s="215" t="n">
        <f aca="false">C43-C42</f>
        <v>-75</v>
      </c>
      <c r="E43" s="107" t="n">
        <f aca="false">C43-152000</f>
        <v>137521</v>
      </c>
      <c r="F43" s="246" t="n">
        <f aca="false">D43/$D$2</f>
        <v>-37.8119485757499</v>
      </c>
      <c r="G43" s="135" t="n">
        <v>39</v>
      </c>
      <c r="H43" s="247" t="n">
        <v>1.1</v>
      </c>
      <c r="I43" s="135" t="n">
        <f aca="false">G43+H43</f>
        <v>40.1</v>
      </c>
      <c r="J43" s="136" t="n">
        <f aca="false">IF(L43&gt;0,L43,0)</f>
        <v>0</v>
      </c>
      <c r="K43" s="135" t="n">
        <f aca="false">I43+J43</f>
        <v>40.1</v>
      </c>
      <c r="L43" s="135" t="n">
        <f aca="false">F43-(I43-AK43)</f>
        <v>-1.91194857574994</v>
      </c>
      <c r="M43" s="248" t="n">
        <v>3</v>
      </c>
      <c r="N43" s="135" t="n">
        <v>0</v>
      </c>
      <c r="O43" s="135" t="n">
        <v>0</v>
      </c>
      <c r="P43" s="158" t="n">
        <v>0</v>
      </c>
      <c r="Q43" s="131" t="n">
        <f aca="false">956200/325851/1.9835*1.02</f>
        <v>1.50902921612208</v>
      </c>
      <c r="R43" s="131" t="n">
        <f aca="false">((2)*1.04)-T43</f>
        <v>1.58678624</v>
      </c>
      <c r="S43" s="131" t="n">
        <v>0</v>
      </c>
      <c r="T43" s="131" t="n">
        <f aca="false">(0.4474*1.06)*1.04</f>
        <v>0.49321376</v>
      </c>
      <c r="U43" s="96" t="n">
        <f aca="false">M43-(Q43+R43+S43+T43)</f>
        <v>-0.589029216122082</v>
      </c>
      <c r="V43" s="135" t="n">
        <v>43</v>
      </c>
      <c r="W43" s="135" t="n">
        <v>0</v>
      </c>
      <c r="X43" s="135" t="n">
        <f aca="false">M43-N43-P43-O43-Q43-R43-S43-T43-U43+V43+W43</f>
        <v>43</v>
      </c>
      <c r="Y43" s="135" t="n">
        <f aca="false">X43-AO43</f>
        <v>43</v>
      </c>
      <c r="Z43" s="136"/>
      <c r="AA43" s="135"/>
      <c r="AB43" s="136"/>
      <c r="AC43" s="136" t="n">
        <v>0</v>
      </c>
      <c r="AD43" s="107"/>
      <c r="AE43" s="135" t="n">
        <v>0</v>
      </c>
      <c r="AF43" s="248"/>
      <c r="AG43" s="249"/>
      <c r="AH43" s="135" t="n">
        <v>30</v>
      </c>
      <c r="AI43" s="107" t="n">
        <f aca="false">AI42-AH43</f>
        <v>3587</v>
      </c>
      <c r="AJ43" s="107"/>
      <c r="AK43" s="134" t="n">
        <f aca="false">N43+O43+P43+Q43+R43+S43+T43+U43+X43+AE43+AH43</f>
        <v>76</v>
      </c>
      <c r="AL43" s="135" t="n">
        <f aca="false">IF(L43&lt;0,L43*-1,0)</f>
        <v>1.91194857574994</v>
      </c>
      <c r="AM43" s="135" t="n">
        <f aca="false">AK43+AL43</f>
        <v>77.9119485757499</v>
      </c>
      <c r="AN43" s="220" t="n">
        <f aca="false">V43</f>
        <v>43</v>
      </c>
      <c r="AO43" s="136" t="n">
        <v>0</v>
      </c>
      <c r="AP43" s="221"/>
      <c r="AV43" s="222" t="n">
        <v>0</v>
      </c>
      <c r="AW43" s="107" t="n">
        <v>50</v>
      </c>
      <c r="AX43" s="215" t="n">
        <v>22</v>
      </c>
      <c r="AY43" s="223"/>
      <c r="AZ43" s="250" t="n">
        <f aca="false">SUM(N43,P43:U43)</f>
        <v>3</v>
      </c>
    </row>
    <row r="44" customFormat="false" ht="12.95" hidden="false" customHeight="true" outlineLevel="0" collapsed="false">
      <c r="A44" s="183" t="n">
        <v>30</v>
      </c>
      <c r="B44" s="106" t="n">
        <v>6901.58</v>
      </c>
      <c r="C44" s="107" t="n">
        <v>289447</v>
      </c>
      <c r="D44" s="215" t="n">
        <f aca="false">C44-C43</f>
        <v>-74</v>
      </c>
      <c r="E44" s="107" t="n">
        <f aca="false">C44-152000</f>
        <v>137447</v>
      </c>
      <c r="F44" s="246" t="n">
        <f aca="false">D44/$D$2</f>
        <v>-37.3077892614066</v>
      </c>
      <c r="G44" s="135" t="n">
        <v>40</v>
      </c>
      <c r="H44" s="247" t="n">
        <v>1.2</v>
      </c>
      <c r="I44" s="135" t="n">
        <f aca="false">G44+H44</f>
        <v>41.2</v>
      </c>
      <c r="J44" s="136" t="n">
        <f aca="false">IF(L44&gt;0,L44,0)</f>
        <v>0</v>
      </c>
      <c r="K44" s="135" t="n">
        <f aca="false">I44+J44</f>
        <v>41.2</v>
      </c>
      <c r="L44" s="135" t="n">
        <f aca="false">F44-(I44-AK44)</f>
        <v>-1.1077892614066</v>
      </c>
      <c r="M44" s="248" t="n">
        <v>4.4</v>
      </c>
      <c r="N44" s="135" t="n">
        <v>0</v>
      </c>
      <c r="O44" s="135" t="n">
        <v>0</v>
      </c>
      <c r="P44" s="158" t="n">
        <v>0</v>
      </c>
      <c r="Q44" s="131" t="n">
        <f aca="false">858900/325851/1.9835*1.02</f>
        <v>1.35547499866896</v>
      </c>
      <c r="R44" s="131" t="n">
        <f aca="false">((2.1)*1.04)-T44</f>
        <v>1.75252064</v>
      </c>
      <c r="S44" s="131" t="n">
        <v>0</v>
      </c>
      <c r="T44" s="131" t="n">
        <f aca="false">(0.3914*1.06)*1.04</f>
        <v>0.43147936</v>
      </c>
      <c r="U44" s="96" t="n">
        <f aca="false">M44-(Q44+R44+S44+T44)</f>
        <v>0.860525001331044</v>
      </c>
      <c r="V44" s="135" t="n">
        <v>43</v>
      </c>
      <c r="W44" s="135" t="n">
        <v>0</v>
      </c>
      <c r="X44" s="135" t="n">
        <f aca="false">M44-N44-P44-O44-Q44-R44-S44-T44-U44+V44+W44</f>
        <v>43</v>
      </c>
      <c r="Y44" s="135" t="n">
        <f aca="false">X44-AO44</f>
        <v>43</v>
      </c>
      <c r="Z44" s="136"/>
      <c r="AA44" s="135"/>
      <c r="AB44" s="136"/>
      <c r="AC44" s="136" t="n">
        <v>0</v>
      </c>
      <c r="AD44" s="107"/>
      <c r="AE44" s="135" t="n">
        <v>0</v>
      </c>
      <c r="AF44" s="248"/>
      <c r="AG44" s="249"/>
      <c r="AH44" s="135" t="n">
        <v>30</v>
      </c>
      <c r="AI44" s="107" t="n">
        <f aca="false">AI43-AH44</f>
        <v>3557</v>
      </c>
      <c r="AJ44" s="107"/>
      <c r="AK44" s="134" t="n">
        <f aca="false">N44+O44+P44+Q44+R44+S44+T44+U44+X44+AE44+AH44</f>
        <v>77.4</v>
      </c>
      <c r="AL44" s="135" t="n">
        <f aca="false">IF(L44&lt;0,L44*-1,0)</f>
        <v>1.1077892614066</v>
      </c>
      <c r="AM44" s="135" t="n">
        <f aca="false">AK44+AL44</f>
        <v>78.5077892614066</v>
      </c>
      <c r="AN44" s="220" t="n">
        <f aca="false">V44</f>
        <v>43</v>
      </c>
      <c r="AO44" s="136" t="n">
        <v>0</v>
      </c>
      <c r="AP44" s="221"/>
      <c r="AV44" s="222" t="n">
        <v>0</v>
      </c>
      <c r="AW44" s="107" t="n">
        <v>52</v>
      </c>
      <c r="AX44" s="215" t="n">
        <v>23</v>
      </c>
      <c r="AY44" s="223"/>
      <c r="AZ44" s="250" t="n">
        <f aca="false">SUM(N44,P44:U44)</f>
        <v>4.4</v>
      </c>
    </row>
    <row r="45" customFormat="false" ht="12.95" hidden="false" customHeight="true" outlineLevel="0" collapsed="false">
      <c r="A45" s="183" t="n">
        <v>31</v>
      </c>
      <c r="B45" s="106" t="n">
        <v>6901.56</v>
      </c>
      <c r="C45" s="107" t="n">
        <v>289372</v>
      </c>
      <c r="D45" s="215" t="n">
        <f aca="false">C45-C44</f>
        <v>-75</v>
      </c>
      <c r="E45" s="107" t="n">
        <f aca="false">C45-152000</f>
        <v>137372</v>
      </c>
      <c r="F45" s="246" t="n">
        <f aca="false">D45/$D$2</f>
        <v>-37.8119485757499</v>
      </c>
      <c r="G45" s="135" t="n">
        <v>41</v>
      </c>
      <c r="H45" s="247" t="n">
        <v>1</v>
      </c>
      <c r="I45" s="135" t="n">
        <f aca="false">G45+H45</f>
        <v>42</v>
      </c>
      <c r="J45" s="136" t="n">
        <f aca="false">IF(L45&gt;0,L45,0)</f>
        <v>0</v>
      </c>
      <c r="K45" s="135" t="n">
        <f aca="false">I45+J45</f>
        <v>42</v>
      </c>
      <c r="L45" s="135" t="n">
        <f aca="false">F45-(I45-AK45)</f>
        <v>-3.01194857574994</v>
      </c>
      <c r="M45" s="248" t="n">
        <v>3.8</v>
      </c>
      <c r="N45" s="135" t="n">
        <v>0</v>
      </c>
      <c r="O45" s="135" t="n">
        <v>0</v>
      </c>
      <c r="P45" s="158" t="n">
        <v>0</v>
      </c>
      <c r="Q45" s="131" t="n">
        <f aca="false">892400/325851/1.9835*1.02</f>
        <v>1.40834310025868</v>
      </c>
      <c r="R45" s="131" t="n">
        <f aca="false">((2.3)*1.04)-T45</f>
        <v>1.96052064</v>
      </c>
      <c r="S45" s="131" t="n">
        <v>0</v>
      </c>
      <c r="T45" s="131" t="n">
        <f aca="false">(0.3914*1.06)*1.04</f>
        <v>0.43147936</v>
      </c>
      <c r="U45" s="96" t="n">
        <f aca="false">M45-(Q45+R45+S45+T45)</f>
        <v>-0.000343100258675566</v>
      </c>
      <c r="V45" s="135" t="n">
        <v>43</v>
      </c>
      <c r="W45" s="135" t="n">
        <v>0</v>
      </c>
      <c r="X45" s="135" t="n">
        <f aca="false">M45-N45-P45-O45-Q45-R45-S45-T45-U45+V45+W45</f>
        <v>43</v>
      </c>
      <c r="Y45" s="135" t="n">
        <f aca="false">X45-AO45</f>
        <v>43</v>
      </c>
      <c r="Z45" s="136"/>
      <c r="AA45" s="135"/>
      <c r="AB45" s="136"/>
      <c r="AC45" s="136" t="n">
        <v>0</v>
      </c>
      <c r="AD45" s="107"/>
      <c r="AE45" s="135" t="n">
        <v>0</v>
      </c>
      <c r="AF45" s="248"/>
      <c r="AG45" s="249"/>
      <c r="AH45" s="135" t="n">
        <v>30</v>
      </c>
      <c r="AI45" s="107" t="n">
        <f aca="false">AI44-AH45</f>
        <v>3527</v>
      </c>
      <c r="AJ45" s="107"/>
      <c r="AK45" s="134" t="n">
        <f aca="false">N45+O45+P45+Q45+R45+S45+T45+U45+X45+AE45+AH45</f>
        <v>76.8</v>
      </c>
      <c r="AL45" s="135" t="n">
        <f aca="false">IF(L45&lt;0,L45*-1,0)</f>
        <v>3.01194857574994</v>
      </c>
      <c r="AM45" s="246" t="n">
        <f aca="false">AK45+AL45</f>
        <v>79.8119485757499</v>
      </c>
      <c r="AN45" s="215" t="n">
        <f aca="false">V45</f>
        <v>43</v>
      </c>
      <c r="AO45" s="136" t="n">
        <v>0</v>
      </c>
      <c r="AP45" s="221"/>
      <c r="AV45" s="222" t="n">
        <v>0</v>
      </c>
      <c r="AW45" s="107" t="n">
        <v>47</v>
      </c>
      <c r="AX45" s="215" t="n">
        <v>23</v>
      </c>
      <c r="AY45" s="223"/>
      <c r="AZ45" s="250" t="n">
        <f aca="false">SUM(N45,P45:U45)</f>
        <v>3.8</v>
      </c>
    </row>
    <row r="46" customFormat="false" ht="3" hidden="false" customHeight="true" outlineLevel="0" collapsed="false">
      <c r="A46" s="231"/>
      <c r="B46" s="252"/>
      <c r="C46" s="233"/>
      <c r="D46" s="234"/>
      <c r="E46" s="233"/>
      <c r="F46" s="235"/>
      <c r="G46" s="234"/>
      <c r="H46" s="236"/>
      <c r="I46" s="234"/>
      <c r="J46" s="234"/>
      <c r="K46" s="234"/>
      <c r="L46" s="234"/>
      <c r="M46" s="234"/>
      <c r="N46" s="234"/>
      <c r="O46" s="234"/>
      <c r="P46" s="238"/>
      <c r="Q46" s="234"/>
      <c r="R46" s="234"/>
      <c r="S46" s="234"/>
      <c r="T46" s="234"/>
      <c r="U46" s="239"/>
      <c r="V46" s="234"/>
      <c r="W46" s="234"/>
      <c r="X46" s="234" t="n">
        <f aca="false">M46-N46-O46-Q46-R46-S46+V46+W46</f>
        <v>0</v>
      </c>
      <c r="Y46" s="234" t="n">
        <f aca="false">N46-O46-P46-R46-S46-U46+W46+X46</f>
        <v>0</v>
      </c>
      <c r="Z46" s="240"/>
      <c r="AA46" s="234"/>
      <c r="AB46" s="240"/>
      <c r="AC46" s="240"/>
      <c r="AD46" s="233"/>
      <c r="AE46" s="234"/>
      <c r="AF46" s="237"/>
      <c r="AG46" s="241"/>
      <c r="AH46" s="253"/>
      <c r="AI46" s="234"/>
      <c r="AJ46" s="234"/>
      <c r="AK46" s="234" t="n">
        <f aca="false">N46+O46+Q46+R46+S46+X46+AE46+AH46</f>
        <v>0</v>
      </c>
      <c r="AL46" s="234"/>
      <c r="AM46" s="235"/>
      <c r="AN46" s="243"/>
      <c r="AO46" s="240"/>
      <c r="AP46" s="243"/>
      <c r="AQ46" s="244"/>
      <c r="AR46" s="244"/>
      <c r="AS46" s="244"/>
      <c r="AT46" s="244"/>
      <c r="AU46" s="243"/>
      <c r="AV46" s="245"/>
      <c r="AW46" s="243"/>
      <c r="AX46" s="243" t="s">
        <v>114</v>
      </c>
      <c r="AY46" s="254"/>
      <c r="AZ46" s="255" t="s">
        <v>114</v>
      </c>
    </row>
    <row r="47" customFormat="false" ht="12.95" hidden="false" customHeight="true" outlineLevel="0" collapsed="false">
      <c r="A47" s="185" t="s">
        <v>101</v>
      </c>
      <c r="B47" s="213"/>
      <c r="C47" s="107"/>
      <c r="D47" s="107"/>
      <c r="E47" s="107"/>
      <c r="F47" s="214" t="n">
        <f aca="false">SUM(F15:F45)</f>
        <v>-1150.49155533148</v>
      </c>
      <c r="G47" s="107" t="n">
        <f aca="false">SUM(G15:G45)</f>
        <v>1351</v>
      </c>
      <c r="H47" s="107" t="n">
        <f aca="false">SUM(H15:H45)</f>
        <v>25.87</v>
      </c>
      <c r="I47" s="107" t="n">
        <f aca="false">SUM(I15:I45)</f>
        <v>1376.87</v>
      </c>
      <c r="J47" s="107" t="n">
        <f aca="false">SUM(J15:J45)</f>
        <v>24.776362490547</v>
      </c>
      <c r="K47" s="107" t="n">
        <f aca="false">SUM(K15:K45)</f>
        <v>1401.64636249055</v>
      </c>
      <c r="L47" s="107" t="n">
        <f aca="false">SUM(L15:L45)</f>
        <v>-155.661555331485</v>
      </c>
      <c r="M47" s="216" t="n">
        <f aca="false">SUM(M15:M45)</f>
        <v>116.7</v>
      </c>
      <c r="N47" s="107" t="n">
        <f aca="false">SUM(N15:N45)</f>
        <v>0</v>
      </c>
      <c r="O47" s="107" t="n">
        <f aca="false">SUM(O15:O45)</f>
        <v>0</v>
      </c>
      <c r="P47" s="158"/>
      <c r="Q47" s="107" t="n">
        <f aca="false">SUM(Q15:Q45)</f>
        <v>45.7615240294608</v>
      </c>
      <c r="R47" s="107" t="n">
        <f aca="false">SUM(R15:R45)</f>
        <v>52.61076704</v>
      </c>
      <c r="S47" s="107" t="n">
        <f aca="false">SUM(S15:S45)</f>
        <v>0</v>
      </c>
      <c r="T47" s="107" t="n">
        <f aca="false">SUM(T15:T45)</f>
        <v>17.58923296</v>
      </c>
      <c r="U47" s="217" t="n">
        <f aca="false">SUM(U15:U45)</f>
        <v>0.73847597053923</v>
      </c>
      <c r="V47" s="107" t="n">
        <f aca="false">SUM(V15:V45)</f>
        <v>1321</v>
      </c>
      <c r="W47" s="107" t="n">
        <f aca="false">SUM(W15:W45)</f>
        <v>0</v>
      </c>
      <c r="X47" s="107" t="n">
        <f aca="false">SUM(X15:X45)</f>
        <v>1321</v>
      </c>
      <c r="Y47" s="107" t="n">
        <f aca="false">SUM(Y15:Y45)</f>
        <v>1321</v>
      </c>
      <c r="Z47" s="136"/>
      <c r="AA47" s="107"/>
      <c r="AB47" s="136"/>
      <c r="AC47" s="135" t="n">
        <f aca="false">SUM(AC15:AC45)</f>
        <v>46.5</v>
      </c>
      <c r="AD47" s="107"/>
      <c r="AE47" s="107"/>
      <c r="AF47" s="216"/>
      <c r="AG47" s="218"/>
      <c r="AH47" s="107" t="n">
        <f aca="false">SUM(AH15:AH45)</f>
        <v>934</v>
      </c>
      <c r="AI47" s="107"/>
      <c r="AJ47" s="80" t="n">
        <f aca="false">SUM(AJ15:AJ45)</f>
        <v>0</v>
      </c>
      <c r="AK47" s="107" t="n">
        <f aca="false">SUM(AK15:AK45)</f>
        <v>2371.7</v>
      </c>
      <c r="AL47" s="107" t="n">
        <f aca="false">SUM(AL15:AL45)</f>
        <v>180.437917822032</v>
      </c>
      <c r="AM47" s="214" t="n">
        <f aca="false">SUM(AM15:AM45)</f>
        <v>2552.13791782203</v>
      </c>
      <c r="AN47" s="107" t="n">
        <f aca="false">SUM(AN15:AN45)</f>
        <v>1321</v>
      </c>
      <c r="AO47" s="136" t="n">
        <f aca="false">SUM(AO15:AO45)</f>
        <v>0</v>
      </c>
      <c r="AP47" s="221"/>
      <c r="AV47" s="222" t="n">
        <f aca="false">SUM(AV15:AV45)</f>
        <v>0.47</v>
      </c>
      <c r="AW47" s="215" t="n">
        <f aca="false">AVERAGE(AW15:AW45)</f>
        <v>40.2903225806452</v>
      </c>
      <c r="AX47" s="215" t="n">
        <f aca="false">AVERAGE(AX15:AX45)</f>
        <v>17.4516129032258</v>
      </c>
      <c r="AY47" s="223" t="s">
        <v>102</v>
      </c>
      <c r="AZ47" s="256" t="n">
        <f aca="false">SUM(AZ15:AZ45)</f>
        <v>116.7</v>
      </c>
    </row>
    <row r="48" customFormat="false" ht="12.95" hidden="false" customHeight="true" outlineLevel="0" collapsed="false">
      <c r="A48" s="185" t="s">
        <v>103</v>
      </c>
      <c r="B48" s="213"/>
      <c r="C48" s="107"/>
      <c r="D48" s="107" t="n">
        <f aca="false">SUM(D15:D45)</f>
        <v>-2282</v>
      </c>
      <c r="E48" s="107"/>
      <c r="F48" s="214" t="n">
        <f aca="false">F47*$D$2</f>
        <v>-2282</v>
      </c>
      <c r="G48" s="107" t="n">
        <f aca="false">G47*$D$2</f>
        <v>2679.7085</v>
      </c>
      <c r="H48" s="107" t="n">
        <f aca="false">H47*$D$2</f>
        <v>51.313145</v>
      </c>
      <c r="I48" s="107" t="n">
        <f aca="false">I47*$D$2</f>
        <v>2731.021645</v>
      </c>
      <c r="J48" s="107" t="n">
        <f aca="false">J47*$D$2</f>
        <v>49.143915</v>
      </c>
      <c r="K48" s="107" t="n">
        <f aca="false">K47*$D$2</f>
        <v>2780.16556</v>
      </c>
      <c r="L48" s="107" t="n">
        <f aca="false">L47*$D$2</f>
        <v>-308.754695</v>
      </c>
      <c r="M48" s="216" t="n">
        <f aca="false">M47*$D$2</f>
        <v>231.47445</v>
      </c>
      <c r="N48" s="107" t="n">
        <f aca="false">N47*$D$2</f>
        <v>0</v>
      </c>
      <c r="O48" s="107" t="n">
        <f aca="false">O47*$D$2</f>
        <v>0</v>
      </c>
      <c r="P48" s="158"/>
      <c r="Q48" s="107" t="n">
        <f aca="false">Q47*$D$2</f>
        <v>90.7679829124354</v>
      </c>
      <c r="R48" s="107" t="n">
        <f aca="false">R47*$D$2</f>
        <v>104.35345642384</v>
      </c>
      <c r="S48" s="107" t="n">
        <f aca="false">S47*$D$2</f>
        <v>0</v>
      </c>
      <c r="T48" s="107" t="n">
        <f aca="false">T47*$D$2</f>
        <v>34.88824357616</v>
      </c>
      <c r="U48" s="217" t="n">
        <f aca="false">U47*$D$2</f>
        <v>1.46476708756456</v>
      </c>
      <c r="V48" s="107" t="n">
        <f aca="false">V47*$D$2</f>
        <v>2620.2035</v>
      </c>
      <c r="W48" s="107" t="n">
        <f aca="false">W47*$D$2</f>
        <v>0</v>
      </c>
      <c r="X48" s="107" t="n">
        <f aca="false">X47*$D$2</f>
        <v>2620.2035</v>
      </c>
      <c r="Y48" s="107" t="n">
        <f aca="false">Y47*$D$2</f>
        <v>2620.2035</v>
      </c>
      <c r="Z48" s="136"/>
      <c r="AA48" s="107"/>
      <c r="AB48" s="136"/>
      <c r="AC48" s="135" t="n">
        <f aca="false">AC47*$D$2</f>
        <v>92.23275</v>
      </c>
      <c r="AD48" s="107"/>
      <c r="AE48" s="107"/>
      <c r="AF48" s="216"/>
      <c r="AG48" s="218"/>
      <c r="AH48" s="107" t="n">
        <f aca="false">AH47*$D$2</f>
        <v>1852.589</v>
      </c>
      <c r="AI48" s="107"/>
      <c r="AJ48" s="80" t="n">
        <f aca="false">AJ47*$D$2</f>
        <v>0</v>
      </c>
      <c r="AK48" s="107" t="n">
        <f aca="false">AK47*$D$2</f>
        <v>4704.26695</v>
      </c>
      <c r="AL48" s="107" t="n">
        <f aca="false">AL47*$D$2</f>
        <v>357.89861</v>
      </c>
      <c r="AM48" s="214" t="n">
        <f aca="false">AM47*$D$2</f>
        <v>5062.16556</v>
      </c>
      <c r="AN48" s="107" t="n">
        <f aca="false">AN47*$D$2</f>
        <v>2620.2035</v>
      </c>
      <c r="AO48" s="136" t="n">
        <f aca="false">AO47*$D$2</f>
        <v>0</v>
      </c>
      <c r="AP48" s="221"/>
      <c r="AV48" s="222"/>
      <c r="AW48" s="215" t="n">
        <f aca="false">MAX(AW15:AW45)</f>
        <v>53</v>
      </c>
      <c r="AX48" s="215" t="n">
        <f aca="false">MAX(AX15:AX45)</f>
        <v>31</v>
      </c>
      <c r="AY48" s="223" t="s">
        <v>104</v>
      </c>
      <c r="AZ48" s="256" t="n">
        <f aca="false">AZ47*$D$2</f>
        <v>231.47445</v>
      </c>
    </row>
    <row r="49" customFormat="false" ht="3" hidden="false" customHeight="true" outlineLevel="0" collapsed="false">
      <c r="A49" s="231"/>
      <c r="B49" s="252"/>
      <c r="C49" s="233"/>
      <c r="D49" s="233"/>
      <c r="E49" s="233"/>
      <c r="F49" s="257"/>
      <c r="G49" s="233"/>
      <c r="H49" s="233"/>
      <c r="I49" s="233"/>
      <c r="J49" s="233"/>
      <c r="K49" s="233"/>
      <c r="L49" s="233"/>
      <c r="M49" s="258"/>
      <c r="N49" s="233"/>
      <c r="O49" s="233"/>
      <c r="P49" s="238"/>
      <c r="Q49" s="233"/>
      <c r="R49" s="233"/>
      <c r="S49" s="233"/>
      <c r="T49" s="233"/>
      <c r="U49" s="239"/>
      <c r="V49" s="233"/>
      <c r="W49" s="233"/>
      <c r="X49" s="233"/>
      <c r="Y49" s="233"/>
      <c r="Z49" s="240"/>
      <c r="AA49" s="233"/>
      <c r="AB49" s="240"/>
      <c r="AC49" s="234"/>
      <c r="AD49" s="233"/>
      <c r="AE49" s="233"/>
      <c r="AF49" s="258"/>
      <c r="AG49" s="259"/>
      <c r="AH49" s="233"/>
      <c r="AI49" s="234"/>
      <c r="AJ49" s="119"/>
      <c r="AK49" s="233"/>
      <c r="AL49" s="233"/>
      <c r="AM49" s="257"/>
      <c r="AN49" s="233"/>
      <c r="AO49" s="240"/>
      <c r="AP49" s="233"/>
      <c r="AQ49" s="260"/>
      <c r="AR49" s="260"/>
      <c r="AS49" s="244"/>
      <c r="AT49" s="244"/>
      <c r="AU49" s="243"/>
      <c r="AV49" s="261"/>
      <c r="AW49" s="233"/>
      <c r="AX49" s="233"/>
      <c r="AY49" s="257"/>
      <c r="AZ49" s="262"/>
    </row>
    <row r="50" customFormat="false" ht="12.95" hidden="false" customHeight="true" outlineLevel="0" collapsed="false">
      <c r="A50" s="185" t="s">
        <v>105</v>
      </c>
      <c r="B50" s="213"/>
      <c r="C50" s="107"/>
      <c r="D50" s="107"/>
      <c r="E50" s="107"/>
      <c r="F50" s="214"/>
      <c r="G50" s="107"/>
      <c r="H50" s="107"/>
      <c r="I50" s="107"/>
      <c r="J50" s="107"/>
      <c r="K50" s="107"/>
      <c r="L50" s="107"/>
      <c r="M50" s="216"/>
      <c r="N50" s="107"/>
      <c r="O50" s="107"/>
      <c r="P50" s="158"/>
      <c r="Q50" s="107"/>
      <c r="R50" s="107"/>
      <c r="S50" s="107"/>
      <c r="T50" s="107"/>
      <c r="U50" s="217"/>
      <c r="V50" s="107"/>
      <c r="W50" s="107"/>
      <c r="X50" s="107"/>
      <c r="Y50" s="107"/>
      <c r="Z50" s="136"/>
      <c r="AA50" s="107"/>
      <c r="AB50" s="136"/>
      <c r="AC50" s="135"/>
      <c r="AD50" s="107"/>
      <c r="AE50" s="107"/>
      <c r="AF50" s="216"/>
      <c r="AG50" s="218"/>
      <c r="AH50" s="107"/>
      <c r="AI50" s="107"/>
      <c r="AJ50" s="80"/>
      <c r="AK50" s="107"/>
      <c r="AL50" s="107"/>
      <c r="AM50" s="214"/>
      <c r="AN50" s="107"/>
      <c r="AO50" s="136"/>
      <c r="AP50" s="221"/>
      <c r="AV50" s="222"/>
      <c r="AW50" s="215" t="n">
        <f aca="false">MIN(AW15:AW45)</f>
        <v>25</v>
      </c>
      <c r="AX50" s="215" t="n">
        <f aca="false">MIN(AX15:AX45)</f>
        <v>-3</v>
      </c>
      <c r="AY50" s="223" t="s">
        <v>106</v>
      </c>
      <c r="AZ50" s="256"/>
    </row>
    <row r="51" customFormat="false" ht="12.95" hidden="false" customHeight="true" outlineLevel="0" collapsed="false">
      <c r="A51" s="185" t="s">
        <v>107</v>
      </c>
      <c r="B51" s="213"/>
      <c r="C51" s="107"/>
      <c r="D51" s="107"/>
      <c r="E51" s="107"/>
      <c r="F51" s="214"/>
      <c r="G51" s="107"/>
      <c r="H51" s="107"/>
      <c r="I51" s="107"/>
      <c r="J51" s="107"/>
      <c r="K51" s="107"/>
      <c r="L51" s="107"/>
      <c r="M51" s="216"/>
      <c r="N51" s="107"/>
      <c r="O51" s="107"/>
      <c r="P51" s="158"/>
      <c r="Q51" s="107"/>
      <c r="R51" s="107"/>
      <c r="S51" s="107"/>
      <c r="T51" s="107"/>
      <c r="U51" s="217"/>
      <c r="V51" s="107"/>
      <c r="W51" s="107"/>
      <c r="X51" s="107"/>
      <c r="Y51" s="107"/>
      <c r="Z51" s="136"/>
      <c r="AA51" s="107"/>
      <c r="AB51" s="136"/>
      <c r="AC51" s="135"/>
      <c r="AD51" s="107"/>
      <c r="AE51" s="107"/>
      <c r="AF51" s="216"/>
      <c r="AG51" s="218"/>
      <c r="AH51" s="107"/>
      <c r="AI51" s="107"/>
      <c r="AJ51" s="80"/>
      <c r="AK51" s="107"/>
      <c r="AL51" s="107"/>
      <c r="AM51" s="214"/>
      <c r="AN51" s="107"/>
      <c r="AO51" s="136"/>
      <c r="AP51" s="221"/>
      <c r="AV51" s="222"/>
      <c r="AW51" s="215"/>
      <c r="AX51" s="215"/>
      <c r="AY51" s="223"/>
      <c r="AZ51" s="256"/>
    </row>
    <row r="52" customFormat="false" ht="3" hidden="false" customHeight="true" outlineLevel="0" collapsed="false">
      <c r="A52" s="231"/>
      <c r="B52" s="252"/>
      <c r="C52" s="233"/>
      <c r="D52" s="233"/>
      <c r="E52" s="233"/>
      <c r="F52" s="257"/>
      <c r="G52" s="233"/>
      <c r="H52" s="243"/>
      <c r="I52" s="233"/>
      <c r="J52" s="233"/>
      <c r="K52" s="233"/>
      <c r="L52" s="233"/>
      <c r="M52" s="258"/>
      <c r="N52" s="233"/>
      <c r="O52" s="233"/>
      <c r="P52" s="238"/>
      <c r="Q52" s="233"/>
      <c r="R52" s="233"/>
      <c r="S52" s="233"/>
      <c r="T52" s="233"/>
      <c r="U52" s="239"/>
      <c r="V52" s="233"/>
      <c r="W52" s="233"/>
      <c r="X52" s="233"/>
      <c r="Y52" s="233"/>
      <c r="Z52" s="240"/>
      <c r="AA52" s="233"/>
      <c r="AB52" s="240"/>
      <c r="AC52" s="234"/>
      <c r="AD52" s="233"/>
      <c r="AE52" s="233"/>
      <c r="AF52" s="258"/>
      <c r="AG52" s="259"/>
      <c r="AH52" s="233"/>
      <c r="AI52" s="233"/>
      <c r="AJ52" s="119"/>
      <c r="AK52" s="233"/>
      <c r="AL52" s="233"/>
      <c r="AM52" s="257"/>
      <c r="AN52" s="233"/>
      <c r="AO52" s="240"/>
      <c r="AP52" s="263"/>
      <c r="AQ52" s="264"/>
      <c r="AR52" s="264"/>
      <c r="AS52" s="244"/>
      <c r="AT52" s="244"/>
      <c r="AU52" s="243"/>
      <c r="AV52" s="245"/>
      <c r="AW52" s="263"/>
      <c r="AX52" s="263"/>
      <c r="AY52" s="265"/>
      <c r="AZ52" s="262"/>
    </row>
    <row r="53" customFormat="false" ht="12.95" hidden="false" customHeight="true" outlineLevel="0" collapsed="false">
      <c r="A53" s="185" t="s">
        <v>108</v>
      </c>
      <c r="B53" s="213"/>
      <c r="C53" s="107"/>
      <c r="D53" s="107"/>
      <c r="E53" s="107"/>
      <c r="F53" s="214" t="n">
        <f aca="false">F13+F47</f>
        <v>-2137.13133350139</v>
      </c>
      <c r="G53" s="107" t="n">
        <f aca="false">G13+G47</f>
        <v>3360</v>
      </c>
      <c r="H53" s="215" t="n">
        <f aca="false">H13+H47</f>
        <v>34.11</v>
      </c>
      <c r="I53" s="107" t="n">
        <f aca="false">I13+I47</f>
        <v>3393.49</v>
      </c>
      <c r="J53" s="107" t="n">
        <f aca="false">J13+J47</f>
        <v>114.874408873204</v>
      </c>
      <c r="K53" s="107" t="n">
        <f aca="false">K13+K47</f>
        <v>3508.3644088732</v>
      </c>
      <c r="L53" s="107" t="n">
        <f aca="false">L13+L47</f>
        <v>-336.121333501387</v>
      </c>
      <c r="M53" s="216" t="n">
        <f aca="false">M13+M47</f>
        <v>310</v>
      </c>
      <c r="N53" s="107" t="n">
        <f aca="false">N13+N47</f>
        <v>0</v>
      </c>
      <c r="O53" s="107" t="n">
        <v>0</v>
      </c>
      <c r="P53" s="158"/>
      <c r="Q53" s="107" t="n">
        <f aca="false">Q13+Q47</f>
        <v>89.8255688933225</v>
      </c>
      <c r="R53" s="107" t="n">
        <f aca="false">R13+R47</f>
        <v>98.06070976</v>
      </c>
      <c r="S53" s="107" t="n">
        <f aca="false">S13+S47</f>
        <v>0</v>
      </c>
      <c r="T53" s="107" t="n">
        <f aca="false">T13+T47</f>
        <v>33.49929024</v>
      </c>
      <c r="U53" s="217" t="n">
        <f aca="false">U13+U47</f>
        <v>-0.491402382535114</v>
      </c>
      <c r="V53" s="107" t="n">
        <f aca="false">V13+V47</f>
        <v>3001</v>
      </c>
      <c r="W53" s="107" t="n">
        <f aca="false">W13+W47</f>
        <v>59.5</v>
      </c>
      <c r="X53" s="107" t="n">
        <f aca="false">X13+X47</f>
        <v>3149.60583348921</v>
      </c>
      <c r="Y53" s="107" t="n">
        <f aca="false">Y13+Y47</f>
        <v>2946.80876137068</v>
      </c>
      <c r="Z53" s="136"/>
      <c r="AA53" s="107"/>
      <c r="AB53" s="136"/>
      <c r="AC53" s="135" t="n">
        <f aca="false">AC13+AC47</f>
        <v>192.7</v>
      </c>
      <c r="AD53" s="107"/>
      <c r="AE53" s="107"/>
      <c r="AF53" s="216"/>
      <c r="AG53" s="218"/>
      <c r="AH53" s="107" t="n">
        <f aca="false">AH13+AH47</f>
        <v>1824</v>
      </c>
      <c r="AI53" s="107" t="n">
        <f aca="false">AI45</f>
        <v>3527</v>
      </c>
      <c r="AJ53" s="80" t="n">
        <f aca="false">AJ14+AJ47</f>
        <v>0</v>
      </c>
      <c r="AK53" s="107" t="n">
        <f aca="false">AK13+AK47</f>
        <v>5194.5</v>
      </c>
      <c r="AL53" s="107" t="n">
        <f aca="false">AL13+AL47</f>
        <v>450.995742374591</v>
      </c>
      <c r="AM53" s="214" t="n">
        <f aca="false">AM13+AM47</f>
        <v>5645.49574237459</v>
      </c>
      <c r="AN53" s="107" t="n">
        <f aca="false">AN13+AN47</f>
        <v>2946.8</v>
      </c>
      <c r="AO53" s="136" t="n">
        <f aca="false">AO13+AO47</f>
        <v>202.797072118535</v>
      </c>
      <c r="AP53" s="221"/>
      <c r="AV53" s="222" t="n">
        <f aca="false">AV13+AV47</f>
        <v>0.95</v>
      </c>
      <c r="AW53" s="215"/>
      <c r="AX53" s="215"/>
      <c r="AY53" s="223"/>
      <c r="AZ53" s="256" t="n">
        <f aca="false">AZ13+AZ47</f>
        <v>220.894166510787</v>
      </c>
    </row>
    <row r="54" customFormat="false" ht="12.95" hidden="false" customHeight="true" outlineLevel="0" collapsed="false">
      <c r="A54" s="185" t="s">
        <v>109</v>
      </c>
      <c r="B54" s="213"/>
      <c r="C54" s="107"/>
      <c r="D54" s="107" t="n">
        <f aca="false">D13+D48</f>
        <v>-4239</v>
      </c>
      <c r="E54" s="107" t="n">
        <f aca="false">E45</f>
        <v>137372</v>
      </c>
      <c r="F54" s="214" t="n">
        <f aca="false">F53*$D$2</f>
        <v>-4239</v>
      </c>
      <c r="G54" s="107" t="n">
        <f aca="false">G53*$D$2</f>
        <v>6664.56</v>
      </c>
      <c r="H54" s="215" t="n">
        <f aca="false">H53*$D$2</f>
        <v>67.657185</v>
      </c>
      <c r="I54" s="107" t="n">
        <f aca="false">I53*$D$2</f>
        <v>6730.987415</v>
      </c>
      <c r="J54" s="107" t="n">
        <f aca="false">J53*$D$2</f>
        <v>227.85339</v>
      </c>
      <c r="K54" s="107" t="n">
        <f aca="false">K53*$D$2</f>
        <v>6958.840805</v>
      </c>
      <c r="L54" s="107" t="n">
        <f aca="false">L53*$D$2</f>
        <v>-666.696665</v>
      </c>
      <c r="M54" s="216" t="n">
        <f aca="false">M53*$D$2</f>
        <v>614.885</v>
      </c>
      <c r="N54" s="107" t="n">
        <f aca="false">N53*$D$2</f>
        <v>0</v>
      </c>
      <c r="O54" s="107" t="n">
        <f aca="false">O53*$D$2</f>
        <v>0</v>
      </c>
      <c r="P54" s="158"/>
      <c r="Q54" s="107" t="n">
        <f aca="false">Q53*$D$2</f>
        <v>178.169015899905</v>
      </c>
      <c r="R54" s="107" t="n">
        <f aca="false">R53*$D$2</f>
        <v>194.50341780896</v>
      </c>
      <c r="S54" s="226" t="n">
        <f aca="false">S53*$D$2</f>
        <v>0</v>
      </c>
      <c r="T54" s="226" t="n">
        <f aca="false">T53*$D$2</f>
        <v>66.44584219104</v>
      </c>
      <c r="U54" s="227" t="n">
        <f aca="false">U53*$D$2</f>
        <v>-0.974696625758398</v>
      </c>
      <c r="V54" s="107" t="n">
        <f aca="false">V53*$D$2</f>
        <v>5952.4835</v>
      </c>
      <c r="W54" s="107" t="n">
        <f aca="false">W53*$D$2</f>
        <v>118.01825</v>
      </c>
      <c r="X54" s="107" t="n">
        <f aca="false">X53*$D$2</f>
        <v>6247.24317072585</v>
      </c>
      <c r="Y54" s="107" t="n">
        <f aca="false">Y53*$D$2</f>
        <v>5844.99517817874</v>
      </c>
      <c r="Z54" s="136"/>
      <c r="AA54" s="107"/>
      <c r="AB54" s="136"/>
      <c r="AC54" s="135" t="n">
        <f aca="false">AC53*$D$2</f>
        <v>382.22045</v>
      </c>
      <c r="AD54" s="107"/>
      <c r="AE54" s="107"/>
      <c r="AF54" s="266"/>
      <c r="AG54" s="267"/>
      <c r="AH54" s="107" t="n">
        <f aca="false">AH53*$D$2</f>
        <v>3617.904</v>
      </c>
      <c r="AI54" s="107" t="n">
        <f aca="false">AI53*$D$2</f>
        <v>6995.8045</v>
      </c>
      <c r="AJ54" s="80" t="n">
        <f aca="false">AJ53*$D$2</f>
        <v>0</v>
      </c>
      <c r="AK54" s="107" t="n">
        <f aca="false">AK53*$D$2</f>
        <v>10303.29075</v>
      </c>
      <c r="AL54" s="107" t="n">
        <f aca="false">AL53*$D$2</f>
        <v>894.550055</v>
      </c>
      <c r="AM54" s="268" t="n">
        <f aca="false">AM53*$D$2</f>
        <v>11197.840805</v>
      </c>
      <c r="AN54" s="107" t="n">
        <f aca="false">AN53*$D$2</f>
        <v>5844.9778</v>
      </c>
      <c r="AO54" s="136" t="n">
        <f aca="false">AO53*$D$2</f>
        <v>402.247992547115</v>
      </c>
      <c r="AP54" s="221"/>
      <c r="AV54" s="222"/>
      <c r="AW54" s="215"/>
      <c r="AX54" s="215"/>
      <c r="AY54" s="223"/>
      <c r="AZ54" s="229" t="n">
        <f aca="false">AZ53*$D$2</f>
        <v>438.143579274147</v>
      </c>
    </row>
    <row r="55" customFormat="false" ht="3" hidden="false" customHeight="true" outlineLevel="0" collapsed="false">
      <c r="A55" s="231"/>
      <c r="B55" s="252"/>
      <c r="C55" s="233"/>
      <c r="D55" s="234"/>
      <c r="E55" s="233"/>
      <c r="F55" s="235"/>
      <c r="G55" s="234"/>
      <c r="H55" s="236"/>
      <c r="I55" s="234"/>
      <c r="J55" s="234"/>
      <c r="K55" s="234"/>
      <c r="L55" s="234"/>
      <c r="M55" s="237"/>
      <c r="N55" s="234"/>
      <c r="O55" s="234"/>
      <c r="P55" s="238"/>
      <c r="Q55" s="234"/>
      <c r="R55" s="234"/>
      <c r="S55" s="234"/>
      <c r="T55" s="234"/>
      <c r="U55" s="239"/>
      <c r="V55" s="234"/>
      <c r="W55" s="234"/>
      <c r="X55" s="234"/>
      <c r="Y55" s="234"/>
      <c r="Z55" s="240"/>
      <c r="AA55" s="234"/>
      <c r="AB55" s="240"/>
      <c r="AC55" s="240"/>
      <c r="AD55" s="233"/>
      <c r="AE55" s="234"/>
      <c r="AF55" s="237"/>
      <c r="AG55" s="241"/>
      <c r="AH55" s="234"/>
      <c r="AI55" s="233"/>
      <c r="AJ55" s="233"/>
      <c r="AK55" s="234"/>
      <c r="AL55" s="234"/>
      <c r="AM55" s="234"/>
      <c r="AN55" s="252"/>
      <c r="AO55" s="240"/>
      <c r="AP55" s="234"/>
      <c r="AQ55" s="269"/>
      <c r="AR55" s="269"/>
      <c r="AS55" s="244"/>
      <c r="AT55" s="244"/>
      <c r="AU55" s="243"/>
      <c r="AV55" s="252"/>
      <c r="AW55" s="234"/>
      <c r="AX55" s="234"/>
      <c r="AY55" s="234"/>
      <c r="AZ55" s="270"/>
    </row>
    <row r="56" customFormat="false" ht="11.1" hidden="false" customHeight="true" outlineLevel="0" collapsed="false">
      <c r="A56" s="185"/>
      <c r="B56" s="271"/>
      <c r="D56" s="185"/>
      <c r="F56" s="185"/>
      <c r="G56" s="185"/>
      <c r="I56" s="185"/>
      <c r="J56" s="185"/>
      <c r="K56" s="185"/>
      <c r="L56" s="185"/>
      <c r="M56" s="185"/>
      <c r="N56" s="185"/>
      <c r="O56" s="185"/>
      <c r="Q56" s="185"/>
      <c r="R56" s="185"/>
      <c r="S56" s="185"/>
      <c r="T56" s="185"/>
      <c r="V56" s="185"/>
      <c r="W56" s="185"/>
      <c r="X56" s="185"/>
      <c r="Y56" s="185"/>
      <c r="AA56" s="185"/>
      <c r="AD56" s="177"/>
      <c r="AE56" s="185"/>
      <c r="AF56" s="185"/>
      <c r="AG56" s="185"/>
      <c r="AH56" s="185"/>
      <c r="AI56" s="177"/>
      <c r="AJ56" s="225"/>
      <c r="AK56" s="185"/>
      <c r="AL56" s="185"/>
      <c r="AM56" s="185"/>
      <c r="AN56" s="183"/>
      <c r="AO56" s="194"/>
      <c r="AX56" s="182"/>
      <c r="AY56" s="182"/>
    </row>
    <row r="57" customFormat="false" ht="11.1" hidden="false" customHeight="true" outlineLevel="0" collapsed="false">
      <c r="A57" s="185"/>
      <c r="B57" s="272"/>
      <c r="F57" s="185"/>
      <c r="G57" s="185"/>
      <c r="I57" s="186"/>
      <c r="J57" s="185"/>
      <c r="K57" s="174"/>
      <c r="L57" s="185"/>
      <c r="M57" s="185"/>
      <c r="N57" s="185"/>
      <c r="O57" s="185"/>
      <c r="Q57" s="185"/>
      <c r="R57" s="185"/>
      <c r="S57" s="185"/>
      <c r="T57" s="185"/>
      <c r="V57" s="185"/>
      <c r="W57" s="185"/>
      <c r="X57" s="185"/>
      <c r="Y57" s="185"/>
      <c r="AA57" s="185"/>
      <c r="AD57" s="177"/>
      <c r="AE57" s="185"/>
      <c r="AF57" s="185"/>
      <c r="AG57" s="185"/>
      <c r="AH57" s="185"/>
      <c r="AI57" s="177"/>
      <c r="AJ57" s="225"/>
      <c r="AK57" s="185"/>
      <c r="AL57" s="185"/>
      <c r="AM57" s="185"/>
      <c r="AN57" s="183"/>
      <c r="AO57" s="194"/>
      <c r="AX57" s="182"/>
      <c r="AY57" s="182"/>
    </row>
    <row r="58" customFormat="false" ht="11.1" hidden="false" customHeight="true" outlineLevel="0" collapsed="false">
      <c r="D58" s="177"/>
      <c r="Q58" s="179"/>
      <c r="R58" s="179"/>
      <c r="S58" s="179"/>
      <c r="T58" s="179"/>
      <c r="X58" s="176"/>
      <c r="Y58" s="176"/>
      <c r="AA58" s="176"/>
      <c r="AD58" s="177"/>
      <c r="AH58" s="176"/>
      <c r="AI58" s="177"/>
      <c r="AJ58" s="225"/>
      <c r="AM58" s="176"/>
      <c r="AN58" s="183"/>
      <c r="AO58" s="194"/>
      <c r="AX58" s="182"/>
      <c r="AY58" s="182"/>
    </row>
    <row r="59" customFormat="false" ht="11.1" hidden="false" customHeight="true" outlineLevel="0" collapsed="false">
      <c r="B59" s="8"/>
      <c r="D59" s="177"/>
    </row>
    <row r="60" customFormat="false" ht="11.1" hidden="false" customHeight="true" outlineLevel="0" collapsed="false">
      <c r="G60" s="273"/>
    </row>
  </sheetData>
  <mergeCells count="1">
    <mergeCell ref="M5:U5"/>
  </mergeCells>
  <printOptions headings="true" gridLines="true" gridLinesSet="true" horizontalCentered="false" verticalCentered="true"/>
  <pageMargins left="0.25" right="0.25" top="0.5" bottom="0" header="0.5" footer="0.511811023622047"/>
  <pageSetup paperSize="3" scale="90" fitToWidth="1" fitToHeight="1" pageOrder="downThenOver" orientation="landscape" blackAndWhite="false" draft="false" cellComments="atEnd" horizontalDpi="300" verticalDpi="300" copies="1"/>
  <headerFooter differentFirst="false" differentOddEven="false">
    <oddHeader>&amp;C2012 Approved</oddHeader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L31" activePane="bottomRight" state="frozen"/>
      <selection pane="topLeft" activeCell="A1" activeCellId="0" sqref="A1"/>
      <selection pane="topRight" activeCell="L1" activeCellId="0" sqref="L1"/>
      <selection pane="bottomLeft" activeCell="A31" activeCellId="0" sqref="A31"/>
      <selection pane="bottomRight" activeCell="AG44" activeCellId="0" sqref="AG44"/>
    </sheetView>
  </sheetViews>
  <sheetFormatPr defaultColWidth="9.328125" defaultRowHeight="11.1" zeroHeight="false" outlineLevelRow="0" outlineLevelCol="0"/>
  <cols>
    <col collapsed="false" customWidth="true" hidden="false" outlineLevel="0" max="1" min="1" style="176" width="4.66"/>
    <col collapsed="false" customWidth="true" hidden="false" outlineLevel="0" max="2" min="2" style="176" width="6.99"/>
    <col collapsed="false" customWidth="true" hidden="false" outlineLevel="0" max="3" min="3" style="177" width="6.32"/>
    <col collapsed="false" customWidth="true" hidden="false" outlineLevel="0" max="4" min="4" style="176" width="6.32"/>
    <col collapsed="false" customWidth="true" hidden="false" outlineLevel="0" max="5" min="5" style="177" width="6.99"/>
    <col collapsed="false" customWidth="true" hidden="false" outlineLevel="0" max="6" min="6" style="176" width="7.32"/>
    <col collapsed="false" customWidth="true" hidden="false" outlineLevel="0" max="7" min="7" style="176" width="6.82"/>
    <col collapsed="false" customWidth="true" hidden="false" outlineLevel="0" max="8" min="8" style="178" width="5.66"/>
    <col collapsed="false" customWidth="true" hidden="false" outlineLevel="0" max="11" min="9" style="176" width="6.32"/>
    <col collapsed="false" customWidth="true" hidden="false" outlineLevel="0" max="12" min="12" style="176" width="6.82"/>
    <col collapsed="false" customWidth="true" hidden="false" outlineLevel="0" max="13" min="13" style="179" width="5.49"/>
    <col collapsed="false" customWidth="true" hidden="false" outlineLevel="0" max="14" min="14" style="179" width="4.49"/>
    <col collapsed="false" customWidth="true" hidden="false" outlineLevel="0" max="15" min="15" style="179" width="5.49"/>
    <col collapsed="false" customWidth="true" hidden="false" outlineLevel="0" max="16" min="16" style="8" width="4.82"/>
    <col collapsed="false" customWidth="true" hidden="false" outlineLevel="0" max="20" min="17" style="176" width="4.32"/>
    <col collapsed="false" customWidth="true" hidden="false" outlineLevel="0" max="21" min="21" style="8" width="5.16"/>
    <col collapsed="false" customWidth="true" hidden="false" outlineLevel="0" max="23" min="22" style="176" width="5.49"/>
    <col collapsed="false" customWidth="true" hidden="false" outlineLevel="0" max="27" min="24" style="177" width="6.32"/>
    <col collapsed="false" customWidth="true" hidden="false" outlineLevel="0" max="28" min="28" style="179" width="5.49"/>
    <col collapsed="false" customWidth="true" hidden="false" outlineLevel="0" max="29" min="29" style="179" width="5.82"/>
    <col collapsed="false" customWidth="true" hidden="false" outlineLevel="0" max="33" min="30" style="176" width="5.49"/>
    <col collapsed="false" customWidth="true" hidden="false" outlineLevel="0" max="34" min="34" style="177" width="6.32"/>
    <col collapsed="false" customWidth="true" hidden="false" outlineLevel="0" max="35" min="35" style="176" width="5.49"/>
    <col collapsed="false" customWidth="true" hidden="false" outlineLevel="0" max="36" min="36" style="180" width="6.32"/>
    <col collapsed="false" customWidth="true" hidden="false" outlineLevel="0" max="37" min="37" style="176" width="6.32"/>
    <col collapsed="false" customWidth="true" hidden="false" outlineLevel="0" max="38" min="38" style="176" width="6.82"/>
    <col collapsed="false" customWidth="true" hidden="false" outlineLevel="0" max="39" min="39" style="8" width="6.82"/>
    <col collapsed="false" customWidth="true" hidden="false" outlineLevel="0" max="40" min="40" style="176" width="5.49"/>
    <col collapsed="false" customWidth="true" hidden="false" outlineLevel="0" max="41" min="41" style="179" width="5.49"/>
    <col collapsed="false" customWidth="true" hidden="false" outlineLevel="0" max="42" min="42" style="176" width="6.32"/>
    <col collapsed="false" customWidth="true" hidden="false" outlineLevel="0" max="43" min="43" style="181" width="6.32"/>
    <col collapsed="false" customWidth="true" hidden="false" outlineLevel="0" max="44" min="44" style="181" width="5.49"/>
    <col collapsed="false" customWidth="true" hidden="false" outlineLevel="0" max="45" min="45" style="181" width="5.32"/>
    <col collapsed="false" customWidth="true" hidden="false" outlineLevel="0" max="46" min="46" style="181" width="5.82"/>
    <col collapsed="false" customWidth="true" hidden="false" outlineLevel="0" max="47" min="47" style="176" width="4.99"/>
    <col collapsed="false" customWidth="true" hidden="false" outlineLevel="0" max="48" min="48" style="178" width="5.32"/>
    <col collapsed="false" customWidth="true" hidden="false" outlineLevel="0" max="49" min="49" style="182" width="3.82"/>
    <col collapsed="false" customWidth="true" hidden="false" outlineLevel="0" max="51" min="50" style="183" width="3.82"/>
    <col collapsed="false" customWidth="true" hidden="false" outlineLevel="0" max="52" min="52" style="180" width="5.49"/>
    <col collapsed="false" customWidth="false" hidden="false" outlineLevel="0" max="257" min="53" style="184" width="9.32"/>
  </cols>
  <sheetData>
    <row r="1" customFormat="false" ht="14.1" hidden="false" customHeight="true" outlineLevel="0" collapsed="false">
      <c r="A1" s="185"/>
      <c r="B1" s="185"/>
      <c r="D1" s="185"/>
      <c r="F1" s="185"/>
      <c r="G1" s="185"/>
      <c r="H1" s="186"/>
      <c r="I1" s="185"/>
      <c r="J1" s="185"/>
      <c r="K1" s="187" t="s">
        <v>0</v>
      </c>
      <c r="L1" s="185"/>
      <c r="M1" s="185"/>
      <c r="N1" s="185"/>
      <c r="O1" s="185"/>
      <c r="Q1" s="185"/>
      <c r="R1" s="185"/>
      <c r="S1" s="185"/>
      <c r="T1" s="185"/>
      <c r="V1" s="185"/>
      <c r="W1" s="185"/>
      <c r="AD1" s="185"/>
      <c r="AE1" s="185"/>
      <c r="AF1" s="185"/>
      <c r="AG1" s="185"/>
      <c r="AI1" s="185"/>
      <c r="AJ1" s="188"/>
      <c r="AK1" s="185"/>
      <c r="AL1" s="185"/>
    </row>
    <row r="2" customFormat="false" ht="14.1" hidden="false" customHeight="true" outlineLevel="0" collapsed="false">
      <c r="A2" s="188" t="s">
        <v>1</v>
      </c>
      <c r="B2" s="185"/>
      <c r="D2" s="189" t="n">
        <v>1.9835</v>
      </c>
      <c r="F2" s="185"/>
      <c r="G2" s="185"/>
      <c r="H2" s="186"/>
      <c r="I2" s="185"/>
      <c r="J2" s="185"/>
      <c r="K2" s="190" t="s">
        <v>115</v>
      </c>
      <c r="L2" s="191"/>
      <c r="M2" s="192"/>
      <c r="N2" s="192"/>
      <c r="O2" s="192"/>
      <c r="P2" s="193"/>
      <c r="Q2" s="192"/>
      <c r="R2" s="192"/>
      <c r="S2" s="192"/>
      <c r="T2" s="192"/>
      <c r="U2" s="193"/>
      <c r="V2" s="192"/>
      <c r="W2" s="192"/>
      <c r="X2" s="84"/>
      <c r="Y2" s="84"/>
      <c r="Z2" s="84"/>
      <c r="AA2" s="84"/>
      <c r="AB2" s="194"/>
      <c r="AC2" s="194"/>
      <c r="AD2" s="192"/>
      <c r="AE2" s="185"/>
      <c r="AF2" s="185"/>
      <c r="AG2" s="185"/>
      <c r="AI2" s="185"/>
      <c r="AJ2" s="188"/>
      <c r="AK2" s="185"/>
      <c r="AL2" s="185"/>
    </row>
    <row r="3" customFormat="false" ht="14.1" hidden="false" customHeight="true" outlineLevel="0" collapsed="false">
      <c r="A3" s="195"/>
      <c r="B3" s="195"/>
      <c r="C3" s="196"/>
      <c r="D3" s="197"/>
      <c r="E3" s="196"/>
      <c r="F3" s="195"/>
      <c r="G3" s="195"/>
      <c r="H3" s="198"/>
      <c r="I3" s="195"/>
      <c r="J3" s="195"/>
      <c r="K3" s="195"/>
      <c r="L3" s="195"/>
      <c r="M3" s="195"/>
      <c r="N3" s="195"/>
      <c r="O3" s="195"/>
      <c r="P3" s="199"/>
      <c r="Q3" s="195"/>
      <c r="R3" s="195"/>
      <c r="S3" s="195"/>
      <c r="T3" s="195"/>
      <c r="U3" s="199"/>
      <c r="V3" s="195"/>
      <c r="W3" s="195"/>
      <c r="X3" s="196"/>
      <c r="Y3" s="196"/>
      <c r="Z3" s="196"/>
      <c r="AA3" s="196"/>
      <c r="AB3" s="200"/>
      <c r="AC3" s="200"/>
      <c r="AD3" s="195"/>
      <c r="AE3" s="195"/>
      <c r="AF3" s="195"/>
      <c r="AG3" s="195"/>
      <c r="AH3" s="196"/>
      <c r="AI3" s="195"/>
      <c r="AJ3" s="201"/>
      <c r="AK3" s="195"/>
      <c r="AL3" s="195"/>
      <c r="AM3" s="199"/>
      <c r="AN3" s="202"/>
      <c r="AO3" s="200"/>
      <c r="AP3" s="202"/>
      <c r="AQ3" s="203"/>
      <c r="AV3" s="204"/>
      <c r="AW3" s="205"/>
      <c r="AX3" s="206"/>
    </row>
    <row r="4" s="1" customFormat="true" ht="14.1" hidden="false" customHeight="true" outlineLevel="0" collapsed="false">
      <c r="A4" s="31"/>
      <c r="B4" s="32"/>
      <c r="C4" s="33"/>
      <c r="D4" s="34" t="s">
        <v>3</v>
      </c>
      <c r="E4" s="33"/>
      <c r="F4" s="31"/>
      <c r="G4" s="35"/>
      <c r="H4" s="35"/>
      <c r="I4" s="36" t="s">
        <v>111</v>
      </c>
      <c r="J4" s="35"/>
      <c r="K4" s="35"/>
      <c r="L4" s="37"/>
      <c r="M4" s="35"/>
      <c r="N4" s="35"/>
      <c r="O4" s="35"/>
      <c r="P4" s="38"/>
      <c r="Q4" s="35"/>
      <c r="R4" s="35"/>
      <c r="S4" s="35"/>
      <c r="T4" s="35"/>
      <c r="U4" s="38"/>
      <c r="V4" s="35"/>
      <c r="W4" s="35"/>
      <c r="X4" s="39" t="s">
        <v>5</v>
      </c>
      <c r="Y4" s="39"/>
      <c r="Z4" s="39"/>
      <c r="AA4" s="39"/>
      <c r="AB4" s="40"/>
      <c r="AC4" s="40"/>
      <c r="AD4" s="41"/>
      <c r="AE4" s="35"/>
      <c r="AF4" s="35"/>
      <c r="AG4" s="35"/>
      <c r="AH4" s="33"/>
      <c r="AI4" s="35"/>
      <c r="AJ4" s="42"/>
      <c r="AK4" s="35"/>
      <c r="AL4" s="35"/>
      <c r="AM4" s="38"/>
      <c r="AN4" s="43"/>
      <c r="AO4" s="44"/>
      <c r="AP4" s="45" t="s">
        <v>6</v>
      </c>
      <c r="AQ4" s="46"/>
      <c r="AR4" s="47"/>
      <c r="AS4" s="48"/>
      <c r="AT4" s="49"/>
      <c r="AU4" s="49"/>
      <c r="AV4" s="51"/>
      <c r="AW4" s="52" t="s">
        <v>7</v>
      </c>
      <c r="AX4" s="53"/>
      <c r="AY4" s="207"/>
      <c r="AZ4" s="208"/>
    </row>
    <row r="5" customFormat="false" ht="12.95" hidden="false" customHeight="true" outlineLevel="0" collapsed="false">
      <c r="A5" s="55" t="s">
        <v>8</v>
      </c>
      <c r="B5" s="56" t="s">
        <v>9</v>
      </c>
      <c r="C5" s="57" t="s">
        <v>9</v>
      </c>
      <c r="D5" s="58" t="s">
        <v>10</v>
      </c>
      <c r="E5" s="57" t="s">
        <v>11</v>
      </c>
      <c r="F5" s="59" t="s">
        <v>12</v>
      </c>
      <c r="G5" s="55" t="s">
        <v>13</v>
      </c>
      <c r="H5" s="55" t="s">
        <v>14</v>
      </c>
      <c r="I5" s="55" t="s">
        <v>15</v>
      </c>
      <c r="J5" s="55" t="s">
        <v>16</v>
      </c>
      <c r="K5" s="55" t="s">
        <v>17</v>
      </c>
      <c r="L5" s="77" t="s">
        <v>16</v>
      </c>
      <c r="M5" s="209" t="s">
        <v>18</v>
      </c>
      <c r="N5" s="209"/>
      <c r="O5" s="209"/>
      <c r="P5" s="209"/>
      <c r="Q5" s="209"/>
      <c r="R5" s="209"/>
      <c r="S5" s="209"/>
      <c r="T5" s="209"/>
      <c r="U5" s="209"/>
      <c r="V5" s="55" t="s">
        <v>19</v>
      </c>
      <c r="W5" s="55" t="s">
        <v>20</v>
      </c>
      <c r="X5" s="55" t="s">
        <v>17</v>
      </c>
      <c r="Y5" s="55" t="s">
        <v>17</v>
      </c>
      <c r="Z5" s="61" t="s">
        <v>21</v>
      </c>
      <c r="AA5" s="55" t="s">
        <v>21</v>
      </c>
      <c r="AB5" s="61" t="s">
        <v>21</v>
      </c>
      <c r="AC5" s="61" t="s">
        <v>22</v>
      </c>
      <c r="AD5" s="62" t="s">
        <v>21</v>
      </c>
      <c r="AE5" s="55" t="s">
        <v>23</v>
      </c>
      <c r="AF5" s="63" t="s">
        <v>24</v>
      </c>
      <c r="AG5" s="64"/>
      <c r="AH5" s="55" t="s">
        <v>25</v>
      </c>
      <c r="AI5" s="65" t="s">
        <v>26</v>
      </c>
      <c r="AJ5" s="65" t="s">
        <v>27</v>
      </c>
      <c r="AK5" s="55" t="s">
        <v>15</v>
      </c>
      <c r="AL5" s="55" t="s">
        <v>16</v>
      </c>
      <c r="AM5" s="58" t="s">
        <v>17</v>
      </c>
      <c r="AN5" s="66" t="s">
        <v>28</v>
      </c>
      <c r="AO5" s="62" t="s">
        <v>21</v>
      </c>
      <c r="AP5" s="61" t="s">
        <v>29</v>
      </c>
      <c r="AQ5" s="67" t="s">
        <v>29</v>
      </c>
      <c r="AR5" s="62" t="s">
        <v>30</v>
      </c>
      <c r="AS5" s="68" t="s">
        <v>31</v>
      </c>
      <c r="AT5" s="68" t="s">
        <v>32</v>
      </c>
      <c r="AU5" s="210" t="s">
        <v>33</v>
      </c>
      <c r="AV5" s="70" t="s">
        <v>34</v>
      </c>
      <c r="AW5" s="71" t="s">
        <v>35</v>
      </c>
      <c r="AX5" s="71" t="s">
        <v>36</v>
      </c>
      <c r="AY5" s="211"/>
      <c r="AZ5" s="212" t="s">
        <v>17</v>
      </c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</row>
    <row r="6" customFormat="false" ht="12.95" hidden="false" customHeight="true" outlineLevel="0" collapsed="false">
      <c r="A6" s="73" t="s">
        <v>112</v>
      </c>
      <c r="B6" s="56" t="s">
        <v>38</v>
      </c>
      <c r="C6" s="57"/>
      <c r="D6" s="58" t="s">
        <v>39</v>
      </c>
      <c r="E6" s="57" t="s">
        <v>40</v>
      </c>
      <c r="F6" s="59" t="s">
        <v>41</v>
      </c>
      <c r="G6" s="55" t="s">
        <v>42</v>
      </c>
      <c r="H6" s="55" t="s">
        <v>43</v>
      </c>
      <c r="I6" s="55" t="s">
        <v>44</v>
      </c>
      <c r="J6" s="55" t="s">
        <v>44</v>
      </c>
      <c r="K6" s="55" t="s">
        <v>44</v>
      </c>
      <c r="L6" s="77" t="s">
        <v>45</v>
      </c>
      <c r="M6" s="58" t="s">
        <v>46</v>
      </c>
      <c r="N6" s="58" t="s">
        <v>47</v>
      </c>
      <c r="O6" s="58" t="s">
        <v>48</v>
      </c>
      <c r="P6" s="75" t="s">
        <v>49</v>
      </c>
      <c r="Q6" s="58" t="s">
        <v>50</v>
      </c>
      <c r="R6" s="58" t="s">
        <v>51</v>
      </c>
      <c r="S6" s="58"/>
      <c r="T6" s="58" t="s">
        <v>48</v>
      </c>
      <c r="U6" s="76" t="s">
        <v>52</v>
      </c>
      <c r="V6" s="55" t="s">
        <v>53</v>
      </c>
      <c r="W6" s="55" t="s">
        <v>54</v>
      </c>
      <c r="X6" s="55" t="s">
        <v>21</v>
      </c>
      <c r="Y6" s="55" t="s">
        <v>21</v>
      </c>
      <c r="Z6" s="61" t="s">
        <v>55</v>
      </c>
      <c r="AA6" s="55" t="s">
        <v>55</v>
      </c>
      <c r="AB6" s="61" t="s">
        <v>56</v>
      </c>
      <c r="AC6" s="61" t="s">
        <v>57</v>
      </c>
      <c r="AD6" s="62" t="s">
        <v>58</v>
      </c>
      <c r="AE6" s="55" t="s">
        <v>59</v>
      </c>
      <c r="AF6" s="74" t="s">
        <v>60</v>
      </c>
      <c r="AG6" s="77" t="s">
        <v>61</v>
      </c>
      <c r="AH6" s="55" t="s">
        <v>62</v>
      </c>
      <c r="AI6" s="65" t="s">
        <v>63</v>
      </c>
      <c r="AJ6" s="65"/>
      <c r="AK6" s="55" t="s">
        <v>64</v>
      </c>
      <c r="AL6" s="55" t="s">
        <v>64</v>
      </c>
      <c r="AM6" s="58" t="s">
        <v>64</v>
      </c>
      <c r="AN6" s="66" t="s">
        <v>65</v>
      </c>
      <c r="AO6" s="62" t="s">
        <v>66</v>
      </c>
      <c r="AP6" s="61" t="s">
        <v>67</v>
      </c>
      <c r="AQ6" s="67" t="s">
        <v>67</v>
      </c>
      <c r="AR6" s="62" t="s">
        <v>68</v>
      </c>
      <c r="AS6" s="68" t="s">
        <v>69</v>
      </c>
      <c r="AT6" s="68" t="s">
        <v>70</v>
      </c>
      <c r="AU6" s="210" t="s">
        <v>71</v>
      </c>
      <c r="AV6" s="78"/>
      <c r="AW6" s="71" t="s">
        <v>72</v>
      </c>
      <c r="AX6" s="71" t="s">
        <v>72</v>
      </c>
      <c r="AY6" s="211"/>
      <c r="AZ6" s="212" t="s">
        <v>73</v>
      </c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</row>
    <row r="7" customFormat="false" ht="12.95" hidden="false" customHeight="true" outlineLevel="0" collapsed="false">
      <c r="A7" s="55"/>
      <c r="B7" s="56"/>
      <c r="C7" s="57"/>
      <c r="D7" s="58"/>
      <c r="E7" s="57"/>
      <c r="F7" s="59"/>
      <c r="G7" s="55"/>
      <c r="H7" s="55"/>
      <c r="I7" s="55"/>
      <c r="J7" s="55"/>
      <c r="K7" s="55"/>
      <c r="L7" s="77"/>
      <c r="M7" s="58"/>
      <c r="N7" s="58" t="s">
        <v>74</v>
      </c>
      <c r="O7" s="58" t="s">
        <v>75</v>
      </c>
      <c r="P7" s="75"/>
      <c r="Q7" s="58" t="s">
        <v>76</v>
      </c>
      <c r="R7" s="58" t="s">
        <v>76</v>
      </c>
      <c r="S7" s="58" t="s">
        <v>61</v>
      </c>
      <c r="T7" s="58" t="s">
        <v>61</v>
      </c>
      <c r="U7" s="76" t="s">
        <v>77</v>
      </c>
      <c r="V7" s="55"/>
      <c r="W7" s="55"/>
      <c r="X7" s="65" t="s">
        <v>78</v>
      </c>
      <c r="Y7" s="57" t="s">
        <v>79</v>
      </c>
      <c r="Z7" s="61" t="s">
        <v>80</v>
      </c>
      <c r="AA7" s="55" t="s">
        <v>81</v>
      </c>
      <c r="AB7" s="61" t="s">
        <v>82</v>
      </c>
      <c r="AC7" s="61"/>
      <c r="AD7" s="62"/>
      <c r="AE7" s="77"/>
      <c r="AF7" s="79" t="n">
        <v>1.7</v>
      </c>
      <c r="AG7" s="79" t="n">
        <v>1.3</v>
      </c>
      <c r="AH7" s="74"/>
      <c r="AI7" s="80"/>
      <c r="AJ7" s="65"/>
      <c r="AK7" s="55"/>
      <c r="AL7" s="55"/>
      <c r="AM7" s="58"/>
      <c r="AN7" s="66"/>
      <c r="AO7" s="62"/>
      <c r="AP7" s="61" t="s">
        <v>83</v>
      </c>
      <c r="AQ7" s="67" t="s">
        <v>84</v>
      </c>
      <c r="AR7" s="62" t="s">
        <v>85</v>
      </c>
      <c r="AS7" s="68" t="s">
        <v>86</v>
      </c>
      <c r="AT7" s="68" t="s">
        <v>87</v>
      </c>
      <c r="AU7" s="210" t="s">
        <v>88</v>
      </c>
      <c r="AV7" s="78"/>
      <c r="AW7" s="71"/>
      <c r="AX7" s="71"/>
      <c r="AY7" s="211"/>
      <c r="AZ7" s="212" t="s">
        <v>89</v>
      </c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</row>
    <row r="8" customFormat="false" ht="12.95" hidden="false" customHeight="true" outlineLevel="0" collapsed="false">
      <c r="A8" s="55"/>
      <c r="B8" s="56"/>
      <c r="C8" s="57"/>
      <c r="D8" s="58"/>
      <c r="E8" s="57"/>
      <c r="F8" s="59"/>
      <c r="G8" s="55"/>
      <c r="H8" s="55"/>
      <c r="I8" s="55"/>
      <c r="J8" s="55"/>
      <c r="K8" s="55"/>
      <c r="L8" s="77"/>
      <c r="M8" s="58"/>
      <c r="N8" s="58"/>
      <c r="O8" s="58"/>
      <c r="P8" s="75"/>
      <c r="Q8" s="58" t="s">
        <v>61</v>
      </c>
      <c r="R8" s="58" t="s">
        <v>61</v>
      </c>
      <c r="S8" s="58"/>
      <c r="T8" s="58"/>
      <c r="U8" s="76"/>
      <c r="V8" s="55"/>
      <c r="W8" s="55"/>
      <c r="X8" s="65" t="s">
        <v>90</v>
      </c>
      <c r="Y8" s="57" t="s">
        <v>78</v>
      </c>
      <c r="Z8" s="61"/>
      <c r="AA8" s="57" t="s">
        <v>91</v>
      </c>
      <c r="AB8" s="61" t="s">
        <v>92</v>
      </c>
      <c r="AC8" s="61"/>
      <c r="AD8" s="62"/>
      <c r="AE8" s="77"/>
      <c r="AF8" s="79"/>
      <c r="AG8" s="79"/>
      <c r="AH8" s="74"/>
      <c r="AI8" s="80"/>
      <c r="AJ8" s="65"/>
      <c r="AK8" s="55"/>
      <c r="AL8" s="55"/>
      <c r="AM8" s="58"/>
      <c r="AN8" s="66"/>
      <c r="AO8" s="62"/>
      <c r="AP8" s="61"/>
      <c r="AQ8" s="67"/>
      <c r="AR8" s="62"/>
      <c r="AS8" s="68"/>
      <c r="AT8" s="68"/>
      <c r="AU8" s="210"/>
      <c r="AV8" s="78"/>
      <c r="AW8" s="71"/>
      <c r="AX8" s="71"/>
      <c r="AY8" s="211"/>
      <c r="AZ8" s="212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</row>
    <row r="9" customFormat="false" ht="12.95" hidden="false" customHeight="true" outlineLevel="0" collapsed="false">
      <c r="A9" s="55"/>
      <c r="B9" s="56"/>
      <c r="C9" s="57"/>
      <c r="D9" s="58"/>
      <c r="E9" s="57"/>
      <c r="F9" s="59"/>
      <c r="G9" s="55"/>
      <c r="H9" s="55"/>
      <c r="I9" s="55"/>
      <c r="J9" s="55"/>
      <c r="K9" s="55"/>
      <c r="L9" s="77"/>
      <c r="M9" s="58"/>
      <c r="N9" s="58"/>
      <c r="O9" s="58"/>
      <c r="P9" s="75"/>
      <c r="Q9" s="58"/>
      <c r="R9" s="81" t="n">
        <v>4.2</v>
      </c>
      <c r="S9" s="58"/>
      <c r="T9" s="58"/>
      <c r="U9" s="76"/>
      <c r="V9" s="55"/>
      <c r="W9" s="55"/>
      <c r="X9" s="65"/>
      <c r="Y9" s="57" t="s">
        <v>90</v>
      </c>
      <c r="Z9" s="61"/>
      <c r="AA9" s="57" t="s">
        <v>90</v>
      </c>
      <c r="AB9" s="61" t="s">
        <v>93</v>
      </c>
      <c r="AC9" s="61"/>
      <c r="AD9" s="62"/>
      <c r="AE9" s="77"/>
      <c r="AF9" s="79"/>
      <c r="AG9" s="79"/>
      <c r="AH9" s="74"/>
      <c r="AI9" s="80"/>
      <c r="AJ9" s="65"/>
      <c r="AK9" s="55"/>
      <c r="AL9" s="55"/>
      <c r="AM9" s="58"/>
      <c r="AN9" s="66"/>
      <c r="AO9" s="62"/>
      <c r="AP9" s="61"/>
      <c r="AQ9" s="67"/>
      <c r="AR9" s="62"/>
      <c r="AS9" s="68"/>
      <c r="AT9" s="68"/>
      <c r="AU9" s="210"/>
      <c r="AV9" s="78"/>
      <c r="AW9" s="71"/>
      <c r="AX9" s="71"/>
      <c r="AY9" s="211"/>
      <c r="AZ9" s="212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</row>
    <row r="10" customFormat="false" ht="12.95" hidden="false" customHeight="true" outlineLevel="0" collapsed="false">
      <c r="A10" s="55"/>
      <c r="B10" s="56"/>
      <c r="C10" s="57" t="s">
        <v>94</v>
      </c>
      <c r="D10" s="58"/>
      <c r="E10" s="57" t="s">
        <v>95</v>
      </c>
      <c r="F10" s="59"/>
      <c r="G10" s="58" t="s">
        <v>41</v>
      </c>
      <c r="H10" s="58" t="s">
        <v>41</v>
      </c>
      <c r="I10" s="58" t="s">
        <v>41</v>
      </c>
      <c r="J10" s="58" t="s">
        <v>41</v>
      </c>
      <c r="K10" s="58" t="s">
        <v>41</v>
      </c>
      <c r="L10" s="77" t="s">
        <v>41</v>
      </c>
      <c r="M10" s="58" t="s">
        <v>41</v>
      </c>
      <c r="N10" s="58" t="s">
        <v>41</v>
      </c>
      <c r="O10" s="58" t="s">
        <v>41</v>
      </c>
      <c r="P10" s="58" t="s">
        <v>41</v>
      </c>
      <c r="Q10" s="58" t="s">
        <v>41</v>
      </c>
      <c r="R10" s="58" t="s">
        <v>41</v>
      </c>
      <c r="S10" s="58" t="s">
        <v>41</v>
      </c>
      <c r="T10" s="58" t="s">
        <v>41</v>
      </c>
      <c r="U10" s="77" t="s">
        <v>41</v>
      </c>
      <c r="V10" s="58" t="s">
        <v>41</v>
      </c>
      <c r="W10" s="58" t="s">
        <v>41</v>
      </c>
      <c r="X10" s="57" t="n">
        <v>153400</v>
      </c>
      <c r="Y10" s="57" t="n">
        <v>150400</v>
      </c>
      <c r="Z10" s="58"/>
      <c r="AA10" s="57"/>
      <c r="AB10" s="57" t="n">
        <v>72000</v>
      </c>
      <c r="AC10" s="58" t="s">
        <v>41</v>
      </c>
      <c r="AD10" s="58" t="s">
        <v>41</v>
      </c>
      <c r="AE10" s="77" t="s">
        <v>41</v>
      </c>
      <c r="AF10" s="58" t="s">
        <v>41</v>
      </c>
      <c r="AG10" s="58" t="s">
        <v>41</v>
      </c>
      <c r="AH10" s="74" t="s">
        <v>41</v>
      </c>
      <c r="AI10" s="58" t="s">
        <v>41</v>
      </c>
      <c r="AJ10" s="58" t="s">
        <v>41</v>
      </c>
      <c r="AK10" s="58" t="s">
        <v>41</v>
      </c>
      <c r="AL10" s="58" t="s">
        <v>41</v>
      </c>
      <c r="AM10" s="58" t="s">
        <v>41</v>
      </c>
      <c r="AN10" s="62" t="s">
        <v>41</v>
      </c>
      <c r="AO10" s="62" t="s">
        <v>41</v>
      </c>
      <c r="AP10" s="62" t="s">
        <v>41</v>
      </c>
      <c r="AQ10" s="67" t="s">
        <v>96</v>
      </c>
      <c r="AR10" s="62" t="s">
        <v>41</v>
      </c>
      <c r="AS10" s="62" t="s">
        <v>41</v>
      </c>
      <c r="AT10" s="62" t="s">
        <v>41</v>
      </c>
      <c r="AU10" s="62" t="s">
        <v>41</v>
      </c>
      <c r="AV10" s="78"/>
      <c r="AW10" s="71"/>
      <c r="AX10" s="71"/>
      <c r="AY10" s="211"/>
      <c r="AZ10" s="212" t="s">
        <v>97</v>
      </c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2.95" hidden="false" customHeight="true" outlineLevel="0" collapsed="false">
      <c r="A11" s="55"/>
      <c r="B11" s="56"/>
      <c r="C11" s="57"/>
      <c r="D11" s="58"/>
      <c r="E11" s="57"/>
      <c r="F11" s="59"/>
      <c r="G11" s="55"/>
      <c r="H11" s="55"/>
      <c r="I11" s="55"/>
      <c r="J11" s="55"/>
      <c r="K11" s="55"/>
      <c r="L11" s="77"/>
      <c r="M11" s="58"/>
      <c r="N11" s="46" t="n">
        <v>1.03</v>
      </c>
      <c r="O11" s="46" t="n">
        <v>1.05</v>
      </c>
      <c r="P11" s="46" t="n">
        <v>1.02</v>
      </c>
      <c r="Q11" s="82" t="n">
        <v>1.02</v>
      </c>
      <c r="R11" s="83" t="n">
        <v>1.04</v>
      </c>
      <c r="S11" s="58"/>
      <c r="T11" s="82" t="n">
        <v>1.04</v>
      </c>
      <c r="U11" s="76"/>
      <c r="V11" s="55"/>
      <c r="W11" s="55"/>
      <c r="X11" s="58" t="s">
        <v>41</v>
      </c>
      <c r="Y11" s="58" t="s">
        <v>41</v>
      </c>
      <c r="Z11" s="58" t="s">
        <v>41</v>
      </c>
      <c r="AA11" s="57" t="s">
        <v>41</v>
      </c>
      <c r="AB11" s="84" t="s">
        <v>98</v>
      </c>
      <c r="AC11" s="61"/>
      <c r="AD11" s="61"/>
      <c r="AE11" s="85"/>
      <c r="AF11" s="79"/>
      <c r="AG11" s="79"/>
      <c r="AH11" s="74"/>
      <c r="AI11" s="80"/>
      <c r="AJ11" s="86"/>
      <c r="AK11" s="55"/>
      <c r="AL11" s="55"/>
      <c r="AM11" s="58"/>
      <c r="AN11" s="66"/>
      <c r="AO11" s="62"/>
      <c r="AP11" s="61"/>
      <c r="AQ11" s="67"/>
      <c r="AR11" s="67"/>
      <c r="AS11" s="87"/>
      <c r="AT11" s="87"/>
      <c r="AU11" s="87"/>
      <c r="AV11" s="78"/>
      <c r="AW11" s="71"/>
      <c r="AX11" s="71"/>
      <c r="AY11" s="211"/>
      <c r="AZ11" s="212" t="s">
        <v>41</v>
      </c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2.95" hidden="false" customHeight="true" outlineLevel="0" collapsed="false">
      <c r="A12" s="188" t="s">
        <v>99</v>
      </c>
      <c r="B12" s="213"/>
      <c r="C12" s="107"/>
      <c r="D12" s="107"/>
      <c r="E12" s="107"/>
      <c r="F12" s="214"/>
      <c r="G12" s="107"/>
      <c r="H12" s="215"/>
      <c r="I12" s="107"/>
      <c r="J12" s="107"/>
      <c r="K12" s="107"/>
      <c r="L12" s="107"/>
      <c r="M12" s="216"/>
      <c r="N12" s="107"/>
      <c r="O12" s="107"/>
      <c r="P12" s="158"/>
      <c r="Q12" s="107"/>
      <c r="R12" s="107"/>
      <c r="S12" s="107"/>
      <c r="T12" s="107"/>
      <c r="U12" s="217"/>
      <c r="V12" s="107"/>
      <c r="W12" s="107"/>
      <c r="X12" s="107"/>
      <c r="Y12" s="107"/>
      <c r="Z12" s="107"/>
      <c r="AA12" s="107"/>
      <c r="AB12" s="136"/>
      <c r="AC12" s="136"/>
      <c r="AD12" s="107"/>
      <c r="AE12" s="107"/>
      <c r="AF12" s="216"/>
      <c r="AG12" s="218"/>
      <c r="AH12" s="107"/>
      <c r="AI12" s="107"/>
      <c r="AJ12" s="219"/>
      <c r="AK12" s="107"/>
      <c r="AL12" s="107"/>
      <c r="AM12" s="107"/>
      <c r="AN12" s="220"/>
      <c r="AO12" s="136"/>
      <c r="AP12" s="221"/>
      <c r="AU12" s="274"/>
      <c r="AV12" s="275"/>
      <c r="AW12" s="215"/>
      <c r="AX12" s="215"/>
      <c r="AY12" s="215"/>
      <c r="AZ12" s="224"/>
    </row>
    <row r="13" s="230" customFormat="true" ht="12.95" hidden="false" customHeight="true" outlineLevel="0" collapsed="false">
      <c r="A13" s="225" t="s">
        <v>100</v>
      </c>
      <c r="B13" s="106" t="n">
        <f aca="false">DEC!B45</f>
        <v>6901.56</v>
      </c>
      <c r="C13" s="226" t="n">
        <f aca="false">DEC!C45</f>
        <v>289372</v>
      </c>
      <c r="D13" s="107" t="n">
        <f aca="false">DEC!D54</f>
        <v>-4239</v>
      </c>
      <c r="E13" s="107" t="n">
        <f aca="false">DEC!E54</f>
        <v>137372</v>
      </c>
      <c r="F13" s="214" t="n">
        <f aca="false">DEC!F53</f>
        <v>-2137.13133350139</v>
      </c>
      <c r="G13" s="107" t="n">
        <f aca="false">DEC!G53</f>
        <v>3360</v>
      </c>
      <c r="H13" s="226" t="n">
        <f aca="false">DEC!H53</f>
        <v>34.11</v>
      </c>
      <c r="I13" s="107" t="n">
        <f aca="false">DEC!I53</f>
        <v>3393.49</v>
      </c>
      <c r="J13" s="226" t="n">
        <f aca="false">DEC!J53</f>
        <v>114.874408873204</v>
      </c>
      <c r="K13" s="107" t="n">
        <f aca="false">DEC!K53</f>
        <v>3508.3644088732</v>
      </c>
      <c r="L13" s="267" t="n">
        <f aca="false">DEC!L53</f>
        <v>-336.121333501387</v>
      </c>
      <c r="M13" s="107" t="n">
        <f aca="false">DEC!M53</f>
        <v>310</v>
      </c>
      <c r="N13" s="226" t="n">
        <f aca="false">DEC!N53</f>
        <v>0</v>
      </c>
      <c r="O13" s="107" t="n">
        <f aca="false">DEC!O53</f>
        <v>0</v>
      </c>
      <c r="P13" s="226" t="n">
        <f aca="false">DEC!P53</f>
        <v>0</v>
      </c>
      <c r="Q13" s="107" t="n">
        <f aca="false">DEC!Q53</f>
        <v>89.8255688933225</v>
      </c>
      <c r="R13" s="226" t="n">
        <f aca="false">DEC!R53</f>
        <v>98.06070976</v>
      </c>
      <c r="S13" s="107" t="n">
        <f aca="false">DEC!S53</f>
        <v>0</v>
      </c>
      <c r="T13" s="107" t="n">
        <f aca="false">DEC!T53</f>
        <v>33.49929024</v>
      </c>
      <c r="U13" s="267" t="n">
        <f aca="false">DEC!U53</f>
        <v>-0.491402382535114</v>
      </c>
      <c r="V13" s="107" t="n">
        <f aca="false">DEC!V53</f>
        <v>3001</v>
      </c>
      <c r="W13" s="226" t="n">
        <f aca="false">DEC!W53</f>
        <v>59.5</v>
      </c>
      <c r="X13" s="107" t="n">
        <f aca="false">DEC!X53</f>
        <v>3149.60583348921</v>
      </c>
      <c r="Y13" s="226" t="n">
        <f aca="false">DEC!Y53</f>
        <v>2946.80876137068</v>
      </c>
      <c r="Z13" s="107"/>
      <c r="AA13" s="107"/>
      <c r="AB13" s="136"/>
      <c r="AC13" s="226" t="n">
        <f aca="false">DEC!AC53</f>
        <v>192.7</v>
      </c>
      <c r="AD13" s="107"/>
      <c r="AE13" s="107"/>
      <c r="AF13" s="216"/>
      <c r="AG13" s="218"/>
      <c r="AH13" s="226" t="n">
        <f aca="false">DEC!AH53</f>
        <v>1824</v>
      </c>
      <c r="AI13" s="226" t="n">
        <f aca="false">DEC!AI53</f>
        <v>3527</v>
      </c>
      <c r="AJ13" s="107"/>
      <c r="AK13" s="226" t="n">
        <f aca="false">DEC!AK53</f>
        <v>5194.5</v>
      </c>
      <c r="AL13" s="226" t="n">
        <f aca="false">DEC!AL53</f>
        <v>450.995742374591</v>
      </c>
      <c r="AM13" s="226" t="n">
        <f aca="false">DEC!AM53</f>
        <v>5645.49574237459</v>
      </c>
      <c r="AN13" s="220" t="n">
        <f aca="false">DEC!AN53</f>
        <v>2946.8</v>
      </c>
      <c r="AO13" s="276" t="n">
        <f aca="false">DEC!AO53</f>
        <v>202.797072118535</v>
      </c>
      <c r="AP13" s="107"/>
      <c r="AQ13" s="228"/>
      <c r="AR13" s="228"/>
      <c r="AS13" s="228"/>
      <c r="AT13" s="228"/>
      <c r="AU13" s="277"/>
      <c r="AV13" s="278" t="n">
        <f aca="false">DEC!AV53</f>
        <v>0.95</v>
      </c>
      <c r="AW13" s="215"/>
      <c r="AX13" s="215"/>
      <c r="AY13" s="215"/>
      <c r="AZ13" s="279" t="n">
        <f aca="false">DEC!AZ53</f>
        <v>220.894166510787</v>
      </c>
    </row>
    <row r="14" customFormat="false" ht="3" hidden="false" customHeight="true" outlineLevel="0" collapsed="false">
      <c r="A14" s="231"/>
      <c r="B14" s="232"/>
      <c r="C14" s="233"/>
      <c r="D14" s="234"/>
      <c r="E14" s="233"/>
      <c r="F14" s="235"/>
      <c r="G14" s="234"/>
      <c r="H14" s="236"/>
      <c r="I14" s="234"/>
      <c r="J14" s="234"/>
      <c r="K14" s="234"/>
      <c r="L14" s="234"/>
      <c r="M14" s="237"/>
      <c r="N14" s="234"/>
      <c r="O14" s="234"/>
      <c r="P14" s="238"/>
      <c r="Q14" s="234"/>
      <c r="R14" s="234"/>
      <c r="S14" s="234"/>
      <c r="T14" s="234"/>
      <c r="U14" s="239"/>
      <c r="V14" s="234"/>
      <c r="W14" s="234"/>
      <c r="X14" s="234"/>
      <c r="Y14" s="234"/>
      <c r="Z14" s="234"/>
      <c r="AA14" s="234"/>
      <c r="AB14" s="240"/>
      <c r="AC14" s="240"/>
      <c r="AD14" s="233"/>
      <c r="AE14" s="234"/>
      <c r="AF14" s="237"/>
      <c r="AG14" s="241"/>
      <c r="AH14" s="234"/>
      <c r="AI14" s="233"/>
      <c r="AJ14" s="233"/>
      <c r="AK14" s="234"/>
      <c r="AL14" s="234"/>
      <c r="AM14" s="234"/>
      <c r="AN14" s="242"/>
      <c r="AO14" s="240"/>
      <c r="AP14" s="243"/>
      <c r="AQ14" s="244"/>
      <c r="AR14" s="244"/>
      <c r="AS14" s="244"/>
      <c r="AT14" s="244"/>
      <c r="AU14" s="254"/>
      <c r="AV14" s="263"/>
      <c r="AW14" s="243"/>
      <c r="AX14" s="243"/>
      <c r="AY14" s="243"/>
      <c r="AZ14" s="280"/>
    </row>
    <row r="15" customFormat="false" ht="12.95" hidden="false" customHeight="true" outlineLevel="0" collapsed="false">
      <c r="A15" s="183" t="n">
        <v>1</v>
      </c>
      <c r="B15" s="106" t="n">
        <v>6901.54</v>
      </c>
      <c r="C15" s="107" t="n">
        <v>289297</v>
      </c>
      <c r="D15" s="215" t="n">
        <f aca="false">C15-C13</f>
        <v>-75</v>
      </c>
      <c r="E15" s="107" t="n">
        <f aca="false">C15-152000</f>
        <v>137297</v>
      </c>
      <c r="F15" s="246" t="n">
        <f aca="false">D15/$D$2</f>
        <v>-37.8119485757499</v>
      </c>
      <c r="G15" s="135" t="n">
        <v>41</v>
      </c>
      <c r="H15" s="247" t="n">
        <v>0.89</v>
      </c>
      <c r="I15" s="135" t="n">
        <f aca="false">G15+H15</f>
        <v>41.89</v>
      </c>
      <c r="J15" s="136" t="n">
        <f aca="false">IF(L15&gt;0,L15,0)</f>
        <v>0</v>
      </c>
      <c r="K15" s="135" t="n">
        <f aca="false">I15+J15</f>
        <v>41.89</v>
      </c>
      <c r="L15" s="135" t="n">
        <f aca="false">F15-(I15-AK15)</f>
        <v>-3.10194857574994</v>
      </c>
      <c r="M15" s="248" t="n">
        <v>3.6</v>
      </c>
      <c r="N15" s="135" t="n">
        <v>0</v>
      </c>
      <c r="O15" s="135" t="n">
        <v>0</v>
      </c>
      <c r="P15" s="158" t="n">
        <v>0</v>
      </c>
      <c r="Q15" s="131" t="n">
        <f aca="false">950000/325851/1.9835*1.02</f>
        <v>1.49924467194727</v>
      </c>
      <c r="R15" s="131" t="n">
        <f aca="false">((2.2)*1.04)-T15</f>
        <v>1.8117632</v>
      </c>
      <c r="S15" s="131" t="n">
        <v>0</v>
      </c>
      <c r="T15" s="131" t="n">
        <f aca="false">(0.432*1.06)*1.04</f>
        <v>0.4762368</v>
      </c>
      <c r="U15" s="96" t="n">
        <f aca="false">M15-(Q15+R15+S15+T15)</f>
        <v>-0.187244671947268</v>
      </c>
      <c r="V15" s="135" t="n">
        <v>43</v>
      </c>
      <c r="W15" s="135" t="n">
        <v>0</v>
      </c>
      <c r="X15" s="135" t="n">
        <f aca="false">M15-N15-P15-O15-Q15-R15-S15-T15-U15+V15+W15</f>
        <v>43</v>
      </c>
      <c r="Y15" s="135" t="n">
        <f aca="false">X15-AO15</f>
        <v>43</v>
      </c>
      <c r="Z15" s="135"/>
      <c r="AA15" s="135"/>
      <c r="AB15" s="136"/>
      <c r="AC15" s="136" t="n">
        <v>0</v>
      </c>
      <c r="AD15" s="107"/>
      <c r="AE15" s="135" t="n">
        <v>0</v>
      </c>
      <c r="AF15" s="248"/>
      <c r="AG15" s="249"/>
      <c r="AH15" s="135" t="n">
        <v>30</v>
      </c>
      <c r="AI15" s="107" t="n">
        <f aca="false">AI13-AH15</f>
        <v>3497</v>
      </c>
      <c r="AJ15" s="107"/>
      <c r="AK15" s="134" t="n">
        <f aca="false">N15+O15+P15+Q15+R15+S15+T15+U15+X15+AE15+AH15</f>
        <v>76.6</v>
      </c>
      <c r="AL15" s="135" t="n">
        <f aca="false">IF(L15&lt;0,L15*-1,0)</f>
        <v>3.10194857574994</v>
      </c>
      <c r="AM15" s="135" t="n">
        <f aca="false">AK15+AL15</f>
        <v>79.7019485757499</v>
      </c>
      <c r="AN15" s="281" t="n">
        <f aca="false">X15</f>
        <v>43</v>
      </c>
      <c r="AO15" s="136" t="n">
        <v>0</v>
      </c>
      <c r="AP15" s="221"/>
      <c r="AU15" s="274"/>
      <c r="AV15" s="275" t="n">
        <v>0</v>
      </c>
      <c r="AW15" s="215" t="n">
        <v>48</v>
      </c>
      <c r="AX15" s="215" t="n">
        <v>16</v>
      </c>
      <c r="AY15" s="215"/>
      <c r="AZ15" s="250" t="n">
        <f aca="false">SUM(N15,P15:U15)</f>
        <v>3.6</v>
      </c>
    </row>
    <row r="16" customFormat="false" ht="12.95" hidden="false" customHeight="true" outlineLevel="0" collapsed="false">
      <c r="A16" s="183" t="n">
        <f aca="false">A15+1</f>
        <v>2</v>
      </c>
      <c r="B16" s="106" t="n">
        <v>6901.52</v>
      </c>
      <c r="C16" s="107" t="n">
        <v>289223</v>
      </c>
      <c r="D16" s="215" t="n">
        <f aca="false">C16-C15</f>
        <v>-74</v>
      </c>
      <c r="E16" s="107" t="n">
        <f aca="false">C16-152000</f>
        <v>137223</v>
      </c>
      <c r="F16" s="246" t="n">
        <f aca="false">D16/$D$2</f>
        <v>-37.3077892614066</v>
      </c>
      <c r="G16" s="135" t="n">
        <v>42</v>
      </c>
      <c r="H16" s="247" t="n">
        <v>0.86</v>
      </c>
      <c r="I16" s="135" t="n">
        <f aca="false">G16+H16</f>
        <v>42.86</v>
      </c>
      <c r="J16" s="136" t="n">
        <f aca="false">IF(L16&gt;0,L16,0)</f>
        <v>0</v>
      </c>
      <c r="K16" s="135" t="n">
        <f aca="false">I16+J16</f>
        <v>42.86</v>
      </c>
      <c r="L16" s="135" t="n">
        <f aca="false">F16-(I16-AK16)</f>
        <v>-4.1677892614066</v>
      </c>
      <c r="M16" s="248" t="n">
        <v>3</v>
      </c>
      <c r="N16" s="135" t="n">
        <v>0</v>
      </c>
      <c r="O16" s="135" t="n">
        <v>0</v>
      </c>
      <c r="P16" s="158" t="n">
        <v>0</v>
      </c>
      <c r="Q16" s="131" t="n">
        <f aca="false">1037100/325851/1.9835*1.02</f>
        <v>1.63670173608054</v>
      </c>
      <c r="R16" s="131" t="n">
        <f aca="false">((1.8)*1.04)-T16</f>
        <v>1.3957632</v>
      </c>
      <c r="S16" s="131" t="n">
        <v>0</v>
      </c>
      <c r="T16" s="131" t="n">
        <f aca="false">(0.432*1.06)*1.04</f>
        <v>0.4762368</v>
      </c>
      <c r="U16" s="96" t="n">
        <f aca="false">M16-(Q16+R16+S16+T16)</f>
        <v>-0.508701736080539</v>
      </c>
      <c r="V16" s="135" t="n">
        <v>43</v>
      </c>
      <c r="W16" s="135" t="n">
        <v>0</v>
      </c>
      <c r="X16" s="135" t="n">
        <f aca="false">M16-N16-P16-O16-Q16-R16-S16-T16-U16+V16+W16</f>
        <v>43</v>
      </c>
      <c r="Y16" s="135" t="n">
        <f aca="false">X16-AO16</f>
        <v>43</v>
      </c>
      <c r="Z16" s="135"/>
      <c r="AA16" s="135"/>
      <c r="AB16" s="136"/>
      <c r="AC16" s="136" t="n">
        <v>0</v>
      </c>
      <c r="AD16" s="107"/>
      <c r="AE16" s="135" t="n">
        <v>0</v>
      </c>
      <c r="AF16" s="248"/>
      <c r="AG16" s="249"/>
      <c r="AH16" s="135" t="n">
        <v>30</v>
      </c>
      <c r="AI16" s="107" t="n">
        <f aca="false">AI15-AH16</f>
        <v>3467</v>
      </c>
      <c r="AJ16" s="107"/>
      <c r="AK16" s="134" t="n">
        <f aca="false">N16+O16+P16+Q16+R16+S16+T16+U16+X16+AE16+AH16</f>
        <v>76</v>
      </c>
      <c r="AL16" s="135" t="n">
        <f aca="false">IF(L16&lt;0,L16*-1,0)</f>
        <v>4.1677892614066</v>
      </c>
      <c r="AM16" s="135" t="n">
        <f aca="false">AK16+AL16</f>
        <v>80.1677892614066</v>
      </c>
      <c r="AN16" s="281" t="n">
        <f aca="false">X16</f>
        <v>43</v>
      </c>
      <c r="AO16" s="136" t="n">
        <v>0</v>
      </c>
      <c r="AP16" s="221"/>
      <c r="AV16" s="222" t="n">
        <v>0</v>
      </c>
      <c r="AW16" s="215" t="n">
        <v>53</v>
      </c>
      <c r="AX16" s="215" t="n">
        <v>18</v>
      </c>
      <c r="AY16" s="223"/>
      <c r="AZ16" s="250" t="n">
        <f aca="false">SUM(N16,P16:U16)</f>
        <v>3</v>
      </c>
    </row>
    <row r="17" customFormat="false" ht="12.95" hidden="false" customHeight="true" outlineLevel="0" collapsed="false">
      <c r="A17" s="183" t="n">
        <f aca="false">A16+1</f>
        <v>3</v>
      </c>
      <c r="B17" s="106" t="n">
        <v>6901.5</v>
      </c>
      <c r="C17" s="107" t="n">
        <v>289148</v>
      </c>
      <c r="D17" s="215" t="n">
        <f aca="false">C17-C16</f>
        <v>-75</v>
      </c>
      <c r="E17" s="107" t="n">
        <f aca="false">C17-152000</f>
        <v>137148</v>
      </c>
      <c r="F17" s="246" t="n">
        <f aca="false">D17/$D$2</f>
        <v>-37.8119485757499</v>
      </c>
      <c r="G17" s="135" t="n">
        <v>42</v>
      </c>
      <c r="H17" s="247" t="n">
        <v>0.9</v>
      </c>
      <c r="I17" s="135" t="n">
        <f aca="false">G17+H17</f>
        <v>42.9</v>
      </c>
      <c r="J17" s="136" t="n">
        <f aca="false">IF(L17&gt;0,L17,0)</f>
        <v>0</v>
      </c>
      <c r="K17" s="135" t="n">
        <f aca="false">I17+J17</f>
        <v>42.9</v>
      </c>
      <c r="L17" s="135" t="n">
        <f aca="false">F17-(I17-AK17)</f>
        <v>-3.81194857574993</v>
      </c>
      <c r="M17" s="248" t="n">
        <v>3.9</v>
      </c>
      <c r="N17" s="135" t="n">
        <v>0</v>
      </c>
      <c r="O17" s="135" t="n">
        <v>0</v>
      </c>
      <c r="P17" s="158" t="n">
        <v>0</v>
      </c>
      <c r="Q17" s="131" t="n">
        <f aca="false">925000/325851/1.9835*1.02</f>
        <v>1.45979086479076</v>
      </c>
      <c r="R17" s="131" t="n">
        <f aca="false">((1.8)*1.04)-T17</f>
        <v>1.3957632</v>
      </c>
      <c r="S17" s="131" t="n">
        <v>0</v>
      </c>
      <c r="T17" s="131" t="n">
        <f aca="false">(0.432*1.06)*1.04</f>
        <v>0.4762368</v>
      </c>
      <c r="U17" s="96" t="n">
        <f aca="false">M17-(Q17+R17+S17+T17)</f>
        <v>0.568209135209239</v>
      </c>
      <c r="V17" s="135" t="n">
        <v>43</v>
      </c>
      <c r="W17" s="135" t="n">
        <v>0</v>
      </c>
      <c r="X17" s="135" t="n">
        <f aca="false">M17-N17-P17-O17-Q17-R17-S17-T17-U17+V17+W17</f>
        <v>43</v>
      </c>
      <c r="Y17" s="135" t="n">
        <f aca="false">X17-AO17</f>
        <v>43</v>
      </c>
      <c r="Z17" s="135"/>
      <c r="AA17" s="135"/>
      <c r="AB17" s="136"/>
      <c r="AC17" s="136" t="n">
        <v>0</v>
      </c>
      <c r="AD17" s="107"/>
      <c r="AE17" s="135" t="n">
        <v>0</v>
      </c>
      <c r="AF17" s="248"/>
      <c r="AG17" s="249"/>
      <c r="AH17" s="135" t="n">
        <v>30</v>
      </c>
      <c r="AI17" s="107" t="n">
        <f aca="false">AI16-AH17</f>
        <v>3437</v>
      </c>
      <c r="AJ17" s="107"/>
      <c r="AK17" s="134" t="n">
        <f aca="false">N17+O17+P17+Q17+R17+S17+T17+U17+X17+AE17+AH17</f>
        <v>76.9</v>
      </c>
      <c r="AL17" s="135" t="n">
        <f aca="false">IF(L17&lt;0,L17*-1,0)</f>
        <v>3.81194857574993</v>
      </c>
      <c r="AM17" s="135" t="n">
        <f aca="false">AK17+AL17</f>
        <v>80.7119485757499</v>
      </c>
      <c r="AN17" s="281" t="n">
        <f aca="false">X17</f>
        <v>43</v>
      </c>
      <c r="AO17" s="136" t="n">
        <v>0</v>
      </c>
      <c r="AP17" s="221"/>
      <c r="AV17" s="222" t="n">
        <v>0</v>
      </c>
      <c r="AW17" s="215" t="n">
        <v>51</v>
      </c>
      <c r="AX17" s="215" t="n">
        <v>20</v>
      </c>
      <c r="AY17" s="223"/>
      <c r="AZ17" s="250" t="n">
        <f aca="false">SUM(N17,P17:U17)</f>
        <v>3.9</v>
      </c>
    </row>
    <row r="18" customFormat="false" ht="12.95" hidden="false" customHeight="true" outlineLevel="0" collapsed="false">
      <c r="A18" s="183" t="n">
        <f aca="false">A17+1</f>
        <v>4</v>
      </c>
      <c r="B18" s="106" t="n">
        <v>6901.48</v>
      </c>
      <c r="C18" s="107" t="n">
        <v>289074</v>
      </c>
      <c r="D18" s="215" t="n">
        <f aca="false">C18-C17</f>
        <v>-74</v>
      </c>
      <c r="E18" s="107" t="n">
        <f aca="false">C18-152000</f>
        <v>137074</v>
      </c>
      <c r="F18" s="246" t="n">
        <f aca="false">D18/$D$2</f>
        <v>-37.3077892614066</v>
      </c>
      <c r="G18" s="135" t="n">
        <v>42</v>
      </c>
      <c r="H18" s="247" t="n">
        <v>0.88</v>
      </c>
      <c r="I18" s="135" t="n">
        <f aca="false">G18+H18</f>
        <v>42.88</v>
      </c>
      <c r="J18" s="136" t="n">
        <f aca="false">IF(L18&gt;0,L18,0)</f>
        <v>0</v>
      </c>
      <c r="K18" s="135" t="n">
        <f aca="false">I18+J18</f>
        <v>42.88</v>
      </c>
      <c r="L18" s="135" t="n">
        <f aca="false">F18-(I18-AK18)</f>
        <v>-2.9877892614066</v>
      </c>
      <c r="M18" s="248" t="n">
        <v>4.2</v>
      </c>
      <c r="N18" s="135" t="n">
        <v>0</v>
      </c>
      <c r="O18" s="135" t="n">
        <v>0</v>
      </c>
      <c r="P18" s="158" t="n">
        <v>0</v>
      </c>
      <c r="Q18" s="131" t="n">
        <f aca="false">974500/325851/1.9835*1.02</f>
        <v>1.53790940296064</v>
      </c>
      <c r="R18" s="131" t="n">
        <f aca="false">((2)*1.04)-T18</f>
        <v>1.6037632</v>
      </c>
      <c r="S18" s="131" t="n">
        <v>0</v>
      </c>
      <c r="T18" s="131" t="n">
        <f aca="false">(0.432*1.06)*1.04</f>
        <v>0.4762368</v>
      </c>
      <c r="U18" s="96" t="n">
        <f aca="false">M18-(Q18+R18+S18+T18)</f>
        <v>0.582090597039355</v>
      </c>
      <c r="V18" s="135" t="n">
        <v>43</v>
      </c>
      <c r="W18" s="135" t="n">
        <v>0</v>
      </c>
      <c r="X18" s="135" t="n">
        <f aca="false">M18-N18-P18-O18-Q18-R18-S18-T18-U18+V18+W18</f>
        <v>43</v>
      </c>
      <c r="Y18" s="135" t="n">
        <f aca="false">X18-AO18</f>
        <v>43</v>
      </c>
      <c r="Z18" s="135"/>
      <c r="AA18" s="135"/>
      <c r="AB18" s="136"/>
      <c r="AC18" s="136" t="n">
        <v>0</v>
      </c>
      <c r="AD18" s="107"/>
      <c r="AE18" s="135" t="n">
        <v>0</v>
      </c>
      <c r="AF18" s="248"/>
      <c r="AG18" s="249"/>
      <c r="AH18" s="135" t="n">
        <v>30</v>
      </c>
      <c r="AI18" s="107" t="n">
        <f aca="false">AI17-AH18</f>
        <v>3407</v>
      </c>
      <c r="AJ18" s="107"/>
      <c r="AK18" s="134" t="n">
        <f aca="false">N18+O18+P18+Q18+R18+S18+T18+U18+X18+AE18+AH18</f>
        <v>77.2</v>
      </c>
      <c r="AL18" s="135" t="n">
        <f aca="false">IF(L18&lt;0,L18*-1,0)</f>
        <v>2.9877892614066</v>
      </c>
      <c r="AM18" s="135" t="n">
        <f aca="false">AK18+AL18</f>
        <v>80.1877892614066</v>
      </c>
      <c r="AN18" s="281" t="n">
        <f aca="false">X18</f>
        <v>43</v>
      </c>
      <c r="AO18" s="136" t="n">
        <v>0</v>
      </c>
      <c r="AP18" s="221"/>
      <c r="AV18" s="222" t="n">
        <v>0</v>
      </c>
      <c r="AW18" s="215" t="n">
        <v>51</v>
      </c>
      <c r="AX18" s="215" t="n">
        <v>20</v>
      </c>
      <c r="AY18" s="223"/>
      <c r="AZ18" s="250" t="n">
        <f aca="false">SUM(N18,P18:U18)</f>
        <v>4.2</v>
      </c>
    </row>
    <row r="19" customFormat="false" ht="12.95" hidden="false" customHeight="true" outlineLevel="0" collapsed="false">
      <c r="A19" s="183" t="n">
        <f aca="false">A18+1</f>
        <v>5</v>
      </c>
      <c r="B19" s="106" t="n">
        <v>6901.46</v>
      </c>
      <c r="C19" s="107" t="n">
        <v>288999</v>
      </c>
      <c r="D19" s="215" t="n">
        <f aca="false">C19-C18</f>
        <v>-75</v>
      </c>
      <c r="E19" s="107" t="n">
        <f aca="false">C19-152000</f>
        <v>136999</v>
      </c>
      <c r="F19" s="246" t="n">
        <f aca="false">D19/$D$2</f>
        <v>-37.8119485757499</v>
      </c>
      <c r="G19" s="135" t="n">
        <v>41</v>
      </c>
      <c r="H19" s="247" t="n">
        <v>0.93</v>
      </c>
      <c r="I19" s="135" t="n">
        <f aca="false">G19+H19</f>
        <v>41.93</v>
      </c>
      <c r="J19" s="136" t="n">
        <f aca="false">IF(L19&gt;0,L19,0)</f>
        <v>0</v>
      </c>
      <c r="K19" s="135" t="n">
        <f aca="false">I19+J19</f>
        <v>41.93</v>
      </c>
      <c r="L19" s="135" t="n">
        <f aca="false">F19-(I19-AK19)</f>
        <v>-3.74194857574994</v>
      </c>
      <c r="M19" s="248" t="n">
        <v>3</v>
      </c>
      <c r="N19" s="135" t="n">
        <v>0</v>
      </c>
      <c r="O19" s="135" t="n">
        <v>0</v>
      </c>
      <c r="P19" s="158" t="n">
        <v>0</v>
      </c>
      <c r="Q19" s="131" t="n">
        <f aca="false">1092400/325851/1.9835*1.02</f>
        <v>1.72397355751073</v>
      </c>
      <c r="R19" s="131" t="n">
        <f aca="false">((1.9)*1.04)-T19</f>
        <v>1.4997632</v>
      </c>
      <c r="S19" s="131" t="n">
        <v>0</v>
      </c>
      <c r="T19" s="131" t="n">
        <f aca="false">(0.432*1.06)*1.04</f>
        <v>0.4762368</v>
      </c>
      <c r="U19" s="96" t="n">
        <f aca="false">M19-(Q19+R19+S19+T19)</f>
        <v>-0.699973557510732</v>
      </c>
      <c r="V19" s="135" t="n">
        <v>43</v>
      </c>
      <c r="W19" s="135" t="n">
        <v>0</v>
      </c>
      <c r="X19" s="135" t="n">
        <f aca="false">M19-N19-P19-O19-Q19-R19-S19-T19-U19+V19+W19</f>
        <v>43</v>
      </c>
      <c r="Y19" s="135" t="n">
        <f aca="false">X19-AO19</f>
        <v>43</v>
      </c>
      <c r="Z19" s="135"/>
      <c r="AA19" s="135"/>
      <c r="AB19" s="136"/>
      <c r="AC19" s="136" t="n">
        <v>0</v>
      </c>
      <c r="AD19" s="107"/>
      <c r="AE19" s="135" t="n">
        <v>0</v>
      </c>
      <c r="AF19" s="248"/>
      <c r="AG19" s="249"/>
      <c r="AH19" s="135" t="n">
        <v>30</v>
      </c>
      <c r="AI19" s="107" t="n">
        <f aca="false">AI18-AH19</f>
        <v>3377</v>
      </c>
      <c r="AJ19" s="107"/>
      <c r="AK19" s="134" t="n">
        <f aca="false">N19+O19+P19+Q19+R19+S19+T19+U19+X19+AE19+AH19</f>
        <v>76</v>
      </c>
      <c r="AL19" s="135" t="n">
        <f aca="false">IF(L19&lt;0,L19*-1,0)</f>
        <v>3.74194857574994</v>
      </c>
      <c r="AM19" s="135" t="n">
        <f aca="false">AK19+AL19</f>
        <v>79.74194857575</v>
      </c>
      <c r="AN19" s="281" t="n">
        <f aca="false">X19</f>
        <v>43</v>
      </c>
      <c r="AO19" s="136" t="n">
        <v>0</v>
      </c>
      <c r="AP19" s="221"/>
      <c r="AV19" s="222" t="n">
        <v>0</v>
      </c>
      <c r="AW19" s="215" t="n">
        <v>48</v>
      </c>
      <c r="AX19" s="215" t="n">
        <v>21</v>
      </c>
      <c r="AY19" s="223"/>
      <c r="AZ19" s="250" t="n">
        <f aca="false">SUM(N19,P19:U19)</f>
        <v>3</v>
      </c>
    </row>
    <row r="20" customFormat="false" ht="12.95" hidden="false" customHeight="true" outlineLevel="0" collapsed="false">
      <c r="A20" s="183" t="n">
        <f aca="false">A19+1</f>
        <v>6</v>
      </c>
      <c r="B20" s="106" t="n">
        <v>6901.44</v>
      </c>
      <c r="C20" s="107" t="n">
        <v>288924</v>
      </c>
      <c r="D20" s="215" t="n">
        <f aca="false">C20-C19</f>
        <v>-75</v>
      </c>
      <c r="E20" s="107" t="n">
        <f aca="false">C20-152000</f>
        <v>136924</v>
      </c>
      <c r="F20" s="246" t="n">
        <f aca="false">D20/$D$2</f>
        <v>-37.8119485757499</v>
      </c>
      <c r="G20" s="135" t="n">
        <v>41</v>
      </c>
      <c r="H20" s="247" t="n">
        <v>0.92</v>
      </c>
      <c r="I20" s="135" t="n">
        <f aca="false">G20+H20</f>
        <v>41.92</v>
      </c>
      <c r="J20" s="136" t="n">
        <f aca="false">IF(L20&gt;0,L20,0)</f>
        <v>0</v>
      </c>
      <c r="K20" s="135" t="n">
        <f aca="false">I20+J20</f>
        <v>41.92</v>
      </c>
      <c r="L20" s="135" t="n">
        <f aca="false">F20-(I20-AK20)</f>
        <v>-2.63194857574994</v>
      </c>
      <c r="M20" s="248" t="n">
        <v>4.1</v>
      </c>
      <c r="N20" s="135" t="n">
        <v>0</v>
      </c>
      <c r="O20" s="135" t="n">
        <v>0</v>
      </c>
      <c r="P20" s="158" t="n">
        <v>0</v>
      </c>
      <c r="Q20" s="131" t="n">
        <f aca="false">890500/325851/1.9835*1.02</f>
        <v>1.40534461091478</v>
      </c>
      <c r="R20" s="131" t="n">
        <f aca="false">((1.9)*1.04)-T20</f>
        <v>1.518504</v>
      </c>
      <c r="S20" s="131" t="n">
        <v>0</v>
      </c>
      <c r="T20" s="131" t="n">
        <f aca="false">(0.415*1.06)*1.04</f>
        <v>0.457496</v>
      </c>
      <c r="U20" s="96" t="n">
        <f aca="false">M20-(Q20+R20+S20+T20)</f>
        <v>0.718655389085219</v>
      </c>
      <c r="V20" s="135" t="n">
        <v>43</v>
      </c>
      <c r="W20" s="135" t="n">
        <v>0</v>
      </c>
      <c r="X20" s="135" t="n">
        <f aca="false">M20-N20-P20-O20-Q20-R20-S20-T20-U20+V20+W20</f>
        <v>43</v>
      </c>
      <c r="Y20" s="135" t="n">
        <f aca="false">X20-AO20</f>
        <v>43</v>
      </c>
      <c r="Z20" s="135"/>
      <c r="AA20" s="135"/>
      <c r="AB20" s="136"/>
      <c r="AC20" s="136" t="n">
        <v>0</v>
      </c>
      <c r="AD20" s="107"/>
      <c r="AE20" s="135" t="n">
        <v>0</v>
      </c>
      <c r="AF20" s="248"/>
      <c r="AG20" s="249"/>
      <c r="AH20" s="135" t="n">
        <v>30</v>
      </c>
      <c r="AI20" s="107" t="n">
        <f aca="false">AI19-AH20</f>
        <v>3347</v>
      </c>
      <c r="AJ20" s="107"/>
      <c r="AK20" s="134" t="n">
        <f aca="false">N20+O20+P20+Q20+R20+S20+T20+U20+X20+AE20+AH20</f>
        <v>77.1</v>
      </c>
      <c r="AL20" s="135" t="n">
        <f aca="false">IF(L20&lt;0,L20*-1,0)</f>
        <v>2.63194857574994</v>
      </c>
      <c r="AM20" s="135" t="n">
        <f aca="false">AK20+AL20</f>
        <v>79.7319485757499</v>
      </c>
      <c r="AN20" s="281" t="n">
        <f aca="false">X20</f>
        <v>43</v>
      </c>
      <c r="AO20" s="136" t="n">
        <v>0</v>
      </c>
      <c r="AP20" s="221"/>
      <c r="AV20" s="222" t="n">
        <v>0</v>
      </c>
      <c r="AW20" s="215" t="n">
        <v>50</v>
      </c>
      <c r="AX20" s="215" t="n">
        <v>20</v>
      </c>
      <c r="AY20" s="223"/>
      <c r="AZ20" s="250" t="n">
        <f aca="false">SUM(N20,P20:U20)</f>
        <v>4.1</v>
      </c>
    </row>
    <row r="21" customFormat="false" ht="12.95" hidden="false" customHeight="true" outlineLevel="0" collapsed="false">
      <c r="A21" s="183" t="n">
        <f aca="false">A20+1</f>
        <v>7</v>
      </c>
      <c r="B21" s="106" t="n">
        <v>6901.42</v>
      </c>
      <c r="C21" s="107" t="n">
        <v>288850</v>
      </c>
      <c r="D21" s="215" t="n">
        <f aca="false">C21-C20</f>
        <v>-74</v>
      </c>
      <c r="E21" s="107" t="n">
        <f aca="false">C21-152000</f>
        <v>136850</v>
      </c>
      <c r="F21" s="246" t="n">
        <f aca="false">D21/$D$2</f>
        <v>-37.3077892614066</v>
      </c>
      <c r="G21" s="135" t="n">
        <v>39</v>
      </c>
      <c r="H21" s="247" t="n">
        <v>0.89</v>
      </c>
      <c r="I21" s="135" t="n">
        <f aca="false">G21+H21</f>
        <v>39.89</v>
      </c>
      <c r="J21" s="136" t="n">
        <f aca="false">IF(L21&gt;0,L21,0)</f>
        <v>0</v>
      </c>
      <c r="K21" s="135" t="n">
        <f aca="false">I21+J21</f>
        <v>39.89</v>
      </c>
      <c r="L21" s="135" t="n">
        <f aca="false">F21-(I21-AK21)</f>
        <v>-0.797789261406599</v>
      </c>
      <c r="M21" s="248" t="n">
        <v>3.4</v>
      </c>
      <c r="N21" s="135" t="n">
        <v>0</v>
      </c>
      <c r="O21" s="135" t="n">
        <v>0</v>
      </c>
      <c r="P21" s="158" t="n">
        <v>0</v>
      </c>
      <c r="Q21" s="131" t="n">
        <f aca="false">1126400/325851/1.9835*1.02</f>
        <v>1.77763073524358</v>
      </c>
      <c r="R21" s="131" t="n">
        <f aca="false">((1.9)*1.04)-T21</f>
        <v>1.518504</v>
      </c>
      <c r="S21" s="131" t="n">
        <v>0</v>
      </c>
      <c r="T21" s="131" t="n">
        <f aca="false">(0.415*1.06)*1.04</f>
        <v>0.457496</v>
      </c>
      <c r="U21" s="96" t="n">
        <f aca="false">M21-(Q21+R21+S21+T21)</f>
        <v>-0.353630735243582</v>
      </c>
      <c r="V21" s="135" t="n">
        <v>43</v>
      </c>
      <c r="W21" s="135" t="n">
        <v>0</v>
      </c>
      <c r="X21" s="135" t="n">
        <f aca="false">M21-N21-P21-O21-Q21-R21-S21-T21-U21+V21+W21</f>
        <v>43</v>
      </c>
      <c r="Y21" s="135" t="n">
        <f aca="false">X21-AO21</f>
        <v>43</v>
      </c>
      <c r="Z21" s="135"/>
      <c r="AA21" s="135"/>
      <c r="AB21" s="136"/>
      <c r="AC21" s="136" t="n">
        <v>0</v>
      </c>
      <c r="AD21" s="107"/>
      <c r="AE21" s="135" t="n">
        <v>0</v>
      </c>
      <c r="AF21" s="248"/>
      <c r="AG21" s="249"/>
      <c r="AH21" s="135" t="n">
        <v>30</v>
      </c>
      <c r="AI21" s="107" t="n">
        <f aca="false">AI20-AH21</f>
        <v>3317</v>
      </c>
      <c r="AJ21" s="107"/>
      <c r="AK21" s="134" t="n">
        <f aca="false">N21+O21+P21+Q21+R21+S21+T21+U21+X21+AE21+AH21</f>
        <v>76.4</v>
      </c>
      <c r="AL21" s="135" t="n">
        <f aca="false">IF(L21&lt;0,L21*-1,0)</f>
        <v>0.797789261406599</v>
      </c>
      <c r="AM21" s="135" t="n">
        <f aca="false">AK21+AL21</f>
        <v>77.1977892614066</v>
      </c>
      <c r="AN21" s="281" t="n">
        <f aca="false">X21</f>
        <v>43</v>
      </c>
      <c r="AO21" s="136" t="n">
        <v>0</v>
      </c>
      <c r="AP21" s="221"/>
      <c r="AV21" s="222" t="n">
        <v>0</v>
      </c>
      <c r="AW21" s="215" t="n">
        <v>48</v>
      </c>
      <c r="AX21" s="215" t="n">
        <v>21</v>
      </c>
      <c r="AY21" s="223"/>
      <c r="AZ21" s="250" t="n">
        <f aca="false">SUM(N21,P21:U21)</f>
        <v>3.4</v>
      </c>
    </row>
    <row r="22" customFormat="false" ht="12.95" hidden="false" customHeight="true" outlineLevel="0" collapsed="false">
      <c r="A22" s="183" t="n">
        <f aca="false">A21+1</f>
        <v>8</v>
      </c>
      <c r="B22" s="106" t="n">
        <v>6901.4</v>
      </c>
      <c r="C22" s="107" t="n">
        <v>288775</v>
      </c>
      <c r="D22" s="215" t="n">
        <f aca="false">C22-C21</f>
        <v>-75</v>
      </c>
      <c r="E22" s="107" t="n">
        <f aca="false">C22-152000</f>
        <v>136775</v>
      </c>
      <c r="F22" s="246" t="n">
        <f aca="false">D22/$D$2</f>
        <v>-37.8119485757499</v>
      </c>
      <c r="G22" s="135" t="n">
        <v>37</v>
      </c>
      <c r="H22" s="247" t="n">
        <v>0.85</v>
      </c>
      <c r="I22" s="135" t="n">
        <f aca="false">G22+H22</f>
        <v>37.85</v>
      </c>
      <c r="J22" s="136" t="n">
        <f aca="false">IF(L22&gt;0,L22,0)</f>
        <v>1.53805142425006</v>
      </c>
      <c r="K22" s="135" t="n">
        <f aca="false">I22+J22</f>
        <v>39.3880514242501</v>
      </c>
      <c r="L22" s="135" t="n">
        <f aca="false">F22-(I22-AK22)</f>
        <v>1.53805142425006</v>
      </c>
      <c r="M22" s="248" t="n">
        <v>4.2</v>
      </c>
      <c r="N22" s="135" t="n">
        <v>0</v>
      </c>
      <c r="O22" s="135" t="n">
        <v>0</v>
      </c>
      <c r="P22" s="158" t="n">
        <v>0</v>
      </c>
      <c r="Q22" s="131" t="n">
        <f aca="false">1063400/325851/1.9835*1.02</f>
        <v>1.67820714120918</v>
      </c>
      <c r="R22" s="131" t="n">
        <f aca="false">((1.9)*1.04)-T22</f>
        <v>1.518504</v>
      </c>
      <c r="S22" s="131" t="n">
        <v>0</v>
      </c>
      <c r="T22" s="131" t="n">
        <f aca="false">(0.415*1.06)*1.04</f>
        <v>0.457496</v>
      </c>
      <c r="U22" s="96" t="n">
        <f aca="false">M22-(Q22+R22+S22+T22)</f>
        <v>0.545792858790817</v>
      </c>
      <c r="V22" s="135" t="n">
        <v>43</v>
      </c>
      <c r="W22" s="135" t="n">
        <v>0</v>
      </c>
      <c r="X22" s="135" t="n">
        <f aca="false">M22-N22-P22-O22-Q22-R22-S22-T22-U22+V22+W22</f>
        <v>43</v>
      </c>
      <c r="Y22" s="135" t="n">
        <f aca="false">X22-AO22</f>
        <v>43</v>
      </c>
      <c r="Z22" s="135"/>
      <c r="AA22" s="135"/>
      <c r="AB22" s="136"/>
      <c r="AC22" s="136" t="n">
        <v>0</v>
      </c>
      <c r="AD22" s="107"/>
      <c r="AE22" s="135" t="n">
        <v>0</v>
      </c>
      <c r="AF22" s="248"/>
      <c r="AG22" s="249"/>
      <c r="AH22" s="135" t="n">
        <v>30</v>
      </c>
      <c r="AI22" s="107" t="n">
        <f aca="false">AI21-AH22</f>
        <v>3287</v>
      </c>
      <c r="AJ22" s="107"/>
      <c r="AK22" s="134" t="n">
        <f aca="false">N22+O22+P22+Q22+R22+S22+T22+U22+X22+AE22+AH22</f>
        <v>77.2</v>
      </c>
      <c r="AL22" s="135" t="n">
        <f aca="false">IF(L22&lt;0,L22*-1,0)</f>
        <v>0</v>
      </c>
      <c r="AM22" s="135" t="n">
        <f aca="false">AK22+AL22</f>
        <v>77.2</v>
      </c>
      <c r="AN22" s="281" t="n">
        <f aca="false">X22</f>
        <v>43</v>
      </c>
      <c r="AO22" s="136" t="n">
        <v>0</v>
      </c>
      <c r="AP22" s="221"/>
      <c r="AV22" s="222" t="n">
        <v>0</v>
      </c>
      <c r="AW22" s="107" t="n">
        <v>44</v>
      </c>
      <c r="AX22" s="215" t="n">
        <v>20</v>
      </c>
      <c r="AY22" s="223"/>
      <c r="AZ22" s="250" t="n">
        <f aca="false">SUM(N22,P22:U22)</f>
        <v>4.2</v>
      </c>
    </row>
    <row r="23" customFormat="false" ht="12.95" hidden="false" customHeight="true" outlineLevel="0" collapsed="false">
      <c r="A23" s="183" t="n">
        <f aca="false">A22+1</f>
        <v>9</v>
      </c>
      <c r="B23" s="106" t="n">
        <v>6901.39</v>
      </c>
      <c r="C23" s="107" t="n">
        <v>288738</v>
      </c>
      <c r="D23" s="215" t="n">
        <f aca="false">C23-C22</f>
        <v>-37</v>
      </c>
      <c r="E23" s="107" t="n">
        <f aca="false">C23-152000</f>
        <v>136738</v>
      </c>
      <c r="F23" s="246" t="n">
        <f aca="false">D23/$D$2</f>
        <v>-18.6538946307033</v>
      </c>
      <c r="G23" s="135" t="n">
        <v>37</v>
      </c>
      <c r="H23" s="247" t="n">
        <v>0.84</v>
      </c>
      <c r="I23" s="135" t="n">
        <f aca="false">G23+H23</f>
        <v>37.84</v>
      </c>
      <c r="J23" s="136" t="n">
        <f aca="false">IF(L23&gt;0,L23,0)</f>
        <v>12.4061053692967</v>
      </c>
      <c r="K23" s="135" t="n">
        <f aca="false">I23+J23</f>
        <v>50.2461053692967</v>
      </c>
      <c r="L23" s="135" t="n">
        <f aca="false">F23-(I23-AK23)</f>
        <v>12.4061053692967</v>
      </c>
      <c r="M23" s="248" t="n">
        <v>3.9</v>
      </c>
      <c r="N23" s="135" t="n">
        <v>0</v>
      </c>
      <c r="O23" s="135" t="n">
        <v>0</v>
      </c>
      <c r="P23" s="158" t="n">
        <v>0</v>
      </c>
      <c r="Q23" s="131" t="n">
        <f aca="false">1201000/325851/1.9835*1.02</f>
        <v>1.8953608957986</v>
      </c>
      <c r="R23" s="131" t="n">
        <f aca="false">((1.9)*1.04)-T23</f>
        <v>1.518504</v>
      </c>
      <c r="S23" s="131" t="n">
        <v>0</v>
      </c>
      <c r="T23" s="131" t="n">
        <f aca="false">(0.415*1.06)*1.04</f>
        <v>0.457496</v>
      </c>
      <c r="U23" s="96" t="n">
        <f aca="false">M23-(Q23+R23+S23+T23)</f>
        <v>0.0286391042014014</v>
      </c>
      <c r="V23" s="135" t="n">
        <v>35</v>
      </c>
      <c r="W23" s="135" t="n">
        <v>0</v>
      </c>
      <c r="X23" s="135" t="n">
        <f aca="false">M23-N23-P23-O23-Q23-R23-S23-T23-U23+V23+W23</f>
        <v>35</v>
      </c>
      <c r="Y23" s="135" t="n">
        <f aca="false">X23-AO23</f>
        <v>35</v>
      </c>
      <c r="Z23" s="135"/>
      <c r="AA23" s="135"/>
      <c r="AB23" s="136"/>
      <c r="AC23" s="136" t="n">
        <v>0</v>
      </c>
      <c r="AD23" s="107"/>
      <c r="AE23" s="135" t="n">
        <v>0</v>
      </c>
      <c r="AF23" s="248"/>
      <c r="AG23" s="249"/>
      <c r="AH23" s="135" t="n">
        <v>30</v>
      </c>
      <c r="AI23" s="107" t="n">
        <f aca="false">AI22-AH23</f>
        <v>3257</v>
      </c>
      <c r="AJ23" s="107"/>
      <c r="AK23" s="134" t="n">
        <f aca="false">N23+O23+P23+Q23+R23+S23+T23+U23+X23+AE23+AH23</f>
        <v>68.9</v>
      </c>
      <c r="AL23" s="135" t="n">
        <f aca="false">IF(L23&lt;0,L23*-1,0)</f>
        <v>0</v>
      </c>
      <c r="AM23" s="135" t="n">
        <f aca="false">AK23+AL23</f>
        <v>68.9</v>
      </c>
      <c r="AN23" s="281" t="n">
        <f aca="false">X23</f>
        <v>35</v>
      </c>
      <c r="AO23" s="136" t="n">
        <v>0</v>
      </c>
      <c r="AP23" s="221"/>
      <c r="AV23" s="222" t="n">
        <v>0</v>
      </c>
      <c r="AW23" s="107" t="n">
        <v>43</v>
      </c>
      <c r="AX23" s="215" t="n">
        <v>22</v>
      </c>
      <c r="AY23" s="223"/>
      <c r="AZ23" s="250" t="n">
        <f aca="false">SUM(N23,P23:U23)</f>
        <v>3.9</v>
      </c>
    </row>
    <row r="24" customFormat="false" ht="12.95" hidden="false" customHeight="true" outlineLevel="0" collapsed="false">
      <c r="A24" s="183" t="n">
        <f aca="false">A23+1</f>
        <v>10</v>
      </c>
      <c r="B24" s="106" t="n">
        <v>6901.37</v>
      </c>
      <c r="C24" s="107" t="n">
        <v>288663</v>
      </c>
      <c r="D24" s="215" t="n">
        <f aca="false">C24-C23</f>
        <v>-75</v>
      </c>
      <c r="E24" s="107" t="n">
        <f aca="false">C24-152000</f>
        <v>136663</v>
      </c>
      <c r="F24" s="246" t="n">
        <f aca="false">D24/$D$2</f>
        <v>-37.8119485757499</v>
      </c>
      <c r="G24" s="135" t="n">
        <v>37</v>
      </c>
      <c r="H24" s="247" t="n">
        <v>0.79</v>
      </c>
      <c r="I24" s="135" t="n">
        <f aca="false">G24+H24</f>
        <v>37.79</v>
      </c>
      <c r="J24" s="136" t="n">
        <f aca="false">IF(L24&gt;0,L24,0)</f>
        <v>0</v>
      </c>
      <c r="K24" s="135" t="n">
        <f aca="false">I24+J24</f>
        <v>37.79</v>
      </c>
      <c r="L24" s="135" t="n">
        <f aca="false">F24-(I24-AK24)</f>
        <v>-15.2019485757499</v>
      </c>
      <c r="M24" s="248" t="n">
        <v>3.4</v>
      </c>
      <c r="N24" s="135" t="n">
        <v>0</v>
      </c>
      <c r="O24" s="135" t="n">
        <v>0</v>
      </c>
      <c r="P24" s="158" t="n">
        <v>0</v>
      </c>
      <c r="Q24" s="131" t="n">
        <f aca="false">961400/325851/1.9835*1.02</f>
        <v>1.51723560801064</v>
      </c>
      <c r="R24" s="131" t="n">
        <f aca="false">((1.9)*1.04)-T24</f>
        <v>1.518504</v>
      </c>
      <c r="S24" s="131" t="n">
        <v>0</v>
      </c>
      <c r="T24" s="131" t="n">
        <f aca="false">(0.415*1.06)*1.04</f>
        <v>0.457496</v>
      </c>
      <c r="U24" s="96" t="n">
        <f aca="false">M24-(Q24+R24+S24+T24)</f>
        <v>-0.0932356080106351</v>
      </c>
      <c r="V24" s="135" t="n">
        <v>27</v>
      </c>
      <c r="W24" s="135" t="n">
        <v>0</v>
      </c>
      <c r="X24" s="135" t="n">
        <f aca="false">M24-N24-P24-O24-Q24-R24-S24-T24-U24+V24+W24</f>
        <v>27</v>
      </c>
      <c r="Y24" s="135" t="n">
        <f aca="false">X24-AO24</f>
        <v>27</v>
      </c>
      <c r="Z24" s="135"/>
      <c r="AA24" s="135"/>
      <c r="AB24" s="136"/>
      <c r="AC24" s="136" t="n">
        <v>0</v>
      </c>
      <c r="AD24" s="107"/>
      <c r="AE24" s="135" t="n">
        <v>0</v>
      </c>
      <c r="AF24" s="248"/>
      <c r="AG24" s="249"/>
      <c r="AH24" s="135" t="n">
        <v>30</v>
      </c>
      <c r="AI24" s="107" t="n">
        <f aca="false">AI23-AH24</f>
        <v>3227</v>
      </c>
      <c r="AJ24" s="107"/>
      <c r="AK24" s="134" t="n">
        <f aca="false">N24+O24+P24+Q24+R24+S24+T24+U24+X24+AE24+AH24</f>
        <v>60.4</v>
      </c>
      <c r="AL24" s="135" t="n">
        <f aca="false">IF(L24&lt;0,L24*-1,0)</f>
        <v>15.2019485757499</v>
      </c>
      <c r="AM24" s="135" t="n">
        <f aca="false">AK24+AL24</f>
        <v>75.6019485757499</v>
      </c>
      <c r="AN24" s="281" t="n">
        <f aca="false">X24</f>
        <v>27</v>
      </c>
      <c r="AO24" s="136" t="n">
        <v>0</v>
      </c>
      <c r="AP24" s="221"/>
      <c r="AV24" s="222" t="n">
        <v>0</v>
      </c>
      <c r="AW24" s="107" t="n">
        <v>46</v>
      </c>
      <c r="AX24" s="215" t="n">
        <v>19</v>
      </c>
      <c r="AY24" s="223"/>
      <c r="AZ24" s="250" t="n">
        <f aca="false">SUM(N24,P24:U24)</f>
        <v>3.4</v>
      </c>
    </row>
    <row r="25" customFormat="false" ht="12.95" hidden="false" customHeight="true" outlineLevel="0" collapsed="false">
      <c r="A25" s="183" t="n">
        <f aca="false">A24+1</f>
        <v>11</v>
      </c>
      <c r="B25" s="106" t="n">
        <v>6901.36</v>
      </c>
      <c r="C25" s="107" t="n">
        <v>288626</v>
      </c>
      <c r="D25" s="215" t="n">
        <f aca="false">C25-C24</f>
        <v>-37</v>
      </c>
      <c r="E25" s="107" t="n">
        <f aca="false">C25-152000</f>
        <v>136626</v>
      </c>
      <c r="F25" s="246" t="n">
        <f aca="false">D25/$D$2</f>
        <v>-18.6538946307033</v>
      </c>
      <c r="G25" s="135" t="n">
        <v>36</v>
      </c>
      <c r="H25" s="247" t="n">
        <v>0.7</v>
      </c>
      <c r="I25" s="135" t="n">
        <f aca="false">G25+H25</f>
        <v>36.7</v>
      </c>
      <c r="J25" s="136" t="n">
        <f aca="false">IF(L25&gt;0,L25,0)</f>
        <v>5.54610536929669</v>
      </c>
      <c r="K25" s="135" t="n">
        <f aca="false">I25+J25</f>
        <v>42.2461053692967</v>
      </c>
      <c r="L25" s="135" t="n">
        <f aca="false">F25-(I25-AK25)</f>
        <v>5.54610536929669</v>
      </c>
      <c r="M25" s="248" t="n">
        <v>3.9</v>
      </c>
      <c r="N25" s="135" t="n">
        <v>0</v>
      </c>
      <c r="O25" s="135" t="n">
        <v>0</v>
      </c>
      <c r="P25" s="158" t="n">
        <v>0</v>
      </c>
      <c r="Q25" s="131" t="n">
        <f aca="false">1069600/325851/1.9835*1.02</f>
        <v>1.687991685384</v>
      </c>
      <c r="R25" s="131" t="n">
        <f aca="false">((1.9)*1.04)-T25</f>
        <v>1.518504</v>
      </c>
      <c r="S25" s="131" t="n">
        <v>0</v>
      </c>
      <c r="T25" s="131" t="n">
        <f aca="false">(0.415*1.06)*1.04</f>
        <v>0.457496</v>
      </c>
      <c r="U25" s="96" t="n">
        <f aca="false">M25-(Q25+R25+S25+T25)</f>
        <v>0.236008314616002</v>
      </c>
      <c r="V25" s="135" t="n">
        <v>27</v>
      </c>
      <c r="W25" s="135" t="n">
        <v>0</v>
      </c>
      <c r="X25" s="135" t="n">
        <f aca="false">M25-N25-P25-O25-Q25-R25-S25-T25-U25+V25+W25</f>
        <v>27</v>
      </c>
      <c r="Y25" s="135" t="n">
        <f aca="false">X25-AO25</f>
        <v>27</v>
      </c>
      <c r="Z25" s="135"/>
      <c r="AA25" s="135"/>
      <c r="AB25" s="136"/>
      <c r="AC25" s="136" t="n">
        <v>0</v>
      </c>
      <c r="AD25" s="107"/>
      <c r="AE25" s="135" t="n">
        <v>0</v>
      </c>
      <c r="AF25" s="248"/>
      <c r="AG25" s="249"/>
      <c r="AH25" s="135" t="n">
        <v>30</v>
      </c>
      <c r="AI25" s="107" t="n">
        <f aca="false">AI24-AH25</f>
        <v>3197</v>
      </c>
      <c r="AJ25" s="107"/>
      <c r="AK25" s="134" t="n">
        <f aca="false">N25+O25+P25+Q25+R25+S25+T25+U25+X25+AE25+AH25</f>
        <v>60.9</v>
      </c>
      <c r="AL25" s="135" t="n">
        <f aca="false">IF(L25&lt;0,L25*-1,0)</f>
        <v>0</v>
      </c>
      <c r="AM25" s="135" t="n">
        <f aca="false">AK25+AL25</f>
        <v>60.9</v>
      </c>
      <c r="AN25" s="281" t="n">
        <f aca="false">X25</f>
        <v>27</v>
      </c>
      <c r="AO25" s="136" t="n">
        <v>0</v>
      </c>
      <c r="AP25" s="221"/>
      <c r="AV25" s="222" t="n">
        <v>0</v>
      </c>
      <c r="AW25" s="107" t="n">
        <v>39</v>
      </c>
      <c r="AX25" s="215" t="n">
        <v>18</v>
      </c>
      <c r="AY25" s="223"/>
      <c r="AZ25" s="250" t="n">
        <f aca="false">SUM(N25,P25:U25)</f>
        <v>3.9</v>
      </c>
    </row>
    <row r="26" customFormat="false" ht="12.95" hidden="false" customHeight="true" outlineLevel="0" collapsed="false">
      <c r="A26" s="183" t="n">
        <f aca="false">A25+1</f>
        <v>12</v>
      </c>
      <c r="B26" s="106" t="n">
        <v>6901.34</v>
      </c>
      <c r="C26" s="107" t="n">
        <v>288551</v>
      </c>
      <c r="D26" s="215" t="n">
        <f aca="false">C26-C25</f>
        <v>-75</v>
      </c>
      <c r="E26" s="107" t="n">
        <f aca="false">C26-152000</f>
        <v>136551</v>
      </c>
      <c r="F26" s="246" t="n">
        <f aca="false">D26/$D$2</f>
        <v>-37.8119485757499</v>
      </c>
      <c r="G26" s="135" t="n">
        <v>34</v>
      </c>
      <c r="H26" s="247" t="n">
        <v>0.32</v>
      </c>
      <c r="I26" s="135" t="n">
        <f aca="false">G26+H26</f>
        <v>34.32</v>
      </c>
      <c r="J26" s="136" t="n">
        <f aca="false">IF(L26&gt;0,L26,0)</f>
        <v>0</v>
      </c>
      <c r="K26" s="135" t="n">
        <f aca="false">I26+J26</f>
        <v>34.32</v>
      </c>
      <c r="L26" s="135" t="n">
        <f aca="false">F26-(I26-AK26)</f>
        <v>-10.2319485757499</v>
      </c>
      <c r="M26" s="248" t="n">
        <v>3.9</v>
      </c>
      <c r="N26" s="135" t="n">
        <v>0</v>
      </c>
      <c r="O26" s="135" t="n">
        <v>0</v>
      </c>
      <c r="P26" s="158" t="n">
        <v>0</v>
      </c>
      <c r="Q26" s="131" t="n">
        <f aca="false">966400/325851/1.9835*1.02</f>
        <v>1.52512636944194</v>
      </c>
      <c r="R26" s="131" t="n">
        <f aca="false">((1.9)*1.04)-T26</f>
        <v>1.518504</v>
      </c>
      <c r="S26" s="131" t="n">
        <v>0</v>
      </c>
      <c r="T26" s="131" t="n">
        <f aca="false">(0.415*1.06)*1.04</f>
        <v>0.457496</v>
      </c>
      <c r="U26" s="96" t="n">
        <f aca="false">M26-(Q26+R26+S26+T26)</f>
        <v>0.398873630558063</v>
      </c>
      <c r="V26" s="135" t="n">
        <v>28</v>
      </c>
      <c r="W26" s="135" t="n">
        <v>0</v>
      </c>
      <c r="X26" s="135" t="n">
        <f aca="false">M26-N26-P26-O26-Q26-R26-S26-T26-U26+V26+W26</f>
        <v>28</v>
      </c>
      <c r="Y26" s="135" t="n">
        <f aca="false">X26-AO26</f>
        <v>28</v>
      </c>
      <c r="Z26" s="135"/>
      <c r="AA26" s="135"/>
      <c r="AB26" s="136"/>
      <c r="AC26" s="136" t="n">
        <v>0</v>
      </c>
      <c r="AD26" s="107"/>
      <c r="AE26" s="135" t="n">
        <v>0</v>
      </c>
      <c r="AF26" s="248"/>
      <c r="AG26" s="249"/>
      <c r="AH26" s="135" t="n">
        <v>30</v>
      </c>
      <c r="AI26" s="107" t="n">
        <f aca="false">AI25-AH26</f>
        <v>3167</v>
      </c>
      <c r="AJ26" s="107"/>
      <c r="AK26" s="134" t="n">
        <f aca="false">N26+O26+P26+Q26+R26+S26+T26+U26+X26+AE26+AH26</f>
        <v>61.9</v>
      </c>
      <c r="AL26" s="135" t="n">
        <f aca="false">IF(L26&lt;0,L26*-1,0)</f>
        <v>10.2319485757499</v>
      </c>
      <c r="AM26" s="135" t="n">
        <f aca="false">AK26+AL26</f>
        <v>72.1319485757499</v>
      </c>
      <c r="AN26" s="281" t="n">
        <f aca="false">X26</f>
        <v>28</v>
      </c>
      <c r="AO26" s="136" t="n">
        <v>0</v>
      </c>
      <c r="AP26" s="221"/>
      <c r="AV26" s="222" t="n">
        <v>0</v>
      </c>
      <c r="AW26" s="107" t="n">
        <v>42</v>
      </c>
      <c r="AX26" s="215" t="n">
        <v>18</v>
      </c>
      <c r="AY26" s="223"/>
      <c r="AZ26" s="250" t="n">
        <f aca="false">SUM(N26,P26:U26)</f>
        <v>3.9</v>
      </c>
    </row>
    <row r="27" customFormat="false" ht="12.95" hidden="false" customHeight="true" outlineLevel="0" collapsed="false">
      <c r="A27" s="183" t="n">
        <f aca="false">A26+1</f>
        <v>13</v>
      </c>
      <c r="B27" s="106" t="n">
        <v>6901.32</v>
      </c>
      <c r="C27" s="107" t="n">
        <v>288476</v>
      </c>
      <c r="D27" s="215" t="n">
        <f aca="false">C27-C26</f>
        <v>-75</v>
      </c>
      <c r="E27" s="107" t="n">
        <f aca="false">C27-152000</f>
        <v>136476</v>
      </c>
      <c r="F27" s="246" t="n">
        <f aca="false">D27/$D$2</f>
        <v>-37.8119485757499</v>
      </c>
      <c r="G27" s="135" t="n">
        <v>33</v>
      </c>
      <c r="H27" s="247" t="n">
        <v>0.34</v>
      </c>
      <c r="I27" s="135" t="n">
        <f aca="false">G27+H27</f>
        <v>33.34</v>
      </c>
      <c r="J27" s="136" t="n">
        <f aca="false">IF(L27&gt;0,L27,0)</f>
        <v>0</v>
      </c>
      <c r="K27" s="135" t="n">
        <f aca="false">I27+J27</f>
        <v>33.34</v>
      </c>
      <c r="L27" s="135" t="n">
        <f aca="false">F27-(I27-AK27)</f>
        <v>-9.25194857574994</v>
      </c>
      <c r="M27" s="248" t="n">
        <v>3.9</v>
      </c>
      <c r="N27" s="135" t="n">
        <v>0</v>
      </c>
      <c r="O27" s="135" t="n">
        <v>0</v>
      </c>
      <c r="P27" s="158" t="n">
        <v>0</v>
      </c>
      <c r="Q27" s="131" t="n">
        <f aca="false">918000/325851/1.9835*1.02</f>
        <v>1.44874379878694</v>
      </c>
      <c r="R27" s="131" t="n">
        <f aca="false">((1.9)*1.04)-T27</f>
        <v>1.54154416</v>
      </c>
      <c r="S27" s="131" t="n">
        <v>0</v>
      </c>
      <c r="T27" s="131" t="n">
        <f aca="false">(0.3941*1.06)*1.04</f>
        <v>0.43445584</v>
      </c>
      <c r="U27" s="96" t="n">
        <f aca="false">M27-(Q27+R27+S27+T27)</f>
        <v>0.475256201213061</v>
      </c>
      <c r="V27" s="135" t="n">
        <v>28</v>
      </c>
      <c r="W27" s="135" t="n">
        <v>0</v>
      </c>
      <c r="X27" s="135" t="n">
        <f aca="false">M27-N27-P27-O27-Q27-R27-S27-T27-U27+V27+W27</f>
        <v>28</v>
      </c>
      <c r="Y27" s="135" t="n">
        <f aca="false">X27-AO27</f>
        <v>28</v>
      </c>
      <c r="Z27" s="135"/>
      <c r="AA27" s="135"/>
      <c r="AB27" s="136"/>
      <c r="AC27" s="136" t="n">
        <v>0</v>
      </c>
      <c r="AD27" s="107"/>
      <c r="AE27" s="135" t="n">
        <v>0</v>
      </c>
      <c r="AF27" s="248"/>
      <c r="AG27" s="249"/>
      <c r="AH27" s="135" t="n">
        <v>30</v>
      </c>
      <c r="AI27" s="107" t="n">
        <f aca="false">AI26-AH27</f>
        <v>3137</v>
      </c>
      <c r="AJ27" s="107"/>
      <c r="AK27" s="134" t="n">
        <f aca="false">N27+O27+P27+Q27+R27+S27+T27+U27+X27+AE27+AH27</f>
        <v>61.9</v>
      </c>
      <c r="AL27" s="135" t="n">
        <f aca="false">IF(L27&lt;0,L27*-1,0)</f>
        <v>9.25194857574994</v>
      </c>
      <c r="AM27" s="135" t="n">
        <f aca="false">AK27+AL27</f>
        <v>71.1519485757499</v>
      </c>
      <c r="AN27" s="281" t="n">
        <f aca="false">X27</f>
        <v>28</v>
      </c>
      <c r="AO27" s="136" t="n">
        <v>0</v>
      </c>
      <c r="AP27" s="221"/>
      <c r="AV27" s="222" t="n">
        <v>0</v>
      </c>
      <c r="AW27" s="107" t="n">
        <v>43</v>
      </c>
      <c r="AX27" s="215" t="n">
        <v>12</v>
      </c>
      <c r="AY27" s="223"/>
      <c r="AZ27" s="250" t="n">
        <f aca="false">SUM(N27,P27:U27)</f>
        <v>3.9</v>
      </c>
    </row>
    <row r="28" customFormat="false" ht="12.95" hidden="false" customHeight="true" outlineLevel="0" collapsed="false">
      <c r="A28" s="183" t="n">
        <f aca="false">A27+1</f>
        <v>14</v>
      </c>
      <c r="B28" s="106" t="n">
        <v>6901.3</v>
      </c>
      <c r="C28" s="107" t="n">
        <v>288402</v>
      </c>
      <c r="D28" s="215" t="n">
        <f aca="false">C28-C27</f>
        <v>-74</v>
      </c>
      <c r="E28" s="107" t="n">
        <f aca="false">C28-152000</f>
        <v>136402</v>
      </c>
      <c r="F28" s="246" t="n">
        <f aca="false">D28/$D$2</f>
        <v>-37.3077892614066</v>
      </c>
      <c r="G28" s="135" t="n">
        <v>33</v>
      </c>
      <c r="H28" s="247" t="n">
        <v>0.43</v>
      </c>
      <c r="I28" s="135" t="n">
        <f aca="false">G28+H28</f>
        <v>33.43</v>
      </c>
      <c r="J28" s="136" t="n">
        <f aca="false">IF(L28&gt;0,L28,0)</f>
        <v>0</v>
      </c>
      <c r="K28" s="135" t="n">
        <f aca="false">I28+J28</f>
        <v>33.43</v>
      </c>
      <c r="L28" s="135" t="n">
        <f aca="false">F28-(I28-AK28)</f>
        <v>-8.83778926140661</v>
      </c>
      <c r="M28" s="248" t="n">
        <v>3.9</v>
      </c>
      <c r="N28" s="135" t="n">
        <v>0</v>
      </c>
      <c r="O28" s="135" t="n">
        <v>0</v>
      </c>
      <c r="P28" s="158" t="n">
        <v>0</v>
      </c>
      <c r="Q28" s="131" t="n">
        <f aca="false">1247300/325851/1.9835*1.02</f>
        <v>1.96842934665245</v>
      </c>
      <c r="R28" s="131" t="n">
        <f aca="false">((1.9)*1.04)-T28</f>
        <v>1.54154416</v>
      </c>
      <c r="S28" s="131" t="n">
        <v>0</v>
      </c>
      <c r="T28" s="131" t="n">
        <f aca="false">(0.3941*1.06)*1.04</f>
        <v>0.43445584</v>
      </c>
      <c r="U28" s="96" t="n">
        <f aca="false">M28-(Q28+R28+S28+T28)</f>
        <v>-0.0444293466524495</v>
      </c>
      <c r="V28" s="135" t="n">
        <v>28</v>
      </c>
      <c r="W28" s="135" t="n">
        <v>0</v>
      </c>
      <c r="X28" s="135" t="n">
        <f aca="false">M28-N28-P28-O28-Q28-R28-S28-T28-U28+V28+W28</f>
        <v>28</v>
      </c>
      <c r="Y28" s="135" t="n">
        <f aca="false">X28-AO28</f>
        <v>28</v>
      </c>
      <c r="Z28" s="135"/>
      <c r="AA28" s="135"/>
      <c r="AB28" s="136"/>
      <c r="AC28" s="136" t="n">
        <v>0</v>
      </c>
      <c r="AD28" s="107"/>
      <c r="AE28" s="135" t="n">
        <v>0</v>
      </c>
      <c r="AF28" s="248"/>
      <c r="AG28" s="249"/>
      <c r="AH28" s="135" t="n">
        <v>30</v>
      </c>
      <c r="AI28" s="107" t="n">
        <f aca="false">AI27-AH28</f>
        <v>3107</v>
      </c>
      <c r="AJ28" s="107"/>
      <c r="AK28" s="134" t="n">
        <f aca="false">N28+O28+P28+Q28+R28+S28+T28+U28+X28+AE28+AH28</f>
        <v>61.9</v>
      </c>
      <c r="AL28" s="135" t="n">
        <f aca="false">IF(L28&lt;0,L28*-1,0)</f>
        <v>8.83778926140661</v>
      </c>
      <c r="AM28" s="135" t="n">
        <f aca="false">AK28+AL28</f>
        <v>70.7377892614066</v>
      </c>
      <c r="AN28" s="281" t="n">
        <f aca="false">X28</f>
        <v>28</v>
      </c>
      <c r="AO28" s="136" t="n">
        <v>0</v>
      </c>
      <c r="AP28" s="221"/>
      <c r="AV28" s="222" t="n">
        <v>0</v>
      </c>
      <c r="AW28" s="107" t="n">
        <v>47</v>
      </c>
      <c r="AX28" s="215" t="n">
        <v>18</v>
      </c>
      <c r="AY28" s="223"/>
      <c r="AZ28" s="250" t="n">
        <f aca="false">SUM(N28,P28:U28)</f>
        <v>3.9</v>
      </c>
    </row>
    <row r="29" customFormat="false" ht="12.95" hidden="false" customHeight="true" outlineLevel="0" collapsed="false">
      <c r="A29" s="183" t="n">
        <f aca="false">A28+1</f>
        <v>15</v>
      </c>
      <c r="B29" s="106" t="n">
        <v>6901.28</v>
      </c>
      <c r="C29" s="107" t="n">
        <v>288327</v>
      </c>
      <c r="D29" s="215" t="n">
        <f aca="false">C29-C28</f>
        <v>-75</v>
      </c>
      <c r="E29" s="107" t="n">
        <f aca="false">C29-152000</f>
        <v>136327</v>
      </c>
      <c r="F29" s="246" t="n">
        <f aca="false">D29/$D$2</f>
        <v>-37.8119485757499</v>
      </c>
      <c r="G29" s="135" t="n">
        <v>33</v>
      </c>
      <c r="H29" s="247" t="n">
        <v>0.49</v>
      </c>
      <c r="I29" s="135" t="n">
        <f aca="false">G29+H29</f>
        <v>33.49</v>
      </c>
      <c r="J29" s="136" t="n">
        <f aca="false">IF(L29&gt;0,L29,0)</f>
        <v>0</v>
      </c>
      <c r="K29" s="135" t="n">
        <f aca="false">I29+J29</f>
        <v>33.49</v>
      </c>
      <c r="L29" s="135" t="n">
        <f aca="false">F29-(I29-AK29)</f>
        <v>-9.40194857574994</v>
      </c>
      <c r="M29" s="248" t="n">
        <v>3.9</v>
      </c>
      <c r="N29" s="135" t="n">
        <v>0</v>
      </c>
      <c r="O29" s="135" t="n">
        <v>0</v>
      </c>
      <c r="P29" s="158" t="n">
        <v>0</v>
      </c>
      <c r="Q29" s="131" t="n">
        <f aca="false">1302700/325851/1.9835*1.02</f>
        <v>2.05585898331127</v>
      </c>
      <c r="R29" s="131" t="n">
        <f aca="false">((1.9)*1.04)-T29</f>
        <v>1.54154416</v>
      </c>
      <c r="S29" s="131" t="n">
        <v>0</v>
      </c>
      <c r="T29" s="131" t="n">
        <f aca="false">(0.3941*1.06)*1.04</f>
        <v>0.43445584</v>
      </c>
      <c r="U29" s="96" t="n">
        <f aca="false">M29-(Q29+R29+S29+T29)</f>
        <v>-0.13185898331127</v>
      </c>
      <c r="V29" s="135" t="n">
        <v>28</v>
      </c>
      <c r="W29" s="135" t="n">
        <v>0</v>
      </c>
      <c r="X29" s="135" t="n">
        <f aca="false">M29-N29-P29-O29-Q29-R29-S29-T29-U29+V29+W29</f>
        <v>28</v>
      </c>
      <c r="Y29" s="135" t="n">
        <f aca="false">X29-AO29</f>
        <v>28</v>
      </c>
      <c r="Z29" s="135"/>
      <c r="AA29" s="135"/>
      <c r="AB29" s="136"/>
      <c r="AC29" s="136" t="n">
        <v>0</v>
      </c>
      <c r="AD29" s="107"/>
      <c r="AE29" s="135" t="n">
        <v>0</v>
      </c>
      <c r="AF29" s="248"/>
      <c r="AG29" s="249"/>
      <c r="AH29" s="135" t="n">
        <v>30</v>
      </c>
      <c r="AI29" s="107" t="n">
        <f aca="false">AI28-AH29</f>
        <v>3077</v>
      </c>
      <c r="AJ29" s="107"/>
      <c r="AK29" s="134" t="n">
        <f aca="false">N29+O29+P29+Q29+R29+S29+T29+U29+X29+AE29+AH29</f>
        <v>61.9</v>
      </c>
      <c r="AL29" s="135" t="n">
        <f aca="false">IF(L29&lt;0,L29*-1,0)</f>
        <v>9.40194857574994</v>
      </c>
      <c r="AM29" s="135" t="n">
        <f aca="false">AK29+AL29</f>
        <v>71.3019485757499</v>
      </c>
      <c r="AN29" s="281" t="n">
        <f aca="false">X29</f>
        <v>28</v>
      </c>
      <c r="AO29" s="136" t="n">
        <v>0</v>
      </c>
      <c r="AP29" s="221"/>
      <c r="AV29" s="222" t="n">
        <v>0</v>
      </c>
      <c r="AW29" s="107" t="n">
        <v>47</v>
      </c>
      <c r="AX29" s="215" t="n">
        <v>21</v>
      </c>
      <c r="AY29" s="223"/>
      <c r="AZ29" s="250" t="n">
        <f aca="false">SUM(N29,P29:U29)</f>
        <v>3.9</v>
      </c>
    </row>
    <row r="30" customFormat="false" ht="12.95" hidden="false" customHeight="true" outlineLevel="0" collapsed="false">
      <c r="A30" s="183" t="n">
        <f aca="false">A29+1</f>
        <v>16</v>
      </c>
      <c r="B30" s="106" t="n">
        <v>6901.29</v>
      </c>
      <c r="C30" s="107" t="n">
        <v>288364</v>
      </c>
      <c r="D30" s="215" t="n">
        <f aca="false">C30-C29</f>
        <v>37</v>
      </c>
      <c r="E30" s="107" t="n">
        <f aca="false">C30-152000</f>
        <v>136364</v>
      </c>
      <c r="F30" s="246" t="n">
        <f aca="false">D30/$D$2</f>
        <v>18.6538946307033</v>
      </c>
      <c r="G30" s="135" t="n">
        <v>33</v>
      </c>
      <c r="H30" s="247" t="n">
        <v>0.6</v>
      </c>
      <c r="I30" s="135" t="n">
        <f aca="false">G30+H30</f>
        <v>33.6</v>
      </c>
      <c r="J30" s="136" t="n">
        <f aca="false">IF(L30&gt;0,L30,0)</f>
        <v>46.9538946307033</v>
      </c>
      <c r="K30" s="135" t="n">
        <f aca="false">I30+J30</f>
        <v>80.5538946307033</v>
      </c>
      <c r="L30" s="135" t="n">
        <f aca="false">F30-(I30-AK30)</f>
        <v>46.9538946307033</v>
      </c>
      <c r="M30" s="248" t="n">
        <v>3.9</v>
      </c>
      <c r="N30" s="135" t="n">
        <v>0</v>
      </c>
      <c r="O30" s="135" t="n">
        <v>0</v>
      </c>
      <c r="P30" s="158" t="n">
        <v>0</v>
      </c>
      <c r="Q30" s="131" t="n">
        <f aca="false">928800/325851/1.9835*1.02</f>
        <v>1.46578784347855</v>
      </c>
      <c r="R30" s="131" t="n">
        <f aca="false">((1.9)*1.04)-T30</f>
        <v>1.54154416</v>
      </c>
      <c r="S30" s="131" t="n">
        <v>0</v>
      </c>
      <c r="T30" s="131" t="n">
        <f aca="false">(0.3941*1.06)*1.04</f>
        <v>0.43445584</v>
      </c>
      <c r="U30" s="96" t="n">
        <f aca="false">M30-(Q30+R30+S30+T30)</f>
        <v>0.45821215652145</v>
      </c>
      <c r="V30" s="135" t="n">
        <v>28</v>
      </c>
      <c r="W30" s="135" t="n">
        <v>0</v>
      </c>
      <c r="X30" s="135" t="n">
        <f aca="false">M30-N30-P30-O30-Q30-R30-S30-T30-U30+V30+W30</f>
        <v>28</v>
      </c>
      <c r="Y30" s="135" t="n">
        <f aca="false">X30-AO30</f>
        <v>28</v>
      </c>
      <c r="Z30" s="135"/>
      <c r="AA30" s="135"/>
      <c r="AB30" s="136"/>
      <c r="AC30" s="136" t="n">
        <v>0</v>
      </c>
      <c r="AD30" s="107"/>
      <c r="AE30" s="135" t="n">
        <v>0</v>
      </c>
      <c r="AF30" s="248"/>
      <c r="AG30" s="249"/>
      <c r="AH30" s="135" t="n">
        <v>30</v>
      </c>
      <c r="AI30" s="107" t="n">
        <f aca="false">AI29-AH30</f>
        <v>3047</v>
      </c>
      <c r="AJ30" s="107"/>
      <c r="AK30" s="134" t="n">
        <f aca="false">N30+O30+P30+Q30+R30+S30+T30+U30+X30+AE30+AH30</f>
        <v>61.9</v>
      </c>
      <c r="AL30" s="135" t="n">
        <f aca="false">IF(L30&lt;0,L30*-1,0)</f>
        <v>0</v>
      </c>
      <c r="AM30" s="135" t="n">
        <f aca="false">AK30+AL30</f>
        <v>61.9</v>
      </c>
      <c r="AN30" s="281" t="n">
        <f aca="false">X30</f>
        <v>28</v>
      </c>
      <c r="AO30" s="136" t="n">
        <v>0</v>
      </c>
      <c r="AP30" s="221"/>
      <c r="AV30" s="222" t="n">
        <v>0.05</v>
      </c>
      <c r="AW30" s="107" t="n">
        <v>38</v>
      </c>
      <c r="AX30" s="215" t="n">
        <v>17</v>
      </c>
      <c r="AY30" s="223"/>
      <c r="AZ30" s="250" t="n">
        <f aca="false">SUM(N30,P30:U30)</f>
        <v>3.9</v>
      </c>
    </row>
    <row r="31" customFormat="false" ht="12.95" hidden="false" customHeight="true" outlineLevel="0" collapsed="false">
      <c r="A31" s="183" t="n">
        <f aca="false">A30+1</f>
        <v>17</v>
      </c>
      <c r="B31" s="106" t="n">
        <v>6901.28</v>
      </c>
      <c r="C31" s="107" t="n">
        <v>288327</v>
      </c>
      <c r="D31" s="215" t="n">
        <f aca="false">C31-C30</f>
        <v>-37</v>
      </c>
      <c r="E31" s="107" t="n">
        <f aca="false">C31-152000</f>
        <v>136327</v>
      </c>
      <c r="F31" s="246" t="n">
        <f aca="false">D31/$D$2</f>
        <v>-18.6538946307033</v>
      </c>
      <c r="G31" s="135" t="n">
        <v>34</v>
      </c>
      <c r="H31" s="247" t="n">
        <v>0.74</v>
      </c>
      <c r="I31" s="135" t="n">
        <f aca="false">G31+H31</f>
        <v>34.74</v>
      </c>
      <c r="J31" s="136" t="n">
        <f aca="false">IF(L31&gt;0,L31,0)</f>
        <v>8.50610536929669</v>
      </c>
      <c r="K31" s="135" t="n">
        <f aca="false">I31+J31</f>
        <v>43.2461053692967</v>
      </c>
      <c r="L31" s="135" t="n">
        <f aca="false">F31-(I31-AK31)</f>
        <v>8.50610536929669</v>
      </c>
      <c r="M31" s="248" t="n">
        <v>3.9</v>
      </c>
      <c r="N31" s="135" t="n">
        <v>0</v>
      </c>
      <c r="O31" s="135" t="n">
        <v>0</v>
      </c>
      <c r="P31" s="158" t="n">
        <v>0</v>
      </c>
      <c r="Q31" s="131" t="n">
        <f aca="false">988500/325851/1.9835*1.02</f>
        <v>1.56000353496829</v>
      </c>
      <c r="R31" s="131" t="n">
        <f aca="false">((1.9)*1.04)-T31</f>
        <v>1.54154416</v>
      </c>
      <c r="S31" s="131" t="n">
        <v>0</v>
      </c>
      <c r="T31" s="131" t="n">
        <f aca="false">(0.3941*1.06)*1.04</f>
        <v>0.43445584</v>
      </c>
      <c r="U31" s="96" t="n">
        <f aca="false">M31-(Q31+R31+S31+T31)</f>
        <v>0.363996465031712</v>
      </c>
      <c r="V31" s="135" t="n">
        <v>28</v>
      </c>
      <c r="W31" s="135" t="n">
        <v>0</v>
      </c>
      <c r="X31" s="135" t="n">
        <f aca="false">M31-N31-P31-O31-Q31-R31-S31-T31-U31+V31+W31</f>
        <v>28</v>
      </c>
      <c r="Y31" s="135" t="n">
        <f aca="false">X31-AO31</f>
        <v>28</v>
      </c>
      <c r="Z31" s="135"/>
      <c r="AA31" s="135"/>
      <c r="AB31" s="136"/>
      <c r="AC31" s="136" t="n">
        <v>0</v>
      </c>
      <c r="AD31" s="107"/>
      <c r="AE31" s="135" t="n">
        <v>0</v>
      </c>
      <c r="AF31" s="248"/>
      <c r="AG31" s="249"/>
      <c r="AH31" s="135" t="n">
        <v>30</v>
      </c>
      <c r="AI31" s="107" t="n">
        <f aca="false">AI30-AH31</f>
        <v>3017</v>
      </c>
      <c r="AJ31" s="107"/>
      <c r="AK31" s="134" t="n">
        <f aca="false">N31+O31+P31+Q31+R31+S31+T31+U31+X31+AE31+AH31</f>
        <v>61.9</v>
      </c>
      <c r="AL31" s="135" t="n">
        <f aca="false">IF(L31&lt;0,L31*-1,0)</f>
        <v>0</v>
      </c>
      <c r="AM31" s="135" t="n">
        <f aca="false">AK31+AL31</f>
        <v>61.9</v>
      </c>
      <c r="AN31" s="281" t="n">
        <f aca="false">X31</f>
        <v>28</v>
      </c>
      <c r="AO31" s="136" t="n">
        <v>0</v>
      </c>
      <c r="AP31" s="221"/>
      <c r="AV31" s="222" t="n">
        <v>0.02</v>
      </c>
      <c r="AW31" s="107" t="n">
        <v>36</v>
      </c>
      <c r="AX31" s="215" t="n">
        <v>12</v>
      </c>
      <c r="AY31" s="223"/>
      <c r="AZ31" s="250" t="n">
        <f aca="false">SUM(N31,P31:U31)</f>
        <v>3.9</v>
      </c>
    </row>
    <row r="32" customFormat="false" ht="12.95" hidden="false" customHeight="true" outlineLevel="0" collapsed="false">
      <c r="A32" s="183" t="n">
        <f aca="false">A31+1</f>
        <v>18</v>
      </c>
      <c r="B32" s="106" t="n">
        <v>6901.26</v>
      </c>
      <c r="C32" s="107" t="n">
        <v>288252</v>
      </c>
      <c r="D32" s="215" t="n">
        <f aca="false">C32-C31</f>
        <v>-75</v>
      </c>
      <c r="E32" s="107" t="n">
        <f aca="false">C32-152000</f>
        <v>136252</v>
      </c>
      <c r="F32" s="246" t="n">
        <f aca="false">D32/$D$2</f>
        <v>-37.8119485757499</v>
      </c>
      <c r="G32" s="135" t="n">
        <v>34</v>
      </c>
      <c r="H32" s="247" t="n">
        <v>1</v>
      </c>
      <c r="I32" s="135" t="n">
        <f aca="false">G32+H32</f>
        <v>35</v>
      </c>
      <c r="J32" s="136" t="n">
        <f aca="false">IF(L32&gt;0,L32,0)</f>
        <v>0</v>
      </c>
      <c r="K32" s="135" t="n">
        <f aca="false">I32+J32</f>
        <v>35</v>
      </c>
      <c r="L32" s="135" t="n">
        <f aca="false">F32-(I32-AK32)</f>
        <v>-11.6119485757499</v>
      </c>
      <c r="M32" s="248" t="n">
        <v>3.2</v>
      </c>
      <c r="N32" s="135" t="n">
        <v>0</v>
      </c>
      <c r="O32" s="135" t="n">
        <v>0</v>
      </c>
      <c r="P32" s="158" t="n">
        <v>0</v>
      </c>
      <c r="Q32" s="131" t="n">
        <f aca="false">971600/325851/1.9835*1.02</f>
        <v>1.53333276133049</v>
      </c>
      <c r="R32" s="131" t="n">
        <f aca="false">((1.9)*1.04)-T32</f>
        <v>1.54154416</v>
      </c>
      <c r="S32" s="131" t="n">
        <v>0</v>
      </c>
      <c r="T32" s="131" t="n">
        <f aca="false">(0.3941*1.06)*1.04</f>
        <v>0.43445584</v>
      </c>
      <c r="U32" s="96" t="n">
        <f aca="false">M32-(Q32+R32+S32+T32)</f>
        <v>-0.30933276133049</v>
      </c>
      <c r="V32" s="135" t="n">
        <v>28</v>
      </c>
      <c r="W32" s="135" t="n">
        <v>0</v>
      </c>
      <c r="X32" s="135" t="n">
        <f aca="false">M32-N32-P32-O32-Q32-R32-S32-T32-U32+V32+W32</f>
        <v>28</v>
      </c>
      <c r="Y32" s="135" t="n">
        <f aca="false">X32-AO32</f>
        <v>28</v>
      </c>
      <c r="Z32" s="135"/>
      <c r="AA32" s="135"/>
      <c r="AB32" s="136"/>
      <c r="AC32" s="136" t="n">
        <v>0</v>
      </c>
      <c r="AD32" s="107"/>
      <c r="AE32" s="135" t="n">
        <v>0</v>
      </c>
      <c r="AF32" s="248"/>
      <c r="AG32" s="249"/>
      <c r="AH32" s="135" t="n">
        <v>30</v>
      </c>
      <c r="AI32" s="107" t="n">
        <f aca="false">AI31-AH32</f>
        <v>2987</v>
      </c>
      <c r="AJ32" s="107"/>
      <c r="AK32" s="134" t="n">
        <f aca="false">N32+O32+P32+Q32+R32+S32+T32+U32+X32+AE32+AH32</f>
        <v>61.2</v>
      </c>
      <c r="AL32" s="135" t="n">
        <f aca="false">IF(L32&lt;0,L32*-1,0)</f>
        <v>11.6119485757499</v>
      </c>
      <c r="AM32" s="135" t="n">
        <f aca="false">AK32+AL32</f>
        <v>72.8119485757499</v>
      </c>
      <c r="AN32" s="281" t="n">
        <f aca="false">X32</f>
        <v>28</v>
      </c>
      <c r="AO32" s="136" t="n">
        <v>0</v>
      </c>
      <c r="AP32" s="221"/>
      <c r="AV32" s="222" t="n">
        <v>0.04</v>
      </c>
      <c r="AW32" s="107" t="n">
        <v>41</v>
      </c>
      <c r="AX32" s="215" t="n">
        <v>16</v>
      </c>
      <c r="AY32" s="223"/>
      <c r="AZ32" s="250" t="n">
        <f aca="false">SUM(N32,P32:U32)</f>
        <v>3.2</v>
      </c>
    </row>
    <row r="33" customFormat="false" ht="12.95" hidden="false" customHeight="true" outlineLevel="0" collapsed="false">
      <c r="A33" s="183" t="n">
        <f aca="false">A32+1</f>
        <v>19</v>
      </c>
      <c r="B33" s="106" t="n">
        <v>6901.24</v>
      </c>
      <c r="C33" s="107" t="n">
        <v>288178</v>
      </c>
      <c r="D33" s="215" t="n">
        <f aca="false">C33-C32</f>
        <v>-74</v>
      </c>
      <c r="E33" s="107" t="n">
        <f aca="false">C33-152000</f>
        <v>136178</v>
      </c>
      <c r="F33" s="246" t="n">
        <f aca="false">D33/$D$2</f>
        <v>-37.3077892614066</v>
      </c>
      <c r="G33" s="135" t="n">
        <v>34</v>
      </c>
      <c r="H33" s="247" t="n">
        <v>1</v>
      </c>
      <c r="I33" s="135" t="n">
        <f aca="false">G33+H33</f>
        <v>35</v>
      </c>
      <c r="J33" s="136" t="n">
        <f aca="false">IF(L33&gt;0,L33,0)</f>
        <v>0</v>
      </c>
      <c r="K33" s="135" t="n">
        <f aca="false">I33+J33</f>
        <v>35</v>
      </c>
      <c r="L33" s="135" t="n">
        <f aca="false">F33-(I33-AK33)</f>
        <v>-11.0077892614066</v>
      </c>
      <c r="M33" s="248" t="n">
        <v>4.3</v>
      </c>
      <c r="N33" s="135" t="n">
        <v>0</v>
      </c>
      <c r="O33" s="135" t="n">
        <v>0</v>
      </c>
      <c r="P33" s="158" t="n">
        <v>0</v>
      </c>
      <c r="Q33" s="131" t="n">
        <f aca="false">883500/325851/1.9835*1.02</f>
        <v>1.39429754491096</v>
      </c>
      <c r="R33" s="131" t="n">
        <f aca="false">((2)*1.04)-T33</f>
        <v>1.64554416</v>
      </c>
      <c r="S33" s="131" t="n">
        <v>0</v>
      </c>
      <c r="T33" s="131" t="n">
        <f aca="false">(0.3941*1.06)*1.04</f>
        <v>0.43445584</v>
      </c>
      <c r="U33" s="96" t="n">
        <f aca="false">M33-(Q33+R33+S33+T33)</f>
        <v>0.825702455089041</v>
      </c>
      <c r="V33" s="135" t="n">
        <v>27</v>
      </c>
      <c r="W33" s="135" t="n">
        <v>0</v>
      </c>
      <c r="X33" s="135" t="n">
        <f aca="false">M33-N33-P33-O33-Q33-R33-S33-T33-U33+V33+W33</f>
        <v>27</v>
      </c>
      <c r="Y33" s="135" t="n">
        <f aca="false">X33-AO33</f>
        <v>27</v>
      </c>
      <c r="Z33" s="135"/>
      <c r="AA33" s="135"/>
      <c r="AB33" s="136"/>
      <c r="AC33" s="136" t="n">
        <v>0</v>
      </c>
      <c r="AD33" s="107"/>
      <c r="AE33" s="135" t="n">
        <v>0</v>
      </c>
      <c r="AF33" s="248"/>
      <c r="AG33" s="249"/>
      <c r="AH33" s="135" t="n">
        <v>30</v>
      </c>
      <c r="AI33" s="107" t="n">
        <f aca="false">AI32-AH33</f>
        <v>2957</v>
      </c>
      <c r="AJ33" s="107"/>
      <c r="AK33" s="134" t="n">
        <f aca="false">N33+O33+P33+Q33+R33+S33+T33+U33+X33+AE33+AH33</f>
        <v>61.3</v>
      </c>
      <c r="AL33" s="135" t="n">
        <f aca="false">IF(L33&lt;0,L33*-1,0)</f>
        <v>11.0077892614066</v>
      </c>
      <c r="AM33" s="135" t="n">
        <f aca="false">AK33+AL33</f>
        <v>72.3077892614066</v>
      </c>
      <c r="AN33" s="281" t="n">
        <f aca="false">X33</f>
        <v>27</v>
      </c>
      <c r="AO33" s="136" t="n">
        <v>0</v>
      </c>
      <c r="AP33" s="221"/>
      <c r="AV33" s="222" t="n">
        <v>0.02</v>
      </c>
      <c r="AW33" s="107" t="n">
        <v>52</v>
      </c>
      <c r="AX33" s="215" t="n">
        <v>24</v>
      </c>
      <c r="AY33" s="223"/>
      <c r="AZ33" s="250" t="n">
        <f aca="false">SUM(N33,P33:U33)</f>
        <v>4.3</v>
      </c>
    </row>
    <row r="34" customFormat="false" ht="12.95" hidden="false" customHeight="true" outlineLevel="0" collapsed="false">
      <c r="A34" s="183" t="n">
        <f aca="false">A33+1</f>
        <v>20</v>
      </c>
      <c r="B34" s="106" t="n">
        <v>6901.23</v>
      </c>
      <c r="C34" s="107" t="n">
        <v>288140</v>
      </c>
      <c r="D34" s="215" t="n">
        <f aca="false">C34-C33</f>
        <v>-38</v>
      </c>
      <c r="E34" s="107" t="n">
        <f aca="false">C34-152000</f>
        <v>136140</v>
      </c>
      <c r="F34" s="246" t="n">
        <f aca="false">D34/$D$2</f>
        <v>-19.1580539450466</v>
      </c>
      <c r="G34" s="135" t="n">
        <v>33</v>
      </c>
      <c r="H34" s="247" t="n">
        <v>1</v>
      </c>
      <c r="I34" s="135" t="n">
        <f aca="false">G34+H34</f>
        <v>34</v>
      </c>
      <c r="J34" s="136" t="n">
        <f aca="false">IF(L34&gt;0,L34,0)</f>
        <v>8.24194605495336</v>
      </c>
      <c r="K34" s="135" t="n">
        <f aca="false">I34+J34</f>
        <v>42.2419460549534</v>
      </c>
      <c r="L34" s="135" t="n">
        <f aca="false">F34-(I34-AK34)</f>
        <v>8.24194605495336</v>
      </c>
      <c r="M34" s="248" t="n">
        <v>3.4</v>
      </c>
      <c r="N34" s="135" t="n">
        <v>0</v>
      </c>
      <c r="O34" s="135" t="n">
        <v>0</v>
      </c>
      <c r="P34" s="158" t="n">
        <v>0</v>
      </c>
      <c r="Q34" s="131" t="n">
        <f aca="false">1001200/325851/1.9835*1.02</f>
        <v>1.58004606900379</v>
      </c>
      <c r="R34" s="131" t="n">
        <f aca="false">((2)*1.04)-T34</f>
        <v>1.71929472</v>
      </c>
      <c r="S34" s="131" t="n">
        <v>0</v>
      </c>
      <c r="T34" s="131" t="n">
        <f aca="false">(0.3272*1.06)*1.04</f>
        <v>0.36070528</v>
      </c>
      <c r="U34" s="96" t="n">
        <f aca="false">M34-(Q34+R34+S34+T34)</f>
        <v>-0.260046069003795</v>
      </c>
      <c r="V34" s="135" t="n">
        <v>28</v>
      </c>
      <c r="W34" s="135" t="n">
        <v>0</v>
      </c>
      <c r="X34" s="135" t="n">
        <f aca="false">M34-N34-P34-O34-Q34-R34-S34-T34-U34+V34+W34</f>
        <v>28</v>
      </c>
      <c r="Y34" s="135" t="n">
        <f aca="false">X34-AO34</f>
        <v>28</v>
      </c>
      <c r="Z34" s="135"/>
      <c r="AA34" s="135"/>
      <c r="AB34" s="136"/>
      <c r="AC34" s="136" t="n">
        <v>0</v>
      </c>
      <c r="AD34" s="107"/>
      <c r="AE34" s="135" t="n">
        <v>0</v>
      </c>
      <c r="AF34" s="248"/>
      <c r="AG34" s="249"/>
      <c r="AH34" s="135" t="n">
        <v>30</v>
      </c>
      <c r="AI34" s="107" t="n">
        <f aca="false">AI33-AH34</f>
        <v>2927</v>
      </c>
      <c r="AJ34" s="107"/>
      <c r="AK34" s="134" t="n">
        <f aca="false">N34+O34+P34+Q34+R34+S34+T34+U34+X34+AE34+AH34</f>
        <v>61.4</v>
      </c>
      <c r="AL34" s="135" t="n">
        <f aca="false">IF(L34&lt;0,L34*-1,0)</f>
        <v>0</v>
      </c>
      <c r="AM34" s="135" t="n">
        <f aca="false">AK34+AL34</f>
        <v>61.4</v>
      </c>
      <c r="AN34" s="281" t="n">
        <f aca="false">X34</f>
        <v>28</v>
      </c>
      <c r="AO34" s="136" t="n">
        <v>0</v>
      </c>
      <c r="AP34" s="221"/>
      <c r="AV34" s="222" t="n">
        <v>0</v>
      </c>
      <c r="AW34" s="107" t="n">
        <v>50</v>
      </c>
      <c r="AX34" s="215" t="n">
        <v>28</v>
      </c>
      <c r="AY34" s="223"/>
      <c r="AZ34" s="250" t="n">
        <f aca="false">SUM(N34,P34:U34)</f>
        <v>3.4</v>
      </c>
    </row>
    <row r="35" customFormat="false" ht="12.95" hidden="false" customHeight="true" outlineLevel="0" collapsed="false">
      <c r="A35" s="183" t="n">
        <f aca="false">A34+1</f>
        <v>21</v>
      </c>
      <c r="B35" s="106" t="n">
        <v>6901.25</v>
      </c>
      <c r="C35" s="107" t="n">
        <v>288215</v>
      </c>
      <c r="D35" s="215" t="n">
        <f aca="false">C35-C34</f>
        <v>75</v>
      </c>
      <c r="E35" s="107" t="n">
        <f aca="false">C35-152000</f>
        <v>136215</v>
      </c>
      <c r="F35" s="246" t="n">
        <f aca="false">D35/$D$2</f>
        <v>37.8119485757499</v>
      </c>
      <c r="G35" s="135" t="n">
        <v>32</v>
      </c>
      <c r="H35" s="247" t="n">
        <v>1.1</v>
      </c>
      <c r="I35" s="135" t="n">
        <f aca="false">G35+H35</f>
        <v>33.1</v>
      </c>
      <c r="J35" s="136" t="n">
        <f aca="false">IF(L35&gt;0,L35,0)</f>
        <v>65.6119485757499</v>
      </c>
      <c r="K35" s="135" t="n">
        <f aca="false">I35+J35</f>
        <v>98.71194857575</v>
      </c>
      <c r="L35" s="135" t="n">
        <f aca="false">F35-(I35-AK35)</f>
        <v>65.6119485757499</v>
      </c>
      <c r="M35" s="248" t="n">
        <v>3.9</v>
      </c>
      <c r="N35" s="135" t="n">
        <v>0</v>
      </c>
      <c r="O35" s="135" t="n">
        <v>0</v>
      </c>
      <c r="P35" s="158" t="n">
        <v>0</v>
      </c>
      <c r="Q35" s="131" t="n">
        <f aca="false">964200/325851/1.9835*1.02</f>
        <v>1.52165443441216</v>
      </c>
      <c r="R35" s="131" t="n">
        <f aca="false">((2)*1.04)-T35</f>
        <v>1.71929472</v>
      </c>
      <c r="S35" s="131" t="n">
        <v>0</v>
      </c>
      <c r="T35" s="131" t="n">
        <f aca="false">(0.3272*1.06)*1.04</f>
        <v>0.36070528</v>
      </c>
      <c r="U35" s="96" t="n">
        <f aca="false">M35-(Q35+R35+S35+T35)</f>
        <v>0.298345565587836</v>
      </c>
      <c r="V35" s="135" t="n">
        <v>27</v>
      </c>
      <c r="W35" s="135" t="n">
        <v>0</v>
      </c>
      <c r="X35" s="135" t="n">
        <f aca="false">M35-N35-P35-O35-Q35-R35-S35-T35-U35+V35+W35</f>
        <v>27</v>
      </c>
      <c r="Y35" s="135" t="n">
        <f aca="false">X35-AO35</f>
        <v>27</v>
      </c>
      <c r="Z35" s="135"/>
      <c r="AA35" s="135"/>
      <c r="AB35" s="136"/>
      <c r="AC35" s="136" t="n">
        <v>0</v>
      </c>
      <c r="AD35" s="107"/>
      <c r="AE35" s="135" t="n">
        <v>0</v>
      </c>
      <c r="AF35" s="248"/>
      <c r="AG35" s="249"/>
      <c r="AH35" s="135" t="n">
        <v>30</v>
      </c>
      <c r="AI35" s="107" t="n">
        <f aca="false">AI34-AH35</f>
        <v>2897</v>
      </c>
      <c r="AJ35" s="107"/>
      <c r="AK35" s="134" t="n">
        <f aca="false">N35+O35+P35+Q35+R35+S35+T35+U35+X35+AE35+AH35</f>
        <v>60.9</v>
      </c>
      <c r="AL35" s="135" t="n">
        <f aca="false">IF(L35&lt;0,L35*-1,0)</f>
        <v>0</v>
      </c>
      <c r="AM35" s="135" t="n">
        <f aca="false">AK35+AL35</f>
        <v>60.9</v>
      </c>
      <c r="AN35" s="281" t="n">
        <f aca="false">X35</f>
        <v>27</v>
      </c>
      <c r="AO35" s="136" t="n">
        <v>0</v>
      </c>
      <c r="AP35" s="221"/>
      <c r="AV35" s="222" t="n">
        <v>0.07</v>
      </c>
      <c r="AW35" s="107" t="n">
        <v>40</v>
      </c>
      <c r="AX35" s="215" t="n">
        <v>28</v>
      </c>
      <c r="AY35" s="223"/>
      <c r="AZ35" s="250" t="n">
        <f aca="false">SUM(N35,P35:U35)</f>
        <v>3.9</v>
      </c>
    </row>
    <row r="36" customFormat="false" ht="12.95" hidden="false" customHeight="true" outlineLevel="0" collapsed="false">
      <c r="A36" s="183" t="n">
        <f aca="false">A35+1</f>
        <v>22</v>
      </c>
      <c r="B36" s="106" t="n">
        <v>6901.26</v>
      </c>
      <c r="C36" s="107" t="n">
        <v>288252</v>
      </c>
      <c r="D36" s="215" t="n">
        <f aca="false">C36-C35</f>
        <v>37</v>
      </c>
      <c r="E36" s="107" t="n">
        <f aca="false">C36-152000</f>
        <v>136252</v>
      </c>
      <c r="F36" s="246" t="n">
        <f aca="false">D36/$D$2</f>
        <v>18.6538946307033</v>
      </c>
      <c r="G36" s="135" t="n">
        <v>32</v>
      </c>
      <c r="H36" s="247" t="n">
        <v>1.3</v>
      </c>
      <c r="I36" s="135" t="n">
        <f aca="false">G36+H36</f>
        <v>33.3</v>
      </c>
      <c r="J36" s="136" t="n">
        <f aca="false">IF(L36&gt;0,L36,0)</f>
        <v>46.9538946307033</v>
      </c>
      <c r="K36" s="135" t="n">
        <f aca="false">I36+J36</f>
        <v>80.2538946307033</v>
      </c>
      <c r="L36" s="135" t="n">
        <f aca="false">F36-(I36-AK36)</f>
        <v>46.9538946307033</v>
      </c>
      <c r="M36" s="248" t="n">
        <v>3.6</v>
      </c>
      <c r="N36" s="135" t="n">
        <v>0</v>
      </c>
      <c r="O36" s="135" t="n">
        <v>0</v>
      </c>
      <c r="P36" s="158" t="n">
        <v>0</v>
      </c>
      <c r="Q36" s="131" t="n">
        <f aca="false">1050600/325851/1.9835*1.02</f>
        <v>1.65800679194505</v>
      </c>
      <c r="R36" s="131" t="n">
        <f aca="false">((2)*1.04)-T36</f>
        <v>1.71929472</v>
      </c>
      <c r="S36" s="131" t="n">
        <v>0</v>
      </c>
      <c r="T36" s="131" t="n">
        <f aca="false">(0.3272*1.06)*1.04</f>
        <v>0.36070528</v>
      </c>
      <c r="U36" s="96" t="n">
        <f aca="false">M36-(Q36+R36+S36+T36)</f>
        <v>-0.138006791945053</v>
      </c>
      <c r="V36" s="135" t="n">
        <v>28</v>
      </c>
      <c r="W36" s="135" t="n">
        <v>0</v>
      </c>
      <c r="X36" s="135" t="n">
        <f aca="false">M36-N36-P36-O36-Q36-R36-S36-T36-U36+V36+W36</f>
        <v>28</v>
      </c>
      <c r="Y36" s="135" t="n">
        <f aca="false">X36-AO36</f>
        <v>28</v>
      </c>
      <c r="Z36" s="135"/>
      <c r="AA36" s="135"/>
      <c r="AB36" s="136"/>
      <c r="AC36" s="136" t="n">
        <v>0</v>
      </c>
      <c r="AD36" s="107"/>
      <c r="AE36" s="135" t="n">
        <v>0</v>
      </c>
      <c r="AF36" s="248"/>
      <c r="AG36" s="249"/>
      <c r="AH36" s="135" t="n">
        <v>30</v>
      </c>
      <c r="AI36" s="107" t="n">
        <f aca="false">AI35-AH36</f>
        <v>2867</v>
      </c>
      <c r="AJ36" s="107"/>
      <c r="AK36" s="134" t="n">
        <f aca="false">N36+O36+P36+Q36+R36+S36+T36+U36+X36+AE36+AH36</f>
        <v>61.6</v>
      </c>
      <c r="AL36" s="135" t="n">
        <f aca="false">IF(L36&lt;0,L36*-1,0)</f>
        <v>0</v>
      </c>
      <c r="AM36" s="135" t="n">
        <f aca="false">AK36+AL36</f>
        <v>61.6</v>
      </c>
      <c r="AN36" s="281" t="n">
        <f aca="false">X36</f>
        <v>28</v>
      </c>
      <c r="AO36" s="136" t="n">
        <v>0</v>
      </c>
      <c r="AP36" s="221"/>
      <c r="AV36" s="222" t="n">
        <v>0.05</v>
      </c>
      <c r="AW36" s="107" t="n">
        <v>31</v>
      </c>
      <c r="AX36" s="215" t="n">
        <v>16</v>
      </c>
      <c r="AY36" s="223"/>
      <c r="AZ36" s="250" t="n">
        <f aca="false">SUM(N36,P36:U36)</f>
        <v>3.6</v>
      </c>
    </row>
    <row r="37" customFormat="false" ht="12.95" hidden="false" customHeight="true" outlineLevel="0" collapsed="false">
      <c r="A37" s="183" t="n">
        <f aca="false">A36+1</f>
        <v>23</v>
      </c>
      <c r="B37" s="106" t="n">
        <v>6901.27</v>
      </c>
      <c r="C37" s="107" t="n">
        <v>288290</v>
      </c>
      <c r="D37" s="215" t="n">
        <f aca="false">C37-C36</f>
        <v>38</v>
      </c>
      <c r="E37" s="107" t="n">
        <f aca="false">C37-152000</f>
        <v>136290</v>
      </c>
      <c r="F37" s="246" t="n">
        <f aca="false">D37/$D$2</f>
        <v>19.1580539450466</v>
      </c>
      <c r="G37" s="135" t="n">
        <v>32</v>
      </c>
      <c r="H37" s="247" t="n">
        <v>1.5</v>
      </c>
      <c r="I37" s="135" t="n">
        <f aca="false">G37+H37</f>
        <v>33.5</v>
      </c>
      <c r="J37" s="136" t="n">
        <f aca="false">IF(L37&gt;0,L37,0)</f>
        <v>47.2580539450466</v>
      </c>
      <c r="K37" s="135" t="n">
        <f aca="false">I37+J37</f>
        <v>80.7580539450466</v>
      </c>
      <c r="L37" s="135" t="n">
        <f aca="false">F37-(I37-AK37)</f>
        <v>47.2580539450466</v>
      </c>
      <c r="M37" s="248" t="n">
        <v>3.6</v>
      </c>
      <c r="N37" s="135" t="n">
        <v>0</v>
      </c>
      <c r="O37" s="135" t="n">
        <v>0</v>
      </c>
      <c r="P37" s="158" t="n">
        <v>0</v>
      </c>
      <c r="Q37" s="131" t="n">
        <f aca="false">958100/325851/1.9835*1.02</f>
        <v>1.51202770546598</v>
      </c>
      <c r="R37" s="131" t="n">
        <f aca="false">((2)*1.04)-T37</f>
        <v>1.71929472</v>
      </c>
      <c r="S37" s="131" t="n">
        <v>0</v>
      </c>
      <c r="T37" s="131" t="n">
        <f aca="false">(0.3272*1.06)*1.04</f>
        <v>0.36070528</v>
      </c>
      <c r="U37" s="96" t="n">
        <f aca="false">M37-(Q37+R37+S37+T37)</f>
        <v>0.00797229453402393</v>
      </c>
      <c r="V37" s="135" t="n">
        <v>28</v>
      </c>
      <c r="W37" s="135" t="n">
        <v>0</v>
      </c>
      <c r="X37" s="135" t="n">
        <f aca="false">M37-N37-P37-O37-Q37-R37-S37-T37-U37+V37+W37</f>
        <v>28</v>
      </c>
      <c r="Y37" s="135" t="n">
        <f aca="false">X37-AO37</f>
        <v>28</v>
      </c>
      <c r="Z37" s="135"/>
      <c r="AA37" s="135"/>
      <c r="AB37" s="136"/>
      <c r="AC37" s="136" t="n">
        <v>0</v>
      </c>
      <c r="AD37" s="107"/>
      <c r="AE37" s="135" t="n">
        <v>0</v>
      </c>
      <c r="AF37" s="248"/>
      <c r="AG37" s="249"/>
      <c r="AH37" s="135" t="n">
        <v>30</v>
      </c>
      <c r="AI37" s="107" t="n">
        <f aca="false">AI36-AH37</f>
        <v>2837</v>
      </c>
      <c r="AJ37" s="107"/>
      <c r="AK37" s="134" t="n">
        <f aca="false">N37+O37+P37+Q37+R37+S37+T37+U37+X37+AE37+AH37</f>
        <v>61.6</v>
      </c>
      <c r="AL37" s="135" t="n">
        <f aca="false">IF(L37&lt;0,L37*-1,0)</f>
        <v>0</v>
      </c>
      <c r="AM37" s="135" t="n">
        <f aca="false">AK37+AL37</f>
        <v>61.6</v>
      </c>
      <c r="AN37" s="281" t="n">
        <f aca="false">X37</f>
        <v>28</v>
      </c>
      <c r="AO37" s="136" t="n">
        <v>0</v>
      </c>
      <c r="AP37" s="221"/>
      <c r="AV37" s="222" t="n">
        <v>0.05</v>
      </c>
      <c r="AW37" s="107" t="n">
        <v>36</v>
      </c>
      <c r="AX37" s="221" t="n">
        <v>14</v>
      </c>
      <c r="AY37" s="251"/>
      <c r="AZ37" s="250" t="n">
        <f aca="false">SUM(N37,P37:U37)</f>
        <v>3.6</v>
      </c>
    </row>
    <row r="38" customFormat="false" ht="12.95" hidden="false" customHeight="true" outlineLevel="0" collapsed="false">
      <c r="A38" s="183" t="n">
        <f aca="false">A37+1</f>
        <v>24</v>
      </c>
      <c r="B38" s="106" t="n">
        <v>6901.26</v>
      </c>
      <c r="C38" s="107" t="n">
        <v>288252</v>
      </c>
      <c r="D38" s="215" t="n">
        <f aca="false">C38-C37</f>
        <v>-38</v>
      </c>
      <c r="E38" s="107" t="n">
        <f aca="false">C38-152000</f>
        <v>136252</v>
      </c>
      <c r="F38" s="246" t="n">
        <f aca="false">D38/$D$2</f>
        <v>-19.1580539450466</v>
      </c>
      <c r="G38" s="135" t="n">
        <v>34</v>
      </c>
      <c r="H38" s="247" t="n">
        <v>1.5</v>
      </c>
      <c r="I38" s="135" t="n">
        <f aca="false">G38+H38</f>
        <v>35.5</v>
      </c>
      <c r="J38" s="136" t="n">
        <f aca="false">IF(L38&gt;0,L38,0)</f>
        <v>7.64194605495336</v>
      </c>
      <c r="K38" s="135" t="n">
        <f aca="false">I38+J38</f>
        <v>43.1419460549534</v>
      </c>
      <c r="L38" s="135" t="n">
        <f aca="false">F38-(I38-AK38)</f>
        <v>7.64194605495336</v>
      </c>
      <c r="M38" s="248" t="n">
        <v>4.3</v>
      </c>
      <c r="N38" s="135" t="n">
        <v>0</v>
      </c>
      <c r="O38" s="135" t="n">
        <v>0</v>
      </c>
      <c r="P38" s="158" t="n">
        <v>0</v>
      </c>
      <c r="Q38" s="131" t="n">
        <f aca="false">884500/325851/1.9835*1.02</f>
        <v>1.39587569719722</v>
      </c>
      <c r="R38" s="131" t="n">
        <f aca="false">((2.1)*1.04)-T38</f>
        <v>1.82329472</v>
      </c>
      <c r="S38" s="131" t="n">
        <v>0</v>
      </c>
      <c r="T38" s="131" t="n">
        <f aca="false">(0.3272*1.06)*1.04</f>
        <v>0.36070528</v>
      </c>
      <c r="U38" s="96" t="n">
        <f aca="false">M38-(Q38+R38+S38+T38)</f>
        <v>0.72012430280278</v>
      </c>
      <c r="V38" s="135" t="n">
        <v>28</v>
      </c>
      <c r="W38" s="135" t="n">
        <v>0</v>
      </c>
      <c r="X38" s="135" t="n">
        <f aca="false">M38-N38-P38-O38-Q38-R38-S38-T38-U38+V38+W38</f>
        <v>28</v>
      </c>
      <c r="Y38" s="135" t="n">
        <f aca="false">X38-AO38</f>
        <v>28</v>
      </c>
      <c r="Z38" s="135"/>
      <c r="AA38" s="135"/>
      <c r="AB38" s="136"/>
      <c r="AC38" s="136" t="n">
        <v>0</v>
      </c>
      <c r="AD38" s="107"/>
      <c r="AE38" s="135" t="n">
        <v>0</v>
      </c>
      <c r="AF38" s="248"/>
      <c r="AG38" s="249"/>
      <c r="AH38" s="135" t="n">
        <v>30</v>
      </c>
      <c r="AI38" s="107" t="n">
        <f aca="false">AI37-AH38</f>
        <v>2807</v>
      </c>
      <c r="AJ38" s="107"/>
      <c r="AK38" s="134" t="n">
        <f aca="false">N38+O38+P38+Q38+R38+S38+T38+U38+X38+AE38+AH38</f>
        <v>62.3</v>
      </c>
      <c r="AL38" s="135" t="n">
        <f aca="false">IF(L38&lt;0,L38*-1,0)</f>
        <v>0</v>
      </c>
      <c r="AM38" s="135" t="n">
        <f aca="false">AK38+AL38</f>
        <v>62.3</v>
      </c>
      <c r="AN38" s="281" t="n">
        <f aca="false">X38</f>
        <v>28</v>
      </c>
      <c r="AO38" s="136" t="n">
        <v>0</v>
      </c>
      <c r="AP38" s="221"/>
      <c r="AV38" s="222" t="n">
        <v>0.07</v>
      </c>
      <c r="AW38" s="107" t="n">
        <v>37</v>
      </c>
      <c r="AX38" s="221" t="n">
        <v>26</v>
      </c>
      <c r="AY38" s="251"/>
      <c r="AZ38" s="250" t="n">
        <f aca="false">SUM(N38,P38:U38)</f>
        <v>4.3</v>
      </c>
    </row>
    <row r="39" customFormat="false" ht="12.95" hidden="false" customHeight="true" outlineLevel="0" collapsed="false">
      <c r="A39" s="183" t="n">
        <f aca="false">A38+1</f>
        <v>25</v>
      </c>
      <c r="B39" s="106" t="n">
        <v>6901.25</v>
      </c>
      <c r="C39" s="107" t="n">
        <v>288215</v>
      </c>
      <c r="D39" s="215" t="n">
        <f aca="false">C39-C38</f>
        <v>-37</v>
      </c>
      <c r="E39" s="107" t="n">
        <f aca="false">C39-152000</f>
        <v>136215</v>
      </c>
      <c r="F39" s="246" t="n">
        <f aca="false">D39/$D$2</f>
        <v>-18.6538946307033</v>
      </c>
      <c r="G39" s="135" t="n">
        <v>34</v>
      </c>
      <c r="H39" s="247" t="n">
        <v>1.8</v>
      </c>
      <c r="I39" s="135" t="n">
        <f aca="false">G39+H39</f>
        <v>35.8</v>
      </c>
      <c r="J39" s="136" t="n">
        <f aca="false">IF(L39&gt;0,L39,0)</f>
        <v>7.0461053692967</v>
      </c>
      <c r="K39" s="135" t="n">
        <f aca="false">I39+J39</f>
        <v>42.8461053692967</v>
      </c>
      <c r="L39" s="135" t="n">
        <f aca="false">F39-(I39-AK39)</f>
        <v>7.0461053692967</v>
      </c>
      <c r="M39" s="248" t="n">
        <v>3.5</v>
      </c>
      <c r="N39" s="135" t="n">
        <v>0</v>
      </c>
      <c r="O39" s="135" t="n">
        <v>0</v>
      </c>
      <c r="P39" s="158" t="n">
        <v>0</v>
      </c>
      <c r="Q39" s="131" t="n">
        <f aca="false">957500/325851/1.9835*1.02</f>
        <v>1.51108081409422</v>
      </c>
      <c r="R39" s="131" t="n">
        <f aca="false">((2.1)*1.04)-T39</f>
        <v>1.82329472</v>
      </c>
      <c r="S39" s="131" t="n">
        <v>0</v>
      </c>
      <c r="T39" s="131" t="n">
        <f aca="false">(0.3272*1.06)*1.04</f>
        <v>0.36070528</v>
      </c>
      <c r="U39" s="96" t="n">
        <f aca="false">M39-(Q39+R39+S39+T39)</f>
        <v>-0.19508081409422</v>
      </c>
      <c r="V39" s="135" t="n">
        <v>28</v>
      </c>
      <c r="W39" s="135" t="n">
        <v>0</v>
      </c>
      <c r="X39" s="135" t="n">
        <f aca="false">M39-N39-P39-O39-Q39-R39-S39-T39-U39+V39+W39</f>
        <v>28</v>
      </c>
      <c r="Y39" s="135" t="n">
        <f aca="false">X39-AO39</f>
        <v>28</v>
      </c>
      <c r="Z39" s="135"/>
      <c r="AA39" s="135"/>
      <c r="AB39" s="136"/>
      <c r="AC39" s="136" t="n">
        <v>0</v>
      </c>
      <c r="AD39" s="107"/>
      <c r="AE39" s="135" t="n">
        <v>0</v>
      </c>
      <c r="AF39" s="248"/>
      <c r="AG39" s="249"/>
      <c r="AH39" s="135" t="n">
        <v>30</v>
      </c>
      <c r="AI39" s="107" t="n">
        <f aca="false">AI38-AH39</f>
        <v>2777</v>
      </c>
      <c r="AJ39" s="107"/>
      <c r="AK39" s="134" t="n">
        <f aca="false">N39+O39+P39+Q39+R39+S39+T39+U39+X39+AE39+AH39</f>
        <v>61.5</v>
      </c>
      <c r="AL39" s="135" t="n">
        <f aca="false">IF(L39&lt;0,L39*-1,0)</f>
        <v>0</v>
      </c>
      <c r="AM39" s="135" t="n">
        <f aca="false">AK39+AL39</f>
        <v>61.5</v>
      </c>
      <c r="AN39" s="281" t="n">
        <f aca="false">X39</f>
        <v>28</v>
      </c>
      <c r="AO39" s="136" t="n">
        <v>0</v>
      </c>
      <c r="AP39" s="221"/>
      <c r="AV39" s="222" t="n">
        <v>0.14</v>
      </c>
      <c r="AW39" s="107" t="n">
        <v>51</v>
      </c>
      <c r="AX39" s="221" t="n">
        <v>15</v>
      </c>
      <c r="AY39" s="251"/>
      <c r="AZ39" s="250" t="n">
        <f aca="false">SUM(N39,P39:U39)</f>
        <v>3.5</v>
      </c>
    </row>
    <row r="40" customFormat="false" ht="12.95" hidden="false" customHeight="true" outlineLevel="0" collapsed="false">
      <c r="A40" s="183" t="n">
        <f aca="false">A39+1</f>
        <v>26</v>
      </c>
      <c r="B40" s="106" t="n">
        <v>6901.25</v>
      </c>
      <c r="C40" s="107" t="n">
        <v>288215</v>
      </c>
      <c r="D40" s="215" t="n">
        <f aca="false">C40-C39</f>
        <v>0</v>
      </c>
      <c r="E40" s="107" t="n">
        <f aca="false">C40-152000</f>
        <v>136215</v>
      </c>
      <c r="F40" s="246" t="n">
        <f aca="false">D40/$D$2</f>
        <v>0</v>
      </c>
      <c r="G40" s="135" t="n">
        <v>33</v>
      </c>
      <c r="H40" s="247" t="n">
        <v>1.8</v>
      </c>
      <c r="I40" s="135" t="n">
        <f aca="false">G40+H40</f>
        <v>34.8</v>
      </c>
      <c r="J40" s="136" t="n">
        <f aca="false">IF(L40&gt;0,L40,0)</f>
        <v>27.3</v>
      </c>
      <c r="K40" s="135" t="n">
        <f aca="false">I40+J40</f>
        <v>62.1</v>
      </c>
      <c r="L40" s="135" t="n">
        <f aca="false">F40-(I40-AK40)</f>
        <v>27.3</v>
      </c>
      <c r="M40" s="248" t="n">
        <v>4.1</v>
      </c>
      <c r="N40" s="135" t="n">
        <v>0</v>
      </c>
      <c r="O40" s="135" t="n">
        <v>0</v>
      </c>
      <c r="P40" s="158" t="n">
        <v>0</v>
      </c>
      <c r="Q40" s="131" t="n">
        <f aca="false">889100/325851/1.9835*1.02</f>
        <v>1.40313519771402</v>
      </c>
      <c r="R40" s="131" t="n">
        <f aca="false">((2.1)*1.04)-T40</f>
        <v>1.82329472</v>
      </c>
      <c r="S40" s="131" t="n">
        <v>0</v>
      </c>
      <c r="T40" s="131" t="n">
        <f aca="false">(0.3272*1.06)*1.04</f>
        <v>0.36070528</v>
      </c>
      <c r="U40" s="96" t="n">
        <f aca="false">M40-(Q40+R40+S40+T40)</f>
        <v>0.512864802285983</v>
      </c>
      <c r="V40" s="135" t="n">
        <v>28</v>
      </c>
      <c r="W40" s="135" t="n">
        <v>0</v>
      </c>
      <c r="X40" s="135" t="n">
        <f aca="false">M40-N40-P40-O40-Q40-R40-S40-T40-U40+V40+W40</f>
        <v>28</v>
      </c>
      <c r="Y40" s="135" t="n">
        <f aca="false">X40-AO40</f>
        <v>28</v>
      </c>
      <c r="Z40" s="135"/>
      <c r="AA40" s="135"/>
      <c r="AB40" s="136"/>
      <c r="AC40" s="136" t="n">
        <v>4.6</v>
      </c>
      <c r="AD40" s="107"/>
      <c r="AE40" s="135" t="n">
        <v>0</v>
      </c>
      <c r="AF40" s="248"/>
      <c r="AG40" s="249"/>
      <c r="AH40" s="135" t="n">
        <v>30</v>
      </c>
      <c r="AI40" s="107" t="n">
        <f aca="false">AI39-AH40</f>
        <v>2747</v>
      </c>
      <c r="AJ40" s="107"/>
      <c r="AK40" s="134" t="n">
        <f aca="false">N40+O40+P40+Q40+R40+S40+T40+U40+X40+AE40+AH40</f>
        <v>62.1</v>
      </c>
      <c r="AL40" s="135" t="n">
        <f aca="false">IF(L40&lt;0,L40*-1,0)</f>
        <v>0</v>
      </c>
      <c r="AM40" s="135" t="n">
        <f aca="false">AK40+AL40</f>
        <v>62.1</v>
      </c>
      <c r="AN40" s="281" t="n">
        <f aca="false">X40</f>
        <v>28</v>
      </c>
      <c r="AO40" s="136" t="n">
        <v>0</v>
      </c>
      <c r="AP40" s="221"/>
      <c r="AV40" s="222" t="n">
        <v>0</v>
      </c>
      <c r="AW40" s="107" t="n">
        <v>46</v>
      </c>
      <c r="AX40" s="215" t="n">
        <v>24</v>
      </c>
      <c r="AY40" s="223"/>
      <c r="AZ40" s="250" t="n">
        <f aca="false">SUM(N40,P40:U40)</f>
        <v>4.1</v>
      </c>
    </row>
    <row r="41" customFormat="false" ht="12.95" hidden="false" customHeight="true" outlineLevel="0" collapsed="false">
      <c r="A41" s="183" t="n">
        <f aca="false">A40+1</f>
        <v>27</v>
      </c>
      <c r="B41" s="106" t="n">
        <v>6901.24</v>
      </c>
      <c r="C41" s="107" t="n">
        <v>288178</v>
      </c>
      <c r="D41" s="215" t="n">
        <f aca="false">C41-C40</f>
        <v>-37</v>
      </c>
      <c r="E41" s="107" t="n">
        <f aca="false">C41-152000</f>
        <v>136178</v>
      </c>
      <c r="F41" s="246" t="n">
        <f aca="false">D41/$D$2</f>
        <v>-18.6538946307033</v>
      </c>
      <c r="G41" s="135" t="n">
        <v>33</v>
      </c>
      <c r="H41" s="247" t="n">
        <v>1.8</v>
      </c>
      <c r="I41" s="135" t="n">
        <f aca="false">G41+H41</f>
        <v>34.8</v>
      </c>
      <c r="J41" s="136" t="n">
        <f aca="false">IF(L41&gt;0,L41,0)</f>
        <v>8.1461053692967</v>
      </c>
      <c r="K41" s="135" t="n">
        <f aca="false">I41+J41</f>
        <v>42.9461053692967</v>
      </c>
      <c r="L41" s="135" t="n">
        <f aca="false">F41-(I41-AK41)</f>
        <v>8.1461053692967</v>
      </c>
      <c r="M41" s="248" t="n">
        <v>3.6</v>
      </c>
      <c r="N41" s="135" t="n">
        <v>0</v>
      </c>
      <c r="O41" s="135" t="n">
        <v>0</v>
      </c>
      <c r="P41" s="158" t="n">
        <v>0</v>
      </c>
      <c r="Q41" s="131" t="n">
        <f aca="false">978700/325851/1.9835*1.02</f>
        <v>1.54453764256294</v>
      </c>
      <c r="R41" s="131" t="n">
        <f aca="false">((2.1)*1.04)-T41</f>
        <v>1.762332</v>
      </c>
      <c r="S41" s="131" t="n">
        <v>0</v>
      </c>
      <c r="T41" s="131" t="n">
        <f aca="false">(0.3825*1.06)*1.04</f>
        <v>0.421668</v>
      </c>
      <c r="U41" s="96" t="n">
        <f aca="false">M41-(Q41+R41+S41+T41)</f>
        <v>-0.128537642562938</v>
      </c>
      <c r="V41" s="135" t="n">
        <v>28</v>
      </c>
      <c r="W41" s="135" t="n">
        <v>0</v>
      </c>
      <c r="X41" s="135" t="n">
        <f aca="false">M41-N41-P41-O41-Q41-R41-S41-T41-U41+V41+W41</f>
        <v>28</v>
      </c>
      <c r="Y41" s="135" t="n">
        <f aca="false">X41-AO41</f>
        <v>28</v>
      </c>
      <c r="Z41" s="135"/>
      <c r="AA41" s="135"/>
      <c r="AB41" s="136"/>
      <c r="AC41" s="136" t="n">
        <v>11.6</v>
      </c>
      <c r="AD41" s="107"/>
      <c r="AE41" s="135" t="n">
        <v>0</v>
      </c>
      <c r="AF41" s="248"/>
      <c r="AG41" s="249"/>
      <c r="AH41" s="135" t="n">
        <v>30</v>
      </c>
      <c r="AI41" s="107" t="n">
        <f aca="false">AI40-AH41</f>
        <v>2717</v>
      </c>
      <c r="AJ41" s="107"/>
      <c r="AK41" s="134" t="n">
        <f aca="false">N41+O41+P41+Q41+R41+S41+T41+U41+X41+AE41+AH41</f>
        <v>61.6</v>
      </c>
      <c r="AL41" s="135" t="n">
        <f aca="false">IF(L41&lt;0,L41*-1,0)</f>
        <v>0</v>
      </c>
      <c r="AM41" s="135" t="n">
        <f aca="false">AK41+AL41</f>
        <v>61.6</v>
      </c>
      <c r="AN41" s="281" t="n">
        <f aca="false">X41</f>
        <v>28</v>
      </c>
      <c r="AO41" s="136" t="n">
        <v>0</v>
      </c>
      <c r="AP41" s="221"/>
      <c r="AV41" s="222" t="n">
        <v>0</v>
      </c>
      <c r="AW41" s="107" t="n">
        <v>39</v>
      </c>
      <c r="AX41" s="215" t="n">
        <v>14</v>
      </c>
      <c r="AY41" s="223"/>
      <c r="AZ41" s="250" t="n">
        <f aca="false">SUM(N41,P41:U41)</f>
        <v>3.6</v>
      </c>
    </row>
    <row r="42" customFormat="false" ht="12.95" hidden="false" customHeight="true" outlineLevel="0" collapsed="false">
      <c r="A42" s="183" t="n">
        <f aca="false">A41+1</f>
        <v>28</v>
      </c>
      <c r="B42" s="106" t="n">
        <v>6901.23</v>
      </c>
      <c r="C42" s="107" t="n">
        <v>288140</v>
      </c>
      <c r="D42" s="215" t="n">
        <f aca="false">C42-C41</f>
        <v>-38</v>
      </c>
      <c r="E42" s="107" t="n">
        <f aca="false">C42-152000</f>
        <v>136140</v>
      </c>
      <c r="F42" s="246" t="n">
        <f aca="false">D42/$D$2</f>
        <v>-19.1580539450466</v>
      </c>
      <c r="G42" s="135" t="n">
        <v>33</v>
      </c>
      <c r="H42" s="247" t="n">
        <v>1.9</v>
      </c>
      <c r="I42" s="135" t="n">
        <f aca="false">G42+H42</f>
        <v>34.9</v>
      </c>
      <c r="J42" s="136" t="n">
        <f aca="false">IF(L42&gt;0,L42,0)</f>
        <v>7.94194605495337</v>
      </c>
      <c r="K42" s="135" t="n">
        <f aca="false">I42+J42</f>
        <v>42.8419460549534</v>
      </c>
      <c r="L42" s="135" t="n">
        <f aca="false">F42-(I42-AK42)</f>
        <v>7.94194605495337</v>
      </c>
      <c r="M42" s="248" t="n">
        <v>4</v>
      </c>
      <c r="N42" s="135" t="n">
        <v>0</v>
      </c>
      <c r="O42" s="135" t="n">
        <v>0</v>
      </c>
      <c r="P42" s="158" t="n">
        <v>0</v>
      </c>
      <c r="Q42" s="131" t="n">
        <f aca="false">916000/325851/1.9835*1.02</f>
        <v>1.44558749421442</v>
      </c>
      <c r="R42" s="131" t="n">
        <f aca="false">((2.1)*1.04)-T42</f>
        <v>1.762332</v>
      </c>
      <c r="S42" s="131" t="n">
        <v>0</v>
      </c>
      <c r="T42" s="131" t="n">
        <f aca="false">(0.3825*1.06)*1.04</f>
        <v>0.421668</v>
      </c>
      <c r="U42" s="96" t="n">
        <f aca="false">M42-(Q42+R42+S42+T42)</f>
        <v>0.370412505785582</v>
      </c>
      <c r="V42" s="135" t="n">
        <v>28</v>
      </c>
      <c r="W42" s="135" t="n">
        <v>0</v>
      </c>
      <c r="X42" s="135" t="n">
        <f aca="false">M42-N42-P42-O42-Q42-R42-S42-T42-U42+V42+W42</f>
        <v>28</v>
      </c>
      <c r="Y42" s="135" t="n">
        <f aca="false">X42-AO42</f>
        <v>28</v>
      </c>
      <c r="Z42" s="135"/>
      <c r="AA42" s="135"/>
      <c r="AB42" s="136"/>
      <c r="AC42" s="136" t="n">
        <v>11.1</v>
      </c>
      <c r="AD42" s="107"/>
      <c r="AE42" s="135" t="n">
        <v>0</v>
      </c>
      <c r="AF42" s="248"/>
      <c r="AG42" s="249"/>
      <c r="AH42" s="135" t="n">
        <v>30</v>
      </c>
      <c r="AI42" s="107" t="n">
        <f aca="false">AI41-AH42</f>
        <v>2687</v>
      </c>
      <c r="AJ42" s="107"/>
      <c r="AK42" s="134" t="n">
        <f aca="false">N42+O42+P42+Q42+R42+S42+T42+U42+X42+AE42+AH42</f>
        <v>62</v>
      </c>
      <c r="AL42" s="135" t="n">
        <f aca="false">IF(L42&lt;0,L42*-1,0)</f>
        <v>0</v>
      </c>
      <c r="AM42" s="135" t="n">
        <f aca="false">AK42+AL42</f>
        <v>62</v>
      </c>
      <c r="AN42" s="281" t="n">
        <f aca="false">X42</f>
        <v>28</v>
      </c>
      <c r="AO42" s="136" t="n">
        <v>0</v>
      </c>
      <c r="AP42" s="221"/>
      <c r="AV42" s="222" t="n">
        <v>0</v>
      </c>
      <c r="AW42" s="107" t="n">
        <v>39</v>
      </c>
      <c r="AX42" s="215" t="n">
        <v>10</v>
      </c>
      <c r="AY42" s="223"/>
      <c r="AZ42" s="250" t="n">
        <f aca="false">SUM(N42,P42:U42)</f>
        <v>4</v>
      </c>
    </row>
    <row r="43" customFormat="false" ht="12.95" hidden="false" customHeight="true" outlineLevel="0" collapsed="false">
      <c r="A43" s="183" t="n">
        <f aca="false">A42+1</f>
        <v>29</v>
      </c>
      <c r="B43" s="106" t="n">
        <v>6901.21</v>
      </c>
      <c r="C43" s="107" t="n">
        <v>288066</v>
      </c>
      <c r="D43" s="215" t="n">
        <f aca="false">C43-C42</f>
        <v>-74</v>
      </c>
      <c r="E43" s="107" t="n">
        <f aca="false">C43-152000</f>
        <v>136066</v>
      </c>
      <c r="F43" s="246" t="n">
        <f aca="false">D43/$D$2</f>
        <v>-37.3077892614066</v>
      </c>
      <c r="G43" s="135" t="n">
        <v>33</v>
      </c>
      <c r="H43" s="247" t="n">
        <v>1.9</v>
      </c>
      <c r="I43" s="135" t="n">
        <f aca="false">G43+H43</f>
        <v>34.9</v>
      </c>
      <c r="J43" s="136" t="n">
        <f aca="false">IF(L43&gt;0,L43,0)</f>
        <v>0</v>
      </c>
      <c r="K43" s="135" t="n">
        <f aca="false">I43+J43</f>
        <v>34.9</v>
      </c>
      <c r="L43" s="135" t="n">
        <f aca="false">F43-(I43-AK43)</f>
        <v>-10.0077892614066</v>
      </c>
      <c r="M43" s="248" t="n">
        <v>4.2</v>
      </c>
      <c r="N43" s="135" t="n">
        <v>0</v>
      </c>
      <c r="O43" s="135" t="n">
        <v>0</v>
      </c>
      <c r="P43" s="158" t="n">
        <v>0</v>
      </c>
      <c r="Q43" s="131" t="n">
        <f aca="false">1234100/325851/1.9835*1.02</f>
        <v>1.94759773647381</v>
      </c>
      <c r="R43" s="131" t="n">
        <f aca="false">((2.1)*1.04)-T43</f>
        <v>1.762332</v>
      </c>
      <c r="S43" s="131" t="n">
        <v>0</v>
      </c>
      <c r="T43" s="131" t="n">
        <f aca="false">(0.3825*1.06)*1.04</f>
        <v>0.421668</v>
      </c>
      <c r="U43" s="96" t="n">
        <f aca="false">M43-(Q43+R43+S43+T43)</f>
        <v>0.0684022635261856</v>
      </c>
      <c r="V43" s="135" t="n">
        <v>28</v>
      </c>
      <c r="W43" s="135" t="n">
        <v>0</v>
      </c>
      <c r="X43" s="135" t="n">
        <f aca="false">M43-N43-P43-O43-Q43-R43-S43-T43-U43+V43+W43</f>
        <v>28</v>
      </c>
      <c r="Y43" s="135" t="n">
        <f aca="false">X43-AO43</f>
        <v>28</v>
      </c>
      <c r="Z43" s="135"/>
      <c r="AA43" s="135"/>
      <c r="AB43" s="136"/>
      <c r="AC43" s="136" t="n">
        <v>0</v>
      </c>
      <c r="AD43" s="107"/>
      <c r="AE43" s="135" t="n">
        <v>0</v>
      </c>
      <c r="AF43" s="248"/>
      <c r="AG43" s="249"/>
      <c r="AH43" s="135" t="n">
        <v>30</v>
      </c>
      <c r="AI43" s="107" t="n">
        <f aca="false">AI42-AH43</f>
        <v>2657</v>
      </c>
      <c r="AJ43" s="107"/>
      <c r="AK43" s="134" t="n">
        <f aca="false">N43+O43+P43+Q43+R43+S43+T43+U43+X43+AE43+AH43</f>
        <v>62.2</v>
      </c>
      <c r="AL43" s="135" t="n">
        <f aca="false">IF(L43&lt;0,L43*-1,0)</f>
        <v>10.0077892614066</v>
      </c>
      <c r="AM43" s="135" t="n">
        <f aca="false">AK43+AL43</f>
        <v>72.2077892614066</v>
      </c>
      <c r="AN43" s="281" t="n">
        <f aca="false">X43</f>
        <v>28</v>
      </c>
      <c r="AO43" s="136" t="n">
        <v>0</v>
      </c>
      <c r="AP43" s="221"/>
      <c r="AV43" s="222" t="n">
        <v>0</v>
      </c>
      <c r="AW43" s="107" t="n">
        <v>42</v>
      </c>
      <c r="AX43" s="215" t="n">
        <v>15</v>
      </c>
      <c r="AY43" s="223"/>
      <c r="AZ43" s="250" t="n">
        <f aca="false">SUM(N43,P43:U43)</f>
        <v>4.2</v>
      </c>
    </row>
    <row r="44" customFormat="false" ht="12.95" hidden="false" customHeight="true" outlineLevel="0" collapsed="false">
      <c r="A44" s="183" t="n">
        <v>30</v>
      </c>
      <c r="B44" s="106" t="n">
        <v>6901.2</v>
      </c>
      <c r="C44" s="107" t="n">
        <v>288028</v>
      </c>
      <c r="D44" s="215" t="n">
        <f aca="false">C44-C43</f>
        <v>-38</v>
      </c>
      <c r="E44" s="107" t="n">
        <f aca="false">C44-152000</f>
        <v>136028</v>
      </c>
      <c r="F44" s="246" t="n">
        <f aca="false">D44/$D$2</f>
        <v>-19.1580539450466</v>
      </c>
      <c r="G44" s="135" t="n">
        <v>33</v>
      </c>
      <c r="H44" s="247" t="n">
        <v>2.1</v>
      </c>
      <c r="I44" s="135" t="n">
        <f aca="false">G44+H44</f>
        <v>35.1</v>
      </c>
      <c r="J44" s="136" t="n">
        <f aca="false">IF(L44&gt;0,L44,0)</f>
        <v>7.24194605495336</v>
      </c>
      <c r="K44" s="135" t="n">
        <f aca="false">I44+J44</f>
        <v>42.3419460549534</v>
      </c>
      <c r="L44" s="135" t="n">
        <f aca="false">F44-(I44-AK44)</f>
        <v>7.24194605495336</v>
      </c>
      <c r="M44" s="248" t="n">
        <v>3.5</v>
      </c>
      <c r="N44" s="135" t="n">
        <v>0</v>
      </c>
      <c r="O44" s="135" t="n">
        <v>0</v>
      </c>
      <c r="P44" s="158" t="n">
        <v>0</v>
      </c>
      <c r="Q44" s="131" t="n">
        <f aca="false">1111100/325851/1.9835*1.02</f>
        <v>1.7534850052638</v>
      </c>
      <c r="R44" s="131" t="n">
        <f aca="false">((2.1)*1.04)-T44</f>
        <v>1.762332</v>
      </c>
      <c r="S44" s="131" t="n">
        <v>0</v>
      </c>
      <c r="T44" s="131" t="n">
        <f aca="false">(0.3825*1.06)*1.04</f>
        <v>0.421668</v>
      </c>
      <c r="U44" s="96" t="n">
        <f aca="false">M44-(Q44+R44+S44+T44)</f>
        <v>-0.437485005263799</v>
      </c>
      <c r="V44" s="135" t="n">
        <v>28</v>
      </c>
      <c r="W44" s="135" t="n">
        <v>0</v>
      </c>
      <c r="X44" s="135" t="n">
        <f aca="false">M44-N44-P44-O44-Q44-R44-S44-T44-U44+V44+W44</f>
        <v>28</v>
      </c>
      <c r="Y44" s="135" t="n">
        <f aca="false">X44-AO44</f>
        <v>28</v>
      </c>
      <c r="Z44" s="135"/>
      <c r="AA44" s="135"/>
      <c r="AB44" s="136"/>
      <c r="AC44" s="136" t="n">
        <v>3</v>
      </c>
      <c r="AD44" s="107"/>
      <c r="AE44" s="135" t="n">
        <v>0</v>
      </c>
      <c r="AF44" s="248"/>
      <c r="AG44" s="249"/>
      <c r="AH44" s="135" t="n">
        <v>30</v>
      </c>
      <c r="AI44" s="107" t="n">
        <f aca="false">AI43-AH44</f>
        <v>2627</v>
      </c>
      <c r="AJ44" s="107"/>
      <c r="AK44" s="134" t="n">
        <f aca="false">N44+O44+P44+Q44+R44+S44+T44+U44+X44+AE44+AH44</f>
        <v>61.5</v>
      </c>
      <c r="AL44" s="135" t="n">
        <f aca="false">IF(L44&lt;0,L44*-1,0)</f>
        <v>0</v>
      </c>
      <c r="AM44" s="135" t="n">
        <f aca="false">AK44+AL44</f>
        <v>61.5</v>
      </c>
      <c r="AN44" s="281" t="n">
        <f aca="false">X44</f>
        <v>28</v>
      </c>
      <c r="AO44" s="136" t="n">
        <v>0</v>
      </c>
      <c r="AP44" s="221"/>
      <c r="AV44" s="222" t="n">
        <v>0</v>
      </c>
      <c r="AW44" s="107" t="n">
        <v>50</v>
      </c>
      <c r="AX44" s="215" t="n">
        <v>21</v>
      </c>
      <c r="AY44" s="223"/>
      <c r="AZ44" s="250" t="n">
        <f aca="false">SUM(N44,P44:U44)</f>
        <v>3.5</v>
      </c>
    </row>
    <row r="45" customFormat="false" ht="12.95" hidden="false" customHeight="true" outlineLevel="0" collapsed="false">
      <c r="A45" s="183" t="n">
        <v>31</v>
      </c>
      <c r="B45" s="106" t="n">
        <v>6901.18</v>
      </c>
      <c r="C45" s="107" t="n">
        <v>287954</v>
      </c>
      <c r="D45" s="215" t="n">
        <f aca="false">C45-C44</f>
        <v>-74</v>
      </c>
      <c r="E45" s="107" t="n">
        <f aca="false">C45-152000</f>
        <v>135954</v>
      </c>
      <c r="F45" s="246" t="n">
        <f aca="false">D45/$D$2</f>
        <v>-37.3077892614066</v>
      </c>
      <c r="G45" s="135" t="n">
        <v>36</v>
      </c>
      <c r="H45" s="247" t="n">
        <v>1.9</v>
      </c>
      <c r="I45" s="135" t="n">
        <f aca="false">G45+H45</f>
        <v>37.9</v>
      </c>
      <c r="J45" s="136" t="n">
        <f aca="false">IF(L45&gt;0,L45,0)</f>
        <v>0</v>
      </c>
      <c r="K45" s="135" t="n">
        <f aca="false">I45+J45</f>
        <v>37.9</v>
      </c>
      <c r="L45" s="135" t="n">
        <f aca="false">F45-(I45-AK45)</f>
        <v>-13.3077892614066</v>
      </c>
      <c r="M45" s="248" t="n">
        <v>3.9</v>
      </c>
      <c r="N45" s="135" t="n">
        <v>0</v>
      </c>
      <c r="O45" s="135" t="n">
        <v>0</v>
      </c>
      <c r="P45" s="158" t="n">
        <v>0</v>
      </c>
      <c r="Q45" s="131" t="n">
        <f aca="false">834200/325851/1.9835*1.02</f>
        <v>1.31649463719833</v>
      </c>
      <c r="R45" s="131" t="n">
        <f aca="false">((2.2)*1.04)-T45</f>
        <v>1.866332</v>
      </c>
      <c r="S45" s="131" t="n">
        <v>0</v>
      </c>
      <c r="T45" s="131" t="n">
        <f aca="false">(0.3825*1.06)*1.04</f>
        <v>0.421668</v>
      </c>
      <c r="U45" s="96" t="n">
        <f aca="false">M45-(Q45+R45+S45+T45)</f>
        <v>0.295505362801673</v>
      </c>
      <c r="V45" s="135" t="n">
        <v>28</v>
      </c>
      <c r="W45" s="135" t="n">
        <v>0</v>
      </c>
      <c r="X45" s="135" t="n">
        <f aca="false">M45-N45-P45-O45-Q45-R45-S45-T45-U45+V45+W45</f>
        <v>28</v>
      </c>
      <c r="Y45" s="135" t="n">
        <f aca="false">X45-AO45</f>
        <v>28</v>
      </c>
      <c r="Z45" s="135"/>
      <c r="AA45" s="135"/>
      <c r="AB45" s="136"/>
      <c r="AC45" s="136" t="n">
        <v>0</v>
      </c>
      <c r="AD45" s="107"/>
      <c r="AE45" s="135" t="n">
        <v>0</v>
      </c>
      <c r="AF45" s="248"/>
      <c r="AG45" s="249"/>
      <c r="AH45" s="135" t="n">
        <v>30</v>
      </c>
      <c r="AI45" s="107" t="n">
        <f aca="false">AI44-AH45</f>
        <v>2597</v>
      </c>
      <c r="AJ45" s="107"/>
      <c r="AK45" s="134" t="n">
        <f aca="false">N45+O45+P45+Q45+R45+S45+T45+U45+X45+AE45+AH45</f>
        <v>61.9</v>
      </c>
      <c r="AL45" s="135" t="n">
        <f aca="false">IF(L45&lt;0,L45*-1,0)</f>
        <v>13.3077892614066</v>
      </c>
      <c r="AM45" s="246" t="n">
        <f aca="false">AK45+AL45</f>
        <v>75.2077892614066</v>
      </c>
      <c r="AN45" s="136" t="n">
        <f aca="false">X45</f>
        <v>28</v>
      </c>
      <c r="AO45" s="136" t="n">
        <v>0</v>
      </c>
      <c r="AP45" s="221"/>
      <c r="AV45" s="222" t="n">
        <v>0</v>
      </c>
      <c r="AW45" s="107" t="n">
        <v>43</v>
      </c>
      <c r="AX45" s="215" t="n">
        <v>23</v>
      </c>
      <c r="AY45" s="223"/>
      <c r="AZ45" s="250" t="n">
        <f aca="false">SUM(N45,P45:U45)</f>
        <v>3.9</v>
      </c>
    </row>
    <row r="46" customFormat="false" ht="3" hidden="false" customHeight="true" outlineLevel="0" collapsed="false">
      <c r="A46" s="231"/>
      <c r="B46" s="252"/>
      <c r="C46" s="233"/>
      <c r="D46" s="234"/>
      <c r="E46" s="233"/>
      <c r="F46" s="235"/>
      <c r="G46" s="234"/>
      <c r="H46" s="236"/>
      <c r="I46" s="234"/>
      <c r="J46" s="234"/>
      <c r="K46" s="234"/>
      <c r="L46" s="234"/>
      <c r="M46" s="234"/>
      <c r="N46" s="234"/>
      <c r="O46" s="234"/>
      <c r="P46" s="238"/>
      <c r="Q46" s="234"/>
      <c r="R46" s="234"/>
      <c r="S46" s="234"/>
      <c r="T46" s="234"/>
      <c r="U46" s="239"/>
      <c r="V46" s="234"/>
      <c r="W46" s="234"/>
      <c r="X46" s="234" t="n">
        <f aca="false">M46-N46-O46-Q46-R46-S46+V46+W46</f>
        <v>0</v>
      </c>
      <c r="Y46" s="234" t="n">
        <f aca="false">N46-O46-P46-R46-S46-U46+W46+X46</f>
        <v>0</v>
      </c>
      <c r="Z46" s="234"/>
      <c r="AA46" s="234"/>
      <c r="AB46" s="240"/>
      <c r="AC46" s="240"/>
      <c r="AD46" s="233"/>
      <c r="AE46" s="234"/>
      <c r="AF46" s="237"/>
      <c r="AG46" s="241"/>
      <c r="AH46" s="253"/>
      <c r="AI46" s="234"/>
      <c r="AJ46" s="234"/>
      <c r="AK46" s="234" t="n">
        <f aca="false">N46+O46+Q46+R46+S46+X46+AE46+AH46</f>
        <v>0</v>
      </c>
      <c r="AL46" s="234"/>
      <c r="AM46" s="235"/>
      <c r="AN46" s="243"/>
      <c r="AO46" s="240"/>
      <c r="AP46" s="243"/>
      <c r="AQ46" s="244"/>
      <c r="AR46" s="244"/>
      <c r="AS46" s="244"/>
      <c r="AT46" s="244"/>
      <c r="AU46" s="243"/>
      <c r="AV46" s="245"/>
      <c r="AW46" s="243"/>
      <c r="AX46" s="243" t="s">
        <v>114</v>
      </c>
      <c r="AY46" s="254"/>
      <c r="AZ46" s="255" t="s">
        <v>114</v>
      </c>
    </row>
    <row r="47" customFormat="false" ht="12.95" hidden="false" customHeight="true" outlineLevel="0" collapsed="false">
      <c r="A47" s="185" t="s">
        <v>101</v>
      </c>
      <c r="B47" s="213"/>
      <c r="C47" s="107"/>
      <c r="D47" s="107"/>
      <c r="E47" s="107"/>
      <c r="F47" s="214" t="n">
        <f aca="false">SUM(F15:F45)</f>
        <v>-714.897907738845</v>
      </c>
      <c r="G47" s="107" t="n">
        <f aca="false">SUM(G15:G45)</f>
        <v>1101</v>
      </c>
      <c r="H47" s="107" t="n">
        <f aca="false">SUM(H15:H45)</f>
        <v>33.97</v>
      </c>
      <c r="I47" s="107" t="n">
        <f aca="false">SUM(I15:I45)</f>
        <v>1134.97</v>
      </c>
      <c r="J47" s="107" t="n">
        <f aca="false">SUM(J15:J45)</f>
        <v>308.33415427275</v>
      </c>
      <c r="K47" s="107" t="n">
        <f aca="false">SUM(K15:K45)</f>
        <v>1443.30415427275</v>
      </c>
      <c r="L47" s="107" t="n">
        <f aca="false">SUM(L15:L45)</f>
        <v>188.232092261155</v>
      </c>
      <c r="M47" s="216" t="n">
        <f aca="false">SUM(M15:M45)</f>
        <v>117.1</v>
      </c>
      <c r="N47" s="107" t="n">
        <f aca="false">SUM(N15:N45)</f>
        <v>0</v>
      </c>
      <c r="O47" s="107" t="n">
        <f aca="false">SUM(O15:O45)</f>
        <v>0</v>
      </c>
      <c r="P47" s="158"/>
      <c r="Q47" s="107" t="n">
        <f aca="false">SUM(Q15:Q45)</f>
        <v>49.3605003182774</v>
      </c>
      <c r="R47" s="107" t="n">
        <f aca="false">SUM(R15:R45)</f>
        <v>50.49387616</v>
      </c>
      <c r="S47" s="107" t="n">
        <f aca="false">SUM(S15:S45)</f>
        <v>0</v>
      </c>
      <c r="T47" s="107" t="n">
        <f aca="false">SUM(T15:T45)</f>
        <v>13.25812384</v>
      </c>
      <c r="U47" s="282" t="n">
        <f aca="false">SUM(U15:U45)</f>
        <v>3.98749968172265</v>
      </c>
      <c r="V47" s="107" t="n">
        <f aca="false">SUM(V15:V45)</f>
        <v>991</v>
      </c>
      <c r="W47" s="107" t="n">
        <f aca="false">SUM(W15:W45)</f>
        <v>0</v>
      </c>
      <c r="X47" s="107" t="n">
        <f aca="false">SUM(X15:X45)</f>
        <v>991</v>
      </c>
      <c r="Y47" s="107" t="n">
        <f aca="false">SUM(Y15:Y45)</f>
        <v>991</v>
      </c>
      <c r="Z47" s="107"/>
      <c r="AA47" s="107"/>
      <c r="AB47" s="136"/>
      <c r="AC47" s="107" t="n">
        <f aca="false">SUM(AC15:AC45)</f>
        <v>30.3</v>
      </c>
      <c r="AD47" s="107"/>
      <c r="AE47" s="107"/>
      <c r="AF47" s="216"/>
      <c r="AG47" s="218"/>
      <c r="AH47" s="107" t="n">
        <f aca="false">SUM(AH15:AH45)</f>
        <v>930</v>
      </c>
      <c r="AI47" s="107"/>
      <c r="AJ47" s="80" t="n">
        <f aca="false">SUM(AJ15:AJ45)</f>
        <v>0</v>
      </c>
      <c r="AK47" s="107" t="n">
        <f aca="false">SUM(AK15:AK45)</f>
        <v>2038.1</v>
      </c>
      <c r="AL47" s="107" t="n">
        <f aca="false">SUM(AL15:AL45)</f>
        <v>120.102062011596</v>
      </c>
      <c r="AM47" s="214" t="n">
        <f aca="false">SUM(AM15:AM45)</f>
        <v>2158.2020620116</v>
      </c>
      <c r="AN47" s="136" t="n">
        <f aca="false">SUM(AN15:AN45)</f>
        <v>991</v>
      </c>
      <c r="AO47" s="136" t="n">
        <f aca="false">SUM(AO15:AO45)</f>
        <v>0</v>
      </c>
      <c r="AP47" s="221"/>
      <c r="AV47" s="222" t="n">
        <f aca="false">SUM(AV15:AV45)</f>
        <v>0.51</v>
      </c>
      <c r="AW47" s="215" t="n">
        <f aca="false">AVERAGE(AW15:AW45)</f>
        <v>44.2258064516129</v>
      </c>
      <c r="AX47" s="215" t="n">
        <f aca="false">AVERAGE(AX15:AX45)</f>
        <v>18.9354838709677</v>
      </c>
      <c r="AY47" s="223" t="s">
        <v>102</v>
      </c>
      <c r="AZ47" s="256" t="n">
        <f aca="false">SUM(AZ15:AZ45)</f>
        <v>117.1</v>
      </c>
    </row>
    <row r="48" customFormat="false" ht="12.95" hidden="false" customHeight="true" outlineLevel="0" collapsed="false">
      <c r="A48" s="185" t="s">
        <v>103</v>
      </c>
      <c r="B48" s="213"/>
      <c r="C48" s="107"/>
      <c r="D48" s="107" t="n">
        <f aca="false">SUM(D15:D45)</f>
        <v>-1418</v>
      </c>
      <c r="E48" s="107"/>
      <c r="F48" s="214" t="n">
        <f aca="false">F47*$D$2</f>
        <v>-1418</v>
      </c>
      <c r="G48" s="107" t="n">
        <f aca="false">G47*$D$2</f>
        <v>2183.8335</v>
      </c>
      <c r="H48" s="107" t="n">
        <f aca="false">H47*$D$2</f>
        <v>67.379495</v>
      </c>
      <c r="I48" s="107" t="n">
        <f aca="false">I47*$D$2</f>
        <v>2251.212995</v>
      </c>
      <c r="J48" s="107" t="n">
        <f aca="false">J47*$D$2</f>
        <v>611.580795</v>
      </c>
      <c r="K48" s="107" t="n">
        <f aca="false">K47*$D$2</f>
        <v>2862.79379</v>
      </c>
      <c r="L48" s="107" t="n">
        <f aca="false">L47*$D$2</f>
        <v>373.358355</v>
      </c>
      <c r="M48" s="216" t="n">
        <f aca="false">M47*$D$2</f>
        <v>232.26785</v>
      </c>
      <c r="N48" s="107" t="n">
        <f aca="false">N47*$D$2</f>
        <v>0</v>
      </c>
      <c r="O48" s="107" t="n">
        <f aca="false">O47*$D$2</f>
        <v>0</v>
      </c>
      <c r="P48" s="158"/>
      <c r="Q48" s="107" t="n">
        <f aca="false">Q47*$D$2</f>
        <v>97.9065523813031</v>
      </c>
      <c r="R48" s="107" t="n">
        <f aca="false">R47*$D$2</f>
        <v>100.15460336336</v>
      </c>
      <c r="S48" s="107" t="n">
        <f aca="false">S47*$D$2</f>
        <v>0</v>
      </c>
      <c r="T48" s="107" t="n">
        <f aca="false">T47*$D$2</f>
        <v>26.29748863664</v>
      </c>
      <c r="U48" s="282" t="n">
        <f aca="false">U47*$D$2</f>
        <v>7.90920561869688</v>
      </c>
      <c r="V48" s="107" t="n">
        <f aca="false">V47*$D$2</f>
        <v>1965.6485</v>
      </c>
      <c r="W48" s="107" t="n">
        <f aca="false">W47*$D$2</f>
        <v>0</v>
      </c>
      <c r="X48" s="107" t="n">
        <f aca="false">X47*$D$2</f>
        <v>1965.6485</v>
      </c>
      <c r="Y48" s="107" t="n">
        <f aca="false">Y47*$D$2</f>
        <v>1965.6485</v>
      </c>
      <c r="Z48" s="107"/>
      <c r="AA48" s="107"/>
      <c r="AB48" s="136"/>
      <c r="AC48" s="107" t="n">
        <f aca="false">AC47*$D$2</f>
        <v>60.10005</v>
      </c>
      <c r="AD48" s="107"/>
      <c r="AE48" s="107"/>
      <c r="AF48" s="216"/>
      <c r="AG48" s="218"/>
      <c r="AH48" s="107" t="n">
        <f aca="false">AH47*$D$2</f>
        <v>1844.655</v>
      </c>
      <c r="AI48" s="107"/>
      <c r="AJ48" s="80" t="n">
        <f aca="false">AJ47*$D$2</f>
        <v>0</v>
      </c>
      <c r="AK48" s="107" t="n">
        <f aca="false">AK47*$D$2</f>
        <v>4042.57135</v>
      </c>
      <c r="AL48" s="107" t="n">
        <f aca="false">AL47*$D$2</f>
        <v>238.22244</v>
      </c>
      <c r="AM48" s="214" t="n">
        <f aca="false">AM47*$D$2</f>
        <v>4280.79379</v>
      </c>
      <c r="AN48" s="136" t="n">
        <f aca="false">AN47*$D$2</f>
        <v>1965.6485</v>
      </c>
      <c r="AO48" s="136" t="n">
        <f aca="false">AO47*$D$2</f>
        <v>0</v>
      </c>
      <c r="AP48" s="221"/>
      <c r="AV48" s="222"/>
      <c r="AW48" s="215" t="n">
        <f aca="false">MAX(AW15:AW45)</f>
        <v>53</v>
      </c>
      <c r="AX48" s="215" t="n">
        <f aca="false">MAX(AX15:AX45)</f>
        <v>28</v>
      </c>
      <c r="AY48" s="223" t="s">
        <v>104</v>
      </c>
      <c r="AZ48" s="256" t="n">
        <f aca="false">AZ47*$D$2</f>
        <v>232.26785</v>
      </c>
    </row>
    <row r="49" customFormat="false" ht="3" hidden="false" customHeight="true" outlineLevel="0" collapsed="false">
      <c r="A49" s="231"/>
      <c r="B49" s="252"/>
      <c r="C49" s="233"/>
      <c r="D49" s="233"/>
      <c r="E49" s="233"/>
      <c r="F49" s="257"/>
      <c r="G49" s="233"/>
      <c r="H49" s="233"/>
      <c r="I49" s="233"/>
      <c r="J49" s="233"/>
      <c r="K49" s="233"/>
      <c r="L49" s="233"/>
      <c r="M49" s="258"/>
      <c r="N49" s="233"/>
      <c r="O49" s="233"/>
      <c r="P49" s="238"/>
      <c r="Q49" s="233"/>
      <c r="R49" s="233"/>
      <c r="S49" s="233"/>
      <c r="T49" s="233"/>
      <c r="U49" s="283"/>
      <c r="V49" s="233"/>
      <c r="W49" s="233"/>
      <c r="X49" s="233"/>
      <c r="Y49" s="233"/>
      <c r="Z49" s="233"/>
      <c r="AA49" s="233"/>
      <c r="AB49" s="240"/>
      <c r="AC49" s="233"/>
      <c r="AD49" s="233"/>
      <c r="AE49" s="233"/>
      <c r="AF49" s="258"/>
      <c r="AG49" s="259"/>
      <c r="AH49" s="233"/>
      <c r="AI49" s="234"/>
      <c r="AJ49" s="119"/>
      <c r="AK49" s="233"/>
      <c r="AL49" s="233"/>
      <c r="AM49" s="257"/>
      <c r="AN49" s="240"/>
      <c r="AO49" s="240"/>
      <c r="AP49" s="233"/>
      <c r="AQ49" s="260"/>
      <c r="AR49" s="260"/>
      <c r="AS49" s="244"/>
      <c r="AT49" s="244"/>
      <c r="AU49" s="243"/>
      <c r="AV49" s="261"/>
      <c r="AW49" s="233"/>
      <c r="AX49" s="233"/>
      <c r="AY49" s="257"/>
      <c r="AZ49" s="262"/>
    </row>
    <row r="50" customFormat="false" ht="12.95" hidden="false" customHeight="true" outlineLevel="0" collapsed="false">
      <c r="A50" s="185" t="s">
        <v>105</v>
      </c>
      <c r="B50" s="213"/>
      <c r="C50" s="107"/>
      <c r="D50" s="107"/>
      <c r="E50" s="107"/>
      <c r="F50" s="214"/>
      <c r="G50" s="107"/>
      <c r="H50" s="107"/>
      <c r="I50" s="107"/>
      <c r="J50" s="107"/>
      <c r="K50" s="107"/>
      <c r="L50" s="107"/>
      <c r="M50" s="216"/>
      <c r="N50" s="107"/>
      <c r="O50" s="107"/>
      <c r="P50" s="158"/>
      <c r="Q50" s="107"/>
      <c r="R50" s="107"/>
      <c r="S50" s="107"/>
      <c r="T50" s="107"/>
      <c r="U50" s="282"/>
      <c r="V50" s="107"/>
      <c r="W50" s="107"/>
      <c r="X50" s="107"/>
      <c r="Y50" s="107"/>
      <c r="Z50" s="107"/>
      <c r="AA50" s="107"/>
      <c r="AB50" s="136"/>
      <c r="AC50" s="107"/>
      <c r="AD50" s="107"/>
      <c r="AE50" s="107"/>
      <c r="AF50" s="216"/>
      <c r="AG50" s="218"/>
      <c r="AH50" s="107"/>
      <c r="AI50" s="107"/>
      <c r="AJ50" s="80"/>
      <c r="AK50" s="107"/>
      <c r="AL50" s="107"/>
      <c r="AM50" s="214"/>
      <c r="AN50" s="136"/>
      <c r="AO50" s="136"/>
      <c r="AP50" s="221"/>
      <c r="AV50" s="222"/>
      <c r="AW50" s="215" t="n">
        <f aca="false">MIN(AW15:AW45)</f>
        <v>31</v>
      </c>
      <c r="AX50" s="215" t="n">
        <f aca="false">MIN(AX15:AX45)</f>
        <v>10</v>
      </c>
      <c r="AY50" s="223" t="s">
        <v>106</v>
      </c>
      <c r="AZ50" s="256"/>
    </row>
    <row r="51" customFormat="false" ht="12.95" hidden="false" customHeight="true" outlineLevel="0" collapsed="false">
      <c r="A51" s="185" t="s">
        <v>107</v>
      </c>
      <c r="B51" s="213"/>
      <c r="C51" s="107"/>
      <c r="D51" s="107"/>
      <c r="E51" s="107"/>
      <c r="F51" s="214"/>
      <c r="G51" s="107"/>
      <c r="H51" s="107"/>
      <c r="I51" s="107"/>
      <c r="J51" s="107"/>
      <c r="K51" s="107"/>
      <c r="L51" s="107"/>
      <c r="M51" s="216"/>
      <c r="N51" s="107"/>
      <c r="O51" s="107"/>
      <c r="P51" s="158"/>
      <c r="Q51" s="107"/>
      <c r="R51" s="107"/>
      <c r="S51" s="107"/>
      <c r="T51" s="107"/>
      <c r="U51" s="282"/>
      <c r="V51" s="107"/>
      <c r="W51" s="107"/>
      <c r="X51" s="107"/>
      <c r="Y51" s="107"/>
      <c r="Z51" s="107"/>
      <c r="AA51" s="107"/>
      <c r="AB51" s="136"/>
      <c r="AC51" s="107"/>
      <c r="AD51" s="107"/>
      <c r="AE51" s="107"/>
      <c r="AF51" s="216"/>
      <c r="AG51" s="218"/>
      <c r="AH51" s="107"/>
      <c r="AI51" s="107"/>
      <c r="AJ51" s="80"/>
      <c r="AK51" s="107"/>
      <c r="AL51" s="107"/>
      <c r="AM51" s="214"/>
      <c r="AN51" s="136"/>
      <c r="AO51" s="136"/>
      <c r="AP51" s="221"/>
      <c r="AV51" s="222"/>
      <c r="AW51" s="215"/>
      <c r="AX51" s="215"/>
      <c r="AY51" s="223"/>
      <c r="AZ51" s="256"/>
    </row>
    <row r="52" customFormat="false" ht="3" hidden="false" customHeight="true" outlineLevel="0" collapsed="false">
      <c r="A52" s="231"/>
      <c r="B52" s="252"/>
      <c r="C52" s="233"/>
      <c r="D52" s="233"/>
      <c r="E52" s="233"/>
      <c r="F52" s="257"/>
      <c r="G52" s="233"/>
      <c r="H52" s="243"/>
      <c r="I52" s="233"/>
      <c r="J52" s="233"/>
      <c r="K52" s="233"/>
      <c r="L52" s="233"/>
      <c r="M52" s="258"/>
      <c r="N52" s="233"/>
      <c r="O52" s="233"/>
      <c r="P52" s="238"/>
      <c r="Q52" s="233"/>
      <c r="R52" s="233"/>
      <c r="S52" s="233"/>
      <c r="T52" s="233"/>
      <c r="U52" s="283"/>
      <c r="V52" s="233"/>
      <c r="W52" s="233"/>
      <c r="X52" s="233"/>
      <c r="Y52" s="233"/>
      <c r="Z52" s="233"/>
      <c r="AA52" s="233"/>
      <c r="AB52" s="240"/>
      <c r="AC52" s="233"/>
      <c r="AD52" s="233"/>
      <c r="AE52" s="233"/>
      <c r="AF52" s="258"/>
      <c r="AG52" s="259"/>
      <c r="AH52" s="233"/>
      <c r="AI52" s="233"/>
      <c r="AJ52" s="119"/>
      <c r="AK52" s="233"/>
      <c r="AL52" s="233"/>
      <c r="AM52" s="257"/>
      <c r="AN52" s="240"/>
      <c r="AO52" s="240"/>
      <c r="AP52" s="263"/>
      <c r="AQ52" s="264"/>
      <c r="AR52" s="264"/>
      <c r="AS52" s="244"/>
      <c r="AT52" s="244"/>
      <c r="AU52" s="243"/>
      <c r="AV52" s="245"/>
      <c r="AW52" s="263"/>
      <c r="AX52" s="263"/>
      <c r="AY52" s="265"/>
      <c r="AZ52" s="262"/>
    </row>
    <row r="53" customFormat="false" ht="12.95" hidden="false" customHeight="true" outlineLevel="0" collapsed="false">
      <c r="A53" s="185" t="s">
        <v>108</v>
      </c>
      <c r="B53" s="213"/>
      <c r="C53" s="107"/>
      <c r="D53" s="107"/>
      <c r="E53" s="107"/>
      <c r="F53" s="214" t="n">
        <f aca="false">F13+F47</f>
        <v>-2852.02924124023</v>
      </c>
      <c r="G53" s="107" t="n">
        <f aca="false">G13+G47</f>
        <v>4461</v>
      </c>
      <c r="H53" s="215" t="n">
        <f aca="false">H13+H47</f>
        <v>68.08</v>
      </c>
      <c r="I53" s="107" t="n">
        <f aca="false">I13+I47</f>
        <v>4528.46</v>
      </c>
      <c r="J53" s="107" t="n">
        <f aca="false">J13+J47</f>
        <v>423.208563145954</v>
      </c>
      <c r="K53" s="107" t="n">
        <f aca="false">K13+K47</f>
        <v>4951.66856314596</v>
      </c>
      <c r="L53" s="107" t="n">
        <f aca="false">L13+L47</f>
        <v>-147.889241240232</v>
      </c>
      <c r="M53" s="216" t="n">
        <f aca="false">M13+M47</f>
        <v>427.1</v>
      </c>
      <c r="N53" s="107" t="n">
        <f aca="false">N13+N47</f>
        <v>0</v>
      </c>
      <c r="O53" s="107" t="n">
        <v>0</v>
      </c>
      <c r="P53" s="158"/>
      <c r="Q53" s="107" t="n">
        <f aca="false">Q13+Q47</f>
        <v>139.1860692116</v>
      </c>
      <c r="R53" s="107" t="n">
        <f aca="false">R13+R47</f>
        <v>148.55458592</v>
      </c>
      <c r="S53" s="107" t="n">
        <f aca="false">S13+S47</f>
        <v>0</v>
      </c>
      <c r="T53" s="107" t="n">
        <f aca="false">T13+T47</f>
        <v>46.75741408</v>
      </c>
      <c r="U53" s="282" t="n">
        <f aca="false">U13+U47</f>
        <v>3.49609729918754</v>
      </c>
      <c r="V53" s="107" t="n">
        <f aca="false">V13+V47</f>
        <v>3992</v>
      </c>
      <c r="W53" s="107" t="n">
        <f aca="false">W13+W47</f>
        <v>59.5</v>
      </c>
      <c r="X53" s="107" t="n">
        <f aca="false">X13+X47</f>
        <v>4140.60583348921</v>
      </c>
      <c r="Y53" s="107" t="n">
        <f aca="false">Y13+Y47</f>
        <v>3937.80876137068</v>
      </c>
      <c r="Z53" s="107"/>
      <c r="AA53" s="107"/>
      <c r="AB53" s="136"/>
      <c r="AC53" s="107" t="n">
        <f aca="false">AC13+AC47</f>
        <v>223</v>
      </c>
      <c r="AD53" s="107"/>
      <c r="AE53" s="107"/>
      <c r="AF53" s="216"/>
      <c r="AG53" s="218"/>
      <c r="AH53" s="107" t="n">
        <f aca="false">AH13+AH47</f>
        <v>2754</v>
      </c>
      <c r="AI53" s="107" t="n">
        <f aca="false">AI45</f>
        <v>2597</v>
      </c>
      <c r="AJ53" s="80" t="n">
        <f aca="false">AJ14+AJ47</f>
        <v>0</v>
      </c>
      <c r="AK53" s="107" t="n">
        <f aca="false">AK13+AK47</f>
        <v>7232.6</v>
      </c>
      <c r="AL53" s="107" t="n">
        <f aca="false">AL13+AL47</f>
        <v>571.097804386186</v>
      </c>
      <c r="AM53" s="214" t="n">
        <f aca="false">AM13+AM47</f>
        <v>7803.69780438619</v>
      </c>
      <c r="AN53" s="136" t="n">
        <f aca="false">AN13+AN47</f>
        <v>3937.8</v>
      </c>
      <c r="AO53" s="136" t="n">
        <f aca="false">AO13+AO47</f>
        <v>202.797072118535</v>
      </c>
      <c r="AP53" s="221"/>
      <c r="AV53" s="222" t="n">
        <f aca="false">AV13+AV47</f>
        <v>1.46</v>
      </c>
      <c r="AW53" s="215"/>
      <c r="AX53" s="215"/>
      <c r="AY53" s="223"/>
      <c r="AZ53" s="256" t="n">
        <f aca="false">AZ13+AZ47</f>
        <v>337.994166510787</v>
      </c>
    </row>
    <row r="54" customFormat="false" ht="12.95" hidden="false" customHeight="true" outlineLevel="0" collapsed="false">
      <c r="A54" s="185" t="s">
        <v>109</v>
      </c>
      <c r="B54" s="213"/>
      <c r="C54" s="107"/>
      <c r="D54" s="107" t="n">
        <f aca="false">D13+D48</f>
        <v>-5657</v>
      </c>
      <c r="E54" s="107" t="n">
        <f aca="false">E45</f>
        <v>135954</v>
      </c>
      <c r="F54" s="214" t="n">
        <f aca="false">F53*$D$2</f>
        <v>-5657</v>
      </c>
      <c r="G54" s="107" t="n">
        <f aca="false">G53*$D$2</f>
        <v>8848.3935</v>
      </c>
      <c r="H54" s="215" t="n">
        <f aca="false">H53*$D$2</f>
        <v>135.03668</v>
      </c>
      <c r="I54" s="107" t="n">
        <f aca="false">I53*$D$2</f>
        <v>8982.20041</v>
      </c>
      <c r="J54" s="107" t="n">
        <f aca="false">J53*$D$2</f>
        <v>839.434185</v>
      </c>
      <c r="K54" s="107" t="n">
        <f aca="false">K53*$D$2</f>
        <v>9821.634595</v>
      </c>
      <c r="L54" s="107" t="n">
        <f aca="false">L53*$D$2</f>
        <v>-293.33831</v>
      </c>
      <c r="M54" s="216" t="n">
        <f aca="false">M53*$D$2</f>
        <v>847.15285</v>
      </c>
      <c r="N54" s="107" t="n">
        <f aca="false">N53*$D$2</f>
        <v>0</v>
      </c>
      <c r="O54" s="107" t="n">
        <f aca="false">O53*$D$2</f>
        <v>0</v>
      </c>
      <c r="P54" s="158"/>
      <c r="Q54" s="107" t="n">
        <f aca="false">Q53*$D$2</f>
        <v>276.075568281208</v>
      </c>
      <c r="R54" s="107" t="n">
        <f aca="false">R53*$D$2</f>
        <v>294.65802117232</v>
      </c>
      <c r="S54" s="226" t="n">
        <f aca="false">S53*$D$2</f>
        <v>0</v>
      </c>
      <c r="T54" s="226" t="n">
        <f aca="false">T53*$D$2</f>
        <v>92.74333082768</v>
      </c>
      <c r="U54" s="284" t="n">
        <f aca="false">U53*$D$2</f>
        <v>6.93450899293849</v>
      </c>
      <c r="V54" s="107" t="n">
        <f aca="false">V53*$D$2</f>
        <v>7918.132</v>
      </c>
      <c r="W54" s="107" t="n">
        <f aca="false">W53*$D$2</f>
        <v>118.01825</v>
      </c>
      <c r="X54" s="107" t="n">
        <f aca="false">X53*$D$2</f>
        <v>8212.89167072585</v>
      </c>
      <c r="Y54" s="107" t="n">
        <f aca="false">Y53*$D$2</f>
        <v>7810.64367817874</v>
      </c>
      <c r="Z54" s="107"/>
      <c r="AA54" s="107"/>
      <c r="AB54" s="136"/>
      <c r="AC54" s="107" t="n">
        <f aca="false">AC53*$D$2</f>
        <v>442.3205</v>
      </c>
      <c r="AD54" s="107"/>
      <c r="AE54" s="107"/>
      <c r="AF54" s="266"/>
      <c r="AG54" s="267"/>
      <c r="AH54" s="107" t="n">
        <f aca="false">AH53*$D$2</f>
        <v>5462.559</v>
      </c>
      <c r="AI54" s="107" t="n">
        <f aca="false">AI53*$D$2</f>
        <v>5151.1495</v>
      </c>
      <c r="AJ54" s="80" t="n">
        <f aca="false">AJ53*$D$2</f>
        <v>0</v>
      </c>
      <c r="AK54" s="107" t="n">
        <f aca="false">AK53*$D$2</f>
        <v>14345.8621</v>
      </c>
      <c r="AL54" s="107" t="n">
        <f aca="false">AL53*$D$2</f>
        <v>1132.772495</v>
      </c>
      <c r="AM54" s="268" t="n">
        <f aca="false">AM53*$D$2</f>
        <v>15478.634595</v>
      </c>
      <c r="AN54" s="136" t="n">
        <f aca="false">AN53*$D$2</f>
        <v>7810.6263</v>
      </c>
      <c r="AO54" s="136" t="n">
        <f aca="false">AO53*$D$2</f>
        <v>402.247992547115</v>
      </c>
      <c r="AP54" s="221"/>
      <c r="AV54" s="222"/>
      <c r="AW54" s="215"/>
      <c r="AX54" s="215"/>
      <c r="AY54" s="223"/>
      <c r="AZ54" s="229" t="n">
        <f aca="false">AZ53*$D$2</f>
        <v>670.411429274147</v>
      </c>
    </row>
    <row r="55" customFormat="false" ht="3" hidden="false" customHeight="true" outlineLevel="0" collapsed="false">
      <c r="A55" s="231"/>
      <c r="B55" s="252"/>
      <c r="C55" s="233"/>
      <c r="D55" s="234"/>
      <c r="E55" s="233"/>
      <c r="F55" s="235"/>
      <c r="G55" s="234"/>
      <c r="H55" s="236"/>
      <c r="I55" s="234"/>
      <c r="J55" s="234"/>
      <c r="K55" s="234"/>
      <c r="L55" s="234"/>
      <c r="M55" s="237"/>
      <c r="N55" s="234"/>
      <c r="O55" s="234"/>
      <c r="P55" s="238"/>
      <c r="Q55" s="234"/>
      <c r="R55" s="234"/>
      <c r="S55" s="234"/>
      <c r="T55" s="234"/>
      <c r="U55" s="239"/>
      <c r="V55" s="234"/>
      <c r="W55" s="234"/>
      <c r="X55" s="234"/>
      <c r="Y55" s="234"/>
      <c r="Z55" s="234"/>
      <c r="AA55" s="234"/>
      <c r="AB55" s="240"/>
      <c r="AC55" s="240"/>
      <c r="AD55" s="233"/>
      <c r="AE55" s="234"/>
      <c r="AF55" s="237"/>
      <c r="AG55" s="241"/>
      <c r="AH55" s="234"/>
      <c r="AI55" s="233"/>
      <c r="AJ55" s="233"/>
      <c r="AK55" s="234"/>
      <c r="AL55" s="234"/>
      <c r="AM55" s="234"/>
      <c r="AN55" s="252"/>
      <c r="AO55" s="240"/>
      <c r="AP55" s="234"/>
      <c r="AQ55" s="269"/>
      <c r="AR55" s="269"/>
      <c r="AS55" s="244"/>
      <c r="AT55" s="244"/>
      <c r="AU55" s="243"/>
      <c r="AV55" s="252"/>
      <c r="AW55" s="234"/>
      <c r="AX55" s="234"/>
      <c r="AY55" s="234"/>
      <c r="AZ55" s="270"/>
    </row>
    <row r="56" customFormat="false" ht="11.1" hidden="false" customHeight="true" outlineLevel="0" collapsed="false">
      <c r="A56" s="185"/>
      <c r="B56" s="271"/>
      <c r="D56" s="185"/>
      <c r="F56" s="185"/>
      <c r="G56" s="185"/>
      <c r="I56" s="185"/>
      <c r="J56" s="185"/>
      <c r="K56" s="185"/>
      <c r="L56" s="185"/>
      <c r="M56" s="185"/>
      <c r="N56" s="185"/>
      <c r="O56" s="185"/>
      <c r="Q56" s="185"/>
      <c r="R56" s="185"/>
      <c r="S56" s="185"/>
      <c r="T56" s="185"/>
      <c r="V56" s="185"/>
      <c r="W56" s="185"/>
      <c r="X56" s="185"/>
      <c r="Y56" s="185"/>
      <c r="Z56" s="185"/>
      <c r="AA56" s="185"/>
      <c r="AD56" s="177"/>
      <c r="AE56" s="185"/>
      <c r="AF56" s="185"/>
      <c r="AG56" s="185"/>
      <c r="AH56" s="185"/>
      <c r="AI56" s="177"/>
      <c r="AJ56" s="225"/>
      <c r="AK56" s="185"/>
      <c r="AL56" s="185"/>
      <c r="AM56" s="185"/>
      <c r="AN56" s="183"/>
      <c r="AO56" s="194"/>
      <c r="AX56" s="182"/>
      <c r="AY56" s="182"/>
    </row>
    <row r="57" customFormat="false" ht="11.1" hidden="false" customHeight="true" outlineLevel="0" collapsed="false">
      <c r="A57" s="185"/>
      <c r="B57" s="272"/>
      <c r="F57" s="185"/>
      <c r="G57" s="185"/>
      <c r="I57" s="186"/>
      <c r="J57" s="185"/>
      <c r="K57" s="174"/>
      <c r="L57" s="185"/>
      <c r="M57" s="185"/>
      <c r="N57" s="185"/>
      <c r="O57" s="185"/>
      <c r="Q57" s="185"/>
      <c r="R57" s="185"/>
      <c r="S57" s="185"/>
      <c r="T57" s="185"/>
      <c r="V57" s="185"/>
      <c r="W57" s="185"/>
      <c r="X57" s="185"/>
      <c r="Y57" s="185"/>
      <c r="Z57" s="185"/>
      <c r="AA57" s="185"/>
      <c r="AD57" s="177"/>
      <c r="AE57" s="185"/>
      <c r="AF57" s="185"/>
      <c r="AG57" s="185"/>
      <c r="AH57" s="185"/>
      <c r="AI57" s="177"/>
      <c r="AJ57" s="225"/>
      <c r="AK57" s="185"/>
      <c r="AL57" s="185"/>
      <c r="AM57" s="185"/>
      <c r="AN57" s="183"/>
      <c r="AO57" s="194"/>
      <c r="AX57" s="182"/>
      <c r="AY57" s="182"/>
    </row>
    <row r="58" customFormat="false" ht="11.1" hidden="false" customHeight="true" outlineLevel="0" collapsed="false">
      <c r="D58" s="177"/>
      <c r="Q58" s="179"/>
      <c r="R58" s="179"/>
      <c r="S58" s="179"/>
      <c r="T58" s="179"/>
      <c r="X58" s="176"/>
      <c r="Y58" s="176"/>
      <c r="Z58" s="176"/>
      <c r="AA58" s="176"/>
      <c r="AD58" s="177"/>
      <c r="AH58" s="176"/>
      <c r="AI58" s="177"/>
      <c r="AJ58" s="225"/>
      <c r="AM58" s="176"/>
      <c r="AN58" s="183"/>
      <c r="AO58" s="194"/>
      <c r="AX58" s="182"/>
      <c r="AY58" s="182"/>
    </row>
    <row r="59" customFormat="false" ht="11.1" hidden="false" customHeight="true" outlineLevel="0" collapsed="false">
      <c r="B59" s="8"/>
      <c r="D59" s="177"/>
    </row>
    <row r="60" customFormat="false" ht="11.1" hidden="false" customHeight="true" outlineLevel="0" collapsed="false">
      <c r="G60" s="273"/>
    </row>
  </sheetData>
  <mergeCells count="1">
    <mergeCell ref="M5:U5"/>
  </mergeCells>
  <printOptions headings="true" gridLines="true" gridLinesSet="true" horizontalCentered="false" verticalCentered="true"/>
  <pageMargins left="0.25" right="0.25" top="0.5" bottom="0" header="0.5" footer="0.511811023622047"/>
  <pageSetup paperSize="3" scale="90" fitToWidth="1" fitToHeight="1" pageOrder="downThenOver" orientation="landscape" blackAndWhite="false" draft="false" cellComments="atEnd" horizontalDpi="300" verticalDpi="300" copies="1"/>
  <headerFooter differentFirst="false" differentOddEven="false">
    <oddHeader>&amp;C2012 Approved</oddHeader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N26" activePane="bottomRight" state="frozen"/>
      <selection pane="topLeft" activeCell="A1" activeCellId="0" sqref="A1"/>
      <selection pane="topRight" activeCell="N1" activeCellId="0" sqref="N1"/>
      <selection pane="bottomLeft" activeCell="A26" activeCellId="0" sqref="A26"/>
      <selection pane="bottomRight" activeCell="AC26" activeCellId="0" sqref="AC26"/>
    </sheetView>
  </sheetViews>
  <sheetFormatPr defaultColWidth="9.328125" defaultRowHeight="11.1" zeroHeight="false" outlineLevelRow="0" outlineLevelCol="0"/>
  <cols>
    <col collapsed="false" customWidth="true" hidden="false" outlineLevel="0" max="1" min="1" style="176" width="4.66"/>
    <col collapsed="false" customWidth="true" hidden="false" outlineLevel="0" max="2" min="2" style="176" width="6.99"/>
    <col collapsed="false" customWidth="true" hidden="false" outlineLevel="0" max="3" min="3" style="177" width="6.32"/>
    <col collapsed="false" customWidth="true" hidden="false" outlineLevel="0" max="4" min="4" style="176" width="6.32"/>
    <col collapsed="false" customWidth="true" hidden="false" outlineLevel="0" max="5" min="5" style="177" width="6.99"/>
    <col collapsed="false" customWidth="true" hidden="false" outlineLevel="0" max="6" min="6" style="176" width="7.32"/>
    <col collapsed="false" customWidth="true" hidden="false" outlineLevel="0" max="7" min="7" style="176" width="6.82"/>
    <col collapsed="false" customWidth="true" hidden="false" outlineLevel="0" max="8" min="8" style="285" width="5.66"/>
    <col collapsed="false" customWidth="true" hidden="false" outlineLevel="0" max="11" min="9" style="176" width="6.32"/>
    <col collapsed="false" customWidth="true" hidden="false" outlineLevel="0" max="12" min="12" style="176" width="6.82"/>
    <col collapsed="false" customWidth="true" hidden="false" outlineLevel="0" max="13" min="13" style="179" width="5.49"/>
    <col collapsed="false" customWidth="true" hidden="false" outlineLevel="0" max="14" min="14" style="179" width="4.49"/>
    <col collapsed="false" customWidth="true" hidden="false" outlineLevel="0" max="15" min="15" style="179" width="5.49"/>
    <col collapsed="false" customWidth="true" hidden="false" outlineLevel="0" max="16" min="16" style="8" width="4.82"/>
    <col collapsed="false" customWidth="true" hidden="false" outlineLevel="0" max="18" min="17" style="179" width="4.32"/>
    <col collapsed="false" customWidth="true" hidden="false" outlineLevel="0" max="20" min="19" style="8" width="4.32"/>
    <col collapsed="false" customWidth="true" hidden="false" outlineLevel="0" max="21" min="21" style="8" width="5.16"/>
    <col collapsed="false" customWidth="true" hidden="false" outlineLevel="0" max="23" min="22" style="176" width="5.49"/>
    <col collapsed="false" customWidth="true" hidden="false" outlineLevel="0" max="27" min="24" style="177" width="6.32"/>
    <col collapsed="false" customWidth="true" hidden="false" outlineLevel="0" max="28" min="28" style="176" width="5.49"/>
    <col collapsed="false" customWidth="true" hidden="false" outlineLevel="0" max="29" min="29" style="179" width="5.82"/>
    <col collapsed="false" customWidth="true" hidden="false" outlineLevel="0" max="33" min="30" style="176" width="5.49"/>
    <col collapsed="false" customWidth="true" hidden="false" outlineLevel="0" max="34" min="34" style="177" width="6.32"/>
    <col collapsed="false" customWidth="true" hidden="false" outlineLevel="0" max="35" min="35" style="176" width="5.49"/>
    <col collapsed="false" customWidth="true" hidden="false" outlineLevel="0" max="36" min="36" style="180" width="6.32"/>
    <col collapsed="false" customWidth="true" hidden="false" outlineLevel="0" max="37" min="37" style="176" width="6.32"/>
    <col collapsed="false" customWidth="true" hidden="false" outlineLevel="0" max="38" min="38" style="176" width="6.82"/>
    <col collapsed="false" customWidth="true" hidden="false" outlineLevel="0" max="39" min="39" style="8" width="6.82"/>
    <col collapsed="false" customWidth="true" hidden="false" outlineLevel="0" max="40" min="40" style="182" width="5.49"/>
    <col collapsed="false" customWidth="true" hidden="false" outlineLevel="0" max="41" min="41" style="182" width="5.32"/>
    <col collapsed="false" customWidth="true" hidden="false" outlineLevel="0" max="42" min="42" style="176" width="6.32"/>
    <col collapsed="false" customWidth="true" hidden="false" outlineLevel="0" max="43" min="43" style="286" width="6.32"/>
    <col collapsed="false" customWidth="true" hidden="false" outlineLevel="0" max="44" min="44" style="286" width="5.49"/>
    <col collapsed="false" customWidth="true" hidden="false" outlineLevel="0" max="45" min="45" style="210" width="5.32"/>
    <col collapsed="false" customWidth="true" hidden="false" outlineLevel="0" max="46" min="46" style="180" width="5.82"/>
    <col collapsed="false" customWidth="true" hidden="false" outlineLevel="0" max="47" min="47" style="176" width="4.99"/>
    <col collapsed="false" customWidth="true" hidden="false" outlineLevel="0" max="48" min="48" style="178" width="5.32"/>
    <col collapsed="false" customWidth="true" hidden="false" outlineLevel="0" max="49" min="49" style="182" width="3.82"/>
    <col collapsed="false" customWidth="true" hidden="false" outlineLevel="0" max="50" min="50" style="183" width="3.82"/>
    <col collapsed="false" customWidth="true" hidden="false" outlineLevel="0" max="51" min="51" style="184" width="3.82"/>
    <col collapsed="false" customWidth="true" hidden="false" outlineLevel="0" max="52" min="52" style="287" width="5.49"/>
    <col collapsed="false" customWidth="false" hidden="false" outlineLevel="0" max="257" min="53" style="184" width="9.32"/>
  </cols>
  <sheetData>
    <row r="1" customFormat="false" ht="14.1" hidden="false" customHeight="true" outlineLevel="0" collapsed="false">
      <c r="A1" s="185" t="s">
        <v>114</v>
      </c>
      <c r="B1" s="185"/>
      <c r="D1" s="185"/>
      <c r="F1" s="185"/>
      <c r="G1" s="185"/>
      <c r="I1" s="185"/>
      <c r="J1" s="185"/>
      <c r="K1" s="187" t="s">
        <v>0</v>
      </c>
      <c r="L1" s="185"/>
      <c r="M1" s="185"/>
      <c r="N1" s="185"/>
      <c r="O1" s="185"/>
      <c r="Q1" s="185"/>
      <c r="R1" s="185"/>
      <c r="V1" s="185"/>
      <c r="W1" s="185"/>
      <c r="AB1" s="185"/>
      <c r="AD1" s="185"/>
      <c r="AE1" s="185"/>
      <c r="AF1" s="185"/>
      <c r="AG1" s="185"/>
      <c r="AI1" s="185"/>
      <c r="AJ1" s="188"/>
      <c r="AK1" s="185"/>
      <c r="AL1" s="185"/>
      <c r="AN1" s="288"/>
      <c r="AO1" s="288"/>
      <c r="AP1" s="188"/>
      <c r="AZ1" s="289"/>
    </row>
    <row r="2" customFormat="false" ht="14.1" hidden="false" customHeight="true" outlineLevel="0" collapsed="false">
      <c r="A2" s="188" t="s">
        <v>1</v>
      </c>
      <c r="B2" s="185"/>
      <c r="D2" s="189" t="n">
        <v>1.9835</v>
      </c>
      <c r="F2" s="185"/>
      <c r="G2" s="185"/>
      <c r="I2" s="185"/>
      <c r="J2" s="185"/>
      <c r="K2" s="190" t="s">
        <v>116</v>
      </c>
      <c r="L2" s="191"/>
      <c r="M2" s="192"/>
      <c r="N2" s="192"/>
      <c r="O2" s="192"/>
      <c r="P2" s="193"/>
      <c r="Q2" s="192"/>
      <c r="R2" s="192"/>
      <c r="S2" s="193"/>
      <c r="T2" s="193"/>
      <c r="U2" s="193"/>
      <c r="V2" s="192"/>
      <c r="W2" s="192"/>
      <c r="X2" s="84"/>
      <c r="Y2" s="84"/>
      <c r="Z2" s="84"/>
      <c r="AA2" s="84"/>
      <c r="AB2" s="192"/>
      <c r="AC2" s="194"/>
      <c r="AD2" s="192"/>
      <c r="AE2" s="185"/>
      <c r="AF2" s="185"/>
      <c r="AG2" s="185"/>
      <c r="AI2" s="185"/>
      <c r="AJ2" s="188"/>
      <c r="AK2" s="185"/>
      <c r="AL2" s="185"/>
      <c r="AN2" s="288"/>
      <c r="AO2" s="288"/>
      <c r="AP2" s="188"/>
    </row>
    <row r="3" customFormat="false" ht="14.1" hidden="false" customHeight="true" outlineLevel="0" collapsed="false">
      <c r="A3" s="195"/>
      <c r="B3" s="195"/>
      <c r="C3" s="196"/>
      <c r="D3" s="197"/>
      <c r="E3" s="196"/>
      <c r="F3" s="195"/>
      <c r="G3" s="195"/>
      <c r="H3" s="290"/>
      <c r="I3" s="195"/>
      <c r="J3" s="195"/>
      <c r="K3" s="195"/>
      <c r="L3" s="195"/>
      <c r="M3" s="195"/>
      <c r="N3" s="195"/>
      <c r="O3" s="195"/>
      <c r="P3" s="199"/>
      <c r="Q3" s="195"/>
      <c r="R3" s="195"/>
      <c r="S3" s="199"/>
      <c r="T3" s="199"/>
      <c r="U3" s="199"/>
      <c r="V3" s="195"/>
      <c r="W3" s="195"/>
      <c r="X3" s="196"/>
      <c r="Y3" s="196"/>
      <c r="Z3" s="196"/>
      <c r="AA3" s="196"/>
      <c r="AB3" s="195"/>
      <c r="AC3" s="200"/>
      <c r="AD3" s="195"/>
      <c r="AE3" s="195"/>
      <c r="AF3" s="195"/>
      <c r="AG3" s="195"/>
      <c r="AH3" s="196"/>
      <c r="AI3" s="195"/>
      <c r="AJ3" s="201"/>
      <c r="AK3" s="195"/>
      <c r="AL3" s="195"/>
      <c r="AM3" s="199"/>
      <c r="AN3" s="291"/>
      <c r="AO3" s="291"/>
      <c r="AP3" s="201"/>
      <c r="AQ3" s="292"/>
      <c r="AV3" s="204"/>
      <c r="AW3" s="205"/>
      <c r="AX3" s="206"/>
    </row>
    <row r="4" s="1" customFormat="true" ht="14.1" hidden="false" customHeight="true" outlineLevel="0" collapsed="false">
      <c r="A4" s="31"/>
      <c r="B4" s="32"/>
      <c r="C4" s="33"/>
      <c r="D4" s="34" t="s">
        <v>3</v>
      </c>
      <c r="E4" s="33"/>
      <c r="F4" s="31"/>
      <c r="G4" s="35"/>
      <c r="H4" s="35"/>
      <c r="I4" s="36" t="s">
        <v>111</v>
      </c>
      <c r="J4" s="35"/>
      <c r="K4" s="35"/>
      <c r="L4" s="37"/>
      <c r="M4" s="35"/>
      <c r="N4" s="35"/>
      <c r="O4" s="35"/>
      <c r="P4" s="38"/>
      <c r="Q4" s="35"/>
      <c r="R4" s="35"/>
      <c r="S4" s="35"/>
      <c r="T4" s="35"/>
      <c r="U4" s="38"/>
      <c r="V4" s="35"/>
      <c r="W4" s="35"/>
      <c r="X4" s="39" t="s">
        <v>117</v>
      </c>
      <c r="Y4" s="39"/>
      <c r="Z4" s="39"/>
      <c r="AA4" s="39"/>
      <c r="AB4" s="40"/>
      <c r="AC4" s="41"/>
      <c r="AD4" s="41"/>
      <c r="AE4" s="35"/>
      <c r="AF4" s="35"/>
      <c r="AG4" s="35"/>
      <c r="AH4" s="33"/>
      <c r="AI4" s="35"/>
      <c r="AJ4" s="42"/>
      <c r="AK4" s="35"/>
      <c r="AL4" s="35"/>
      <c r="AM4" s="38"/>
      <c r="AN4" s="43"/>
      <c r="AO4" s="44"/>
      <c r="AP4" s="45" t="s">
        <v>6</v>
      </c>
      <c r="AQ4" s="46"/>
      <c r="AR4" s="47"/>
      <c r="AS4" s="48"/>
      <c r="AT4" s="49"/>
      <c r="AU4" s="49"/>
      <c r="AV4" s="51"/>
      <c r="AW4" s="52" t="s">
        <v>7</v>
      </c>
      <c r="AX4" s="53"/>
      <c r="AY4" s="293"/>
      <c r="AZ4" s="54"/>
    </row>
    <row r="5" customFormat="false" ht="12.95" hidden="false" customHeight="true" outlineLevel="0" collapsed="false">
      <c r="A5" s="55" t="s">
        <v>8</v>
      </c>
      <c r="B5" s="56" t="s">
        <v>9</v>
      </c>
      <c r="C5" s="57" t="s">
        <v>9</v>
      </c>
      <c r="D5" s="58" t="s">
        <v>10</v>
      </c>
      <c r="E5" s="57" t="s">
        <v>11</v>
      </c>
      <c r="F5" s="59" t="s">
        <v>12</v>
      </c>
      <c r="G5" s="55" t="s">
        <v>13</v>
      </c>
      <c r="H5" s="55" t="s">
        <v>14</v>
      </c>
      <c r="I5" s="55" t="s">
        <v>15</v>
      </c>
      <c r="J5" s="55" t="s">
        <v>16</v>
      </c>
      <c r="K5" s="55" t="s">
        <v>17</v>
      </c>
      <c r="L5" s="77" t="s">
        <v>16</v>
      </c>
      <c r="M5" s="209" t="s">
        <v>18</v>
      </c>
      <c r="N5" s="209"/>
      <c r="O5" s="209"/>
      <c r="P5" s="209"/>
      <c r="Q5" s="209"/>
      <c r="R5" s="209"/>
      <c r="S5" s="209"/>
      <c r="T5" s="209"/>
      <c r="U5" s="209"/>
      <c r="V5" s="55" t="s">
        <v>19</v>
      </c>
      <c r="W5" s="55" t="s">
        <v>20</v>
      </c>
      <c r="X5" s="55" t="s">
        <v>17</v>
      </c>
      <c r="Y5" s="55" t="s">
        <v>17</v>
      </c>
      <c r="Z5" s="61" t="s">
        <v>21</v>
      </c>
      <c r="AA5" s="55" t="s">
        <v>21</v>
      </c>
      <c r="AB5" s="61" t="s">
        <v>21</v>
      </c>
      <c r="AC5" s="62" t="s">
        <v>22</v>
      </c>
      <c r="AD5" s="62" t="s">
        <v>21</v>
      </c>
      <c r="AE5" s="55" t="s">
        <v>23</v>
      </c>
      <c r="AF5" s="63" t="s">
        <v>24</v>
      </c>
      <c r="AG5" s="64"/>
      <c r="AH5" s="55" t="s">
        <v>25</v>
      </c>
      <c r="AI5" s="65" t="s">
        <v>26</v>
      </c>
      <c r="AJ5" s="65" t="s">
        <v>27</v>
      </c>
      <c r="AK5" s="55" t="s">
        <v>15</v>
      </c>
      <c r="AL5" s="55" t="s">
        <v>16</v>
      </c>
      <c r="AM5" s="58" t="s">
        <v>17</v>
      </c>
      <c r="AN5" s="66" t="s">
        <v>28</v>
      </c>
      <c r="AO5" s="62" t="s">
        <v>21</v>
      </c>
      <c r="AP5" s="61" t="s">
        <v>29</v>
      </c>
      <c r="AQ5" s="67" t="s">
        <v>29</v>
      </c>
      <c r="AR5" s="62" t="s">
        <v>30</v>
      </c>
      <c r="AS5" s="68" t="s">
        <v>31</v>
      </c>
      <c r="AT5" s="68" t="s">
        <v>32</v>
      </c>
      <c r="AU5" s="210" t="s">
        <v>33</v>
      </c>
      <c r="AV5" s="70" t="s">
        <v>34</v>
      </c>
      <c r="AW5" s="71" t="s">
        <v>35</v>
      </c>
      <c r="AX5" s="71" t="s">
        <v>36</v>
      </c>
      <c r="AY5" s="294"/>
      <c r="AZ5" s="295" t="s">
        <v>17</v>
      </c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</row>
    <row r="6" customFormat="false" ht="12.95" hidden="false" customHeight="true" outlineLevel="0" collapsed="false">
      <c r="A6" s="73" t="s">
        <v>118</v>
      </c>
      <c r="B6" s="56" t="s">
        <v>38</v>
      </c>
      <c r="C6" s="57"/>
      <c r="D6" s="58" t="s">
        <v>39</v>
      </c>
      <c r="E6" s="57" t="s">
        <v>40</v>
      </c>
      <c r="F6" s="59" t="s">
        <v>41</v>
      </c>
      <c r="G6" s="55" t="s">
        <v>42</v>
      </c>
      <c r="H6" s="55" t="s">
        <v>43</v>
      </c>
      <c r="I6" s="55" t="s">
        <v>44</v>
      </c>
      <c r="J6" s="55" t="s">
        <v>44</v>
      </c>
      <c r="K6" s="55" t="s">
        <v>44</v>
      </c>
      <c r="L6" s="77" t="s">
        <v>45</v>
      </c>
      <c r="M6" s="58" t="s">
        <v>46</v>
      </c>
      <c r="N6" s="58" t="s">
        <v>47</v>
      </c>
      <c r="O6" s="58" t="s">
        <v>48</v>
      </c>
      <c r="P6" s="75" t="s">
        <v>49</v>
      </c>
      <c r="Q6" s="58" t="s">
        <v>50</v>
      </c>
      <c r="R6" s="58" t="s">
        <v>51</v>
      </c>
      <c r="S6" s="58"/>
      <c r="T6" s="58" t="s">
        <v>48</v>
      </c>
      <c r="U6" s="76" t="s">
        <v>52</v>
      </c>
      <c r="V6" s="55" t="s">
        <v>53</v>
      </c>
      <c r="W6" s="55" t="s">
        <v>54</v>
      </c>
      <c r="X6" s="55" t="s">
        <v>21</v>
      </c>
      <c r="Y6" s="55" t="s">
        <v>21</v>
      </c>
      <c r="Z6" s="61" t="s">
        <v>55</v>
      </c>
      <c r="AA6" s="55" t="s">
        <v>55</v>
      </c>
      <c r="AB6" s="61" t="s">
        <v>56</v>
      </c>
      <c r="AC6" s="62" t="s">
        <v>57</v>
      </c>
      <c r="AD6" s="62" t="s">
        <v>58</v>
      </c>
      <c r="AE6" s="55" t="s">
        <v>59</v>
      </c>
      <c r="AF6" s="74" t="s">
        <v>60</v>
      </c>
      <c r="AG6" s="77" t="s">
        <v>61</v>
      </c>
      <c r="AH6" s="55" t="s">
        <v>62</v>
      </c>
      <c r="AI6" s="65" t="s">
        <v>63</v>
      </c>
      <c r="AJ6" s="65"/>
      <c r="AK6" s="55" t="s">
        <v>64</v>
      </c>
      <c r="AL6" s="55" t="s">
        <v>64</v>
      </c>
      <c r="AM6" s="58" t="s">
        <v>64</v>
      </c>
      <c r="AN6" s="66" t="s">
        <v>65</v>
      </c>
      <c r="AO6" s="62" t="s">
        <v>66</v>
      </c>
      <c r="AP6" s="61" t="s">
        <v>67</v>
      </c>
      <c r="AQ6" s="67" t="s">
        <v>67</v>
      </c>
      <c r="AR6" s="62" t="s">
        <v>68</v>
      </c>
      <c r="AS6" s="68" t="s">
        <v>69</v>
      </c>
      <c r="AT6" s="68" t="s">
        <v>70</v>
      </c>
      <c r="AU6" s="210" t="s">
        <v>71</v>
      </c>
      <c r="AV6" s="78"/>
      <c r="AW6" s="71" t="s">
        <v>72</v>
      </c>
      <c r="AX6" s="71" t="s">
        <v>72</v>
      </c>
      <c r="AY6" s="294"/>
      <c r="AZ6" s="295" t="s">
        <v>73</v>
      </c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</row>
    <row r="7" customFormat="false" ht="12.95" hidden="false" customHeight="true" outlineLevel="0" collapsed="false">
      <c r="A7" s="55"/>
      <c r="B7" s="56"/>
      <c r="C7" s="57"/>
      <c r="D7" s="58"/>
      <c r="E7" s="57"/>
      <c r="F7" s="59"/>
      <c r="G7" s="55"/>
      <c r="H7" s="55"/>
      <c r="I7" s="55"/>
      <c r="J7" s="55"/>
      <c r="K7" s="55"/>
      <c r="L7" s="77"/>
      <c r="M7" s="58"/>
      <c r="N7" s="58" t="s">
        <v>74</v>
      </c>
      <c r="O7" s="58" t="s">
        <v>75</v>
      </c>
      <c r="P7" s="75"/>
      <c r="Q7" s="58" t="s">
        <v>76</v>
      </c>
      <c r="R7" s="58" t="s">
        <v>76</v>
      </c>
      <c r="S7" s="58" t="s">
        <v>61</v>
      </c>
      <c r="T7" s="58" t="s">
        <v>61</v>
      </c>
      <c r="U7" s="76" t="s">
        <v>77</v>
      </c>
      <c r="V7" s="55"/>
      <c r="W7" s="55"/>
      <c r="X7" s="65" t="s">
        <v>78</v>
      </c>
      <c r="Y7" s="57" t="s">
        <v>79</v>
      </c>
      <c r="Z7" s="61" t="s">
        <v>80</v>
      </c>
      <c r="AA7" s="55" t="s">
        <v>81</v>
      </c>
      <c r="AB7" s="61" t="s">
        <v>82</v>
      </c>
      <c r="AC7" s="62"/>
      <c r="AD7" s="62"/>
      <c r="AE7" s="77"/>
      <c r="AF7" s="79" t="n">
        <v>1.7</v>
      </c>
      <c r="AG7" s="79" t="n">
        <v>1.3</v>
      </c>
      <c r="AH7" s="74"/>
      <c r="AI7" s="80" t="n">
        <v>31798</v>
      </c>
      <c r="AJ7" s="65"/>
      <c r="AK7" s="55"/>
      <c r="AL7" s="55"/>
      <c r="AM7" s="58"/>
      <c r="AN7" s="66"/>
      <c r="AO7" s="62"/>
      <c r="AP7" s="61" t="s">
        <v>83</v>
      </c>
      <c r="AQ7" s="67" t="s">
        <v>84</v>
      </c>
      <c r="AR7" s="62" t="s">
        <v>85</v>
      </c>
      <c r="AS7" s="68" t="s">
        <v>86</v>
      </c>
      <c r="AT7" s="68" t="s">
        <v>87</v>
      </c>
      <c r="AU7" s="210" t="s">
        <v>88</v>
      </c>
      <c r="AV7" s="78"/>
      <c r="AW7" s="71"/>
      <c r="AX7" s="71"/>
      <c r="AY7" s="294"/>
      <c r="AZ7" s="295" t="s">
        <v>89</v>
      </c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</row>
    <row r="8" customFormat="false" ht="12.95" hidden="false" customHeight="true" outlineLevel="0" collapsed="false">
      <c r="A8" s="55"/>
      <c r="B8" s="56"/>
      <c r="C8" s="57"/>
      <c r="D8" s="58"/>
      <c r="E8" s="57"/>
      <c r="F8" s="59"/>
      <c r="G8" s="55"/>
      <c r="H8" s="55"/>
      <c r="I8" s="55"/>
      <c r="J8" s="55"/>
      <c r="K8" s="55"/>
      <c r="L8" s="77"/>
      <c r="M8" s="58"/>
      <c r="N8" s="58"/>
      <c r="O8" s="58"/>
      <c r="P8" s="75"/>
      <c r="Q8" s="58" t="s">
        <v>61</v>
      </c>
      <c r="R8" s="58" t="s">
        <v>61</v>
      </c>
      <c r="S8" s="58"/>
      <c r="T8" s="58"/>
      <c r="U8" s="76"/>
      <c r="V8" s="55"/>
      <c r="W8" s="55"/>
      <c r="X8" s="65" t="s">
        <v>90</v>
      </c>
      <c r="Y8" s="57" t="s">
        <v>78</v>
      </c>
      <c r="Z8" s="61"/>
      <c r="AA8" s="57" t="s">
        <v>91</v>
      </c>
      <c r="AB8" s="61" t="s">
        <v>92</v>
      </c>
      <c r="AC8" s="62"/>
      <c r="AD8" s="62"/>
      <c r="AE8" s="77"/>
      <c r="AF8" s="79"/>
      <c r="AG8" s="79"/>
      <c r="AH8" s="74"/>
      <c r="AI8" s="80"/>
      <c r="AJ8" s="65"/>
      <c r="AK8" s="55"/>
      <c r="AL8" s="55"/>
      <c r="AM8" s="58"/>
      <c r="AN8" s="66"/>
      <c r="AO8" s="62"/>
      <c r="AP8" s="61"/>
      <c r="AQ8" s="67"/>
      <c r="AR8" s="62"/>
      <c r="AS8" s="68"/>
      <c r="AT8" s="68"/>
      <c r="AU8" s="210"/>
      <c r="AV8" s="78"/>
      <c r="AW8" s="71"/>
      <c r="AX8" s="71"/>
      <c r="AY8" s="294"/>
      <c r="AZ8" s="295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</row>
    <row r="9" customFormat="false" ht="12.95" hidden="false" customHeight="true" outlineLevel="0" collapsed="false">
      <c r="A9" s="55"/>
      <c r="B9" s="56"/>
      <c r="C9" s="57"/>
      <c r="D9" s="58"/>
      <c r="E9" s="57"/>
      <c r="F9" s="59"/>
      <c r="G9" s="55"/>
      <c r="H9" s="55"/>
      <c r="I9" s="55"/>
      <c r="J9" s="55"/>
      <c r="K9" s="55"/>
      <c r="L9" s="77"/>
      <c r="M9" s="58"/>
      <c r="N9" s="58"/>
      <c r="O9" s="58"/>
      <c r="P9" s="75"/>
      <c r="Q9" s="58"/>
      <c r="R9" s="81" t="n">
        <v>4.2</v>
      </c>
      <c r="S9" s="58"/>
      <c r="T9" s="58"/>
      <c r="U9" s="76"/>
      <c r="V9" s="55"/>
      <c r="W9" s="55"/>
      <c r="X9" s="65"/>
      <c r="Y9" s="57" t="s">
        <v>90</v>
      </c>
      <c r="Z9" s="61"/>
      <c r="AA9" s="57" t="s">
        <v>90</v>
      </c>
      <c r="AB9" s="61" t="s">
        <v>93</v>
      </c>
      <c r="AC9" s="62"/>
      <c r="AD9" s="62"/>
      <c r="AE9" s="77"/>
      <c r="AF9" s="79"/>
      <c r="AG9" s="79"/>
      <c r="AH9" s="74"/>
      <c r="AI9" s="80"/>
      <c r="AJ9" s="65"/>
      <c r="AK9" s="55"/>
      <c r="AL9" s="55"/>
      <c r="AM9" s="58"/>
      <c r="AN9" s="66"/>
      <c r="AO9" s="62"/>
      <c r="AP9" s="61"/>
      <c r="AQ9" s="67"/>
      <c r="AR9" s="62"/>
      <c r="AS9" s="68"/>
      <c r="AT9" s="68"/>
      <c r="AU9" s="210"/>
      <c r="AV9" s="78"/>
      <c r="AW9" s="71"/>
      <c r="AX9" s="71"/>
      <c r="AY9" s="294"/>
      <c r="AZ9" s="295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</row>
    <row r="10" customFormat="false" ht="12.95" hidden="false" customHeight="true" outlineLevel="0" collapsed="false">
      <c r="A10" s="55"/>
      <c r="B10" s="56"/>
      <c r="C10" s="57" t="s">
        <v>94</v>
      </c>
      <c r="D10" s="58"/>
      <c r="E10" s="57" t="s">
        <v>95</v>
      </c>
      <c r="F10" s="59"/>
      <c r="G10" s="58" t="s">
        <v>41</v>
      </c>
      <c r="H10" s="58" t="s">
        <v>41</v>
      </c>
      <c r="I10" s="58" t="s">
        <v>41</v>
      </c>
      <c r="J10" s="58" t="s">
        <v>41</v>
      </c>
      <c r="K10" s="58" t="s">
        <v>41</v>
      </c>
      <c r="L10" s="77" t="s">
        <v>41</v>
      </c>
      <c r="M10" s="58" t="s">
        <v>41</v>
      </c>
      <c r="N10" s="58" t="s">
        <v>41</v>
      </c>
      <c r="O10" s="58" t="s">
        <v>41</v>
      </c>
      <c r="P10" s="58" t="s">
        <v>41</v>
      </c>
      <c r="Q10" s="58" t="s">
        <v>41</v>
      </c>
      <c r="R10" s="58" t="s">
        <v>41</v>
      </c>
      <c r="S10" s="58" t="s">
        <v>41</v>
      </c>
      <c r="T10" s="58" t="s">
        <v>41</v>
      </c>
      <c r="U10" s="77" t="s">
        <v>41</v>
      </c>
      <c r="V10" s="58" t="s">
        <v>41</v>
      </c>
      <c r="W10" s="58" t="s">
        <v>41</v>
      </c>
      <c r="X10" s="57" t="n">
        <v>153400</v>
      </c>
      <c r="Y10" s="57" t="n">
        <v>150400</v>
      </c>
      <c r="Z10" s="58"/>
      <c r="AA10" s="57"/>
      <c r="AB10" s="57" t="n">
        <v>72000</v>
      </c>
      <c r="AC10" s="296" t="s">
        <v>41</v>
      </c>
      <c r="AD10" s="58" t="s">
        <v>41</v>
      </c>
      <c r="AE10" s="77" t="s">
        <v>41</v>
      </c>
      <c r="AF10" s="58" t="s">
        <v>41</v>
      </c>
      <c r="AG10" s="58" t="s">
        <v>41</v>
      </c>
      <c r="AH10" s="74" t="s">
        <v>41</v>
      </c>
      <c r="AI10" s="58" t="s">
        <v>41</v>
      </c>
      <c r="AJ10" s="58" t="s">
        <v>41</v>
      </c>
      <c r="AK10" s="58" t="s">
        <v>41</v>
      </c>
      <c r="AL10" s="58" t="s">
        <v>41</v>
      </c>
      <c r="AM10" s="58" t="s">
        <v>41</v>
      </c>
      <c r="AN10" s="62" t="s">
        <v>41</v>
      </c>
      <c r="AO10" s="62" t="s">
        <v>41</v>
      </c>
      <c r="AP10" s="62" t="s">
        <v>41</v>
      </c>
      <c r="AQ10" s="67" t="s">
        <v>96</v>
      </c>
      <c r="AR10" s="62" t="s">
        <v>41</v>
      </c>
      <c r="AS10" s="62" t="s">
        <v>41</v>
      </c>
      <c r="AT10" s="62" t="s">
        <v>41</v>
      </c>
      <c r="AU10" s="62" t="s">
        <v>41</v>
      </c>
      <c r="AV10" s="78"/>
      <c r="AW10" s="71"/>
      <c r="AX10" s="71"/>
      <c r="AY10" s="294"/>
      <c r="AZ10" s="295" t="s">
        <v>97</v>
      </c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2.95" hidden="false" customHeight="true" outlineLevel="0" collapsed="false">
      <c r="A11" s="55"/>
      <c r="B11" s="56"/>
      <c r="C11" s="57"/>
      <c r="D11" s="58"/>
      <c r="E11" s="57"/>
      <c r="F11" s="59"/>
      <c r="G11" s="55"/>
      <c r="H11" s="55"/>
      <c r="I11" s="55"/>
      <c r="J11" s="55"/>
      <c r="K11" s="55"/>
      <c r="L11" s="77"/>
      <c r="M11" s="58"/>
      <c r="N11" s="46" t="n">
        <v>1.03</v>
      </c>
      <c r="O11" s="46" t="n">
        <v>1.05</v>
      </c>
      <c r="P11" s="46" t="n">
        <v>1.02</v>
      </c>
      <c r="Q11" s="82" t="n">
        <v>1.02</v>
      </c>
      <c r="R11" s="83" t="n">
        <v>1.04</v>
      </c>
      <c r="S11" s="58"/>
      <c r="T11" s="82" t="n">
        <v>1.04</v>
      </c>
      <c r="U11" s="76"/>
      <c r="V11" s="55"/>
      <c r="W11" s="55"/>
      <c r="X11" s="58" t="s">
        <v>41</v>
      </c>
      <c r="Y11" s="58" t="s">
        <v>41</v>
      </c>
      <c r="Z11" s="58" t="s">
        <v>41</v>
      </c>
      <c r="AA11" s="57" t="s">
        <v>41</v>
      </c>
      <c r="AB11" s="84" t="s">
        <v>98</v>
      </c>
      <c r="AC11" s="62"/>
      <c r="AD11" s="61"/>
      <c r="AE11" s="85"/>
      <c r="AF11" s="79"/>
      <c r="AG11" s="79"/>
      <c r="AH11" s="74"/>
      <c r="AI11" s="80"/>
      <c r="AJ11" s="86"/>
      <c r="AK11" s="55"/>
      <c r="AL11" s="55"/>
      <c r="AM11" s="58"/>
      <c r="AN11" s="66"/>
      <c r="AO11" s="62"/>
      <c r="AP11" s="61"/>
      <c r="AQ11" s="67"/>
      <c r="AR11" s="67"/>
      <c r="AS11" s="87"/>
      <c r="AT11" s="87"/>
      <c r="AU11" s="87"/>
      <c r="AV11" s="78"/>
      <c r="AW11" s="71"/>
      <c r="AX11" s="71"/>
      <c r="AY11" s="294"/>
      <c r="AZ11" s="295" t="s">
        <v>41</v>
      </c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2.95" hidden="false" customHeight="true" outlineLevel="0" collapsed="false">
      <c r="A12" s="188" t="s">
        <v>99</v>
      </c>
      <c r="B12" s="213"/>
      <c r="C12" s="107"/>
      <c r="D12" s="107"/>
      <c r="E12" s="107"/>
      <c r="F12" s="214"/>
      <c r="G12" s="107"/>
      <c r="H12" s="297"/>
      <c r="I12" s="107"/>
      <c r="J12" s="107"/>
      <c r="K12" s="107"/>
      <c r="L12" s="107"/>
      <c r="M12" s="216"/>
      <c r="N12" s="107"/>
      <c r="O12" s="107"/>
      <c r="P12" s="158"/>
      <c r="Q12" s="107"/>
      <c r="R12" s="107"/>
      <c r="S12" s="158"/>
      <c r="T12" s="158"/>
      <c r="U12" s="217"/>
      <c r="V12" s="107"/>
      <c r="W12" s="107"/>
      <c r="X12" s="107"/>
      <c r="Y12" s="107"/>
      <c r="Z12" s="107"/>
      <c r="AA12" s="107"/>
      <c r="AB12" s="107"/>
      <c r="AC12" s="136"/>
      <c r="AD12" s="107"/>
      <c r="AE12" s="107"/>
      <c r="AF12" s="216"/>
      <c r="AG12" s="218"/>
      <c r="AH12" s="107"/>
      <c r="AI12" s="107"/>
      <c r="AJ12" s="219"/>
      <c r="AK12" s="107"/>
      <c r="AL12" s="107"/>
      <c r="AM12" s="107"/>
      <c r="AN12" s="220"/>
      <c r="AO12" s="215"/>
      <c r="AP12" s="135"/>
      <c r="AQ12" s="221"/>
      <c r="AR12" s="221"/>
      <c r="AS12" s="298"/>
      <c r="AU12" s="274"/>
      <c r="AV12" s="275"/>
      <c r="AW12" s="215"/>
      <c r="AX12" s="215"/>
      <c r="AY12" s="299"/>
      <c r="AZ12" s="300"/>
    </row>
    <row r="13" s="230" customFormat="true" ht="12.95" hidden="false" customHeight="true" outlineLevel="0" collapsed="false">
      <c r="A13" s="177" t="s">
        <v>100</v>
      </c>
      <c r="B13" s="301" t="n">
        <f aca="false">JAN!B45</f>
        <v>6901.18</v>
      </c>
      <c r="C13" s="107" t="n">
        <f aca="false">JAN!C45</f>
        <v>287954</v>
      </c>
      <c r="D13" s="107" t="n">
        <f aca="false">JAN!D54</f>
        <v>-5657</v>
      </c>
      <c r="E13" s="107" t="n">
        <f aca="false">JAN!E54</f>
        <v>135954</v>
      </c>
      <c r="F13" s="214" t="n">
        <f aca="false">JAN!F53</f>
        <v>-2852.02924124023</v>
      </c>
      <c r="G13" s="107" t="n">
        <f aca="false">JAN!G53</f>
        <v>4461</v>
      </c>
      <c r="H13" s="226" t="n">
        <f aca="false">JAN!H53</f>
        <v>68.08</v>
      </c>
      <c r="I13" s="107" t="n">
        <f aca="false">JAN!I53</f>
        <v>4528.46</v>
      </c>
      <c r="J13" s="226" t="n">
        <f aca="false">JAN!J53</f>
        <v>423.208563145954</v>
      </c>
      <c r="K13" s="107" t="n">
        <f aca="false">JAN!K53</f>
        <v>4951.66856314596</v>
      </c>
      <c r="L13" s="267" t="n">
        <f aca="false">JAN!L53</f>
        <v>-147.889241240232</v>
      </c>
      <c r="M13" s="107" t="n">
        <f aca="false">JAN!M53</f>
        <v>427.1</v>
      </c>
      <c r="N13" s="226" t="n">
        <f aca="false">JAN!N53</f>
        <v>0</v>
      </c>
      <c r="O13" s="107" t="n">
        <f aca="false">JAN!O53</f>
        <v>0</v>
      </c>
      <c r="P13" s="107" t="n">
        <f aca="false">JAN!P53</f>
        <v>0</v>
      </c>
      <c r="Q13" s="107" t="n">
        <f aca="false">JAN!Q53</f>
        <v>139.1860692116</v>
      </c>
      <c r="R13" s="226" t="n">
        <f aca="false">JAN!R53</f>
        <v>148.55458592</v>
      </c>
      <c r="S13" s="107" t="n">
        <f aca="false">JAN!S53</f>
        <v>0</v>
      </c>
      <c r="T13" s="107" t="n">
        <f aca="false">JAN!T53</f>
        <v>46.75741408</v>
      </c>
      <c r="U13" s="267" t="n">
        <f aca="false">JAN!U53</f>
        <v>3.49609729918754</v>
      </c>
      <c r="V13" s="107" t="n">
        <f aca="false">JAN!V53</f>
        <v>3992</v>
      </c>
      <c r="W13" s="226" t="n">
        <f aca="false">JAN!W53</f>
        <v>59.5</v>
      </c>
      <c r="X13" s="107" t="n">
        <f aca="false">JAN!X53</f>
        <v>4140.60583348921</v>
      </c>
      <c r="Y13" s="226" t="n">
        <f aca="false">JAN!Y53</f>
        <v>3937.80876137068</v>
      </c>
      <c r="Z13" s="107"/>
      <c r="AA13" s="107"/>
      <c r="AB13" s="107"/>
      <c r="AC13" s="226" t="n">
        <f aca="false">JAN!AC53</f>
        <v>223</v>
      </c>
      <c r="AD13" s="107"/>
      <c r="AE13" s="107"/>
      <c r="AF13" s="216"/>
      <c r="AG13" s="218"/>
      <c r="AH13" s="226" t="n">
        <f aca="false">JAN!AH53</f>
        <v>2754</v>
      </c>
      <c r="AI13" s="226" t="n">
        <f aca="false">JAN!AI53</f>
        <v>2597</v>
      </c>
      <c r="AJ13" s="226" t="n">
        <f aca="false">JAN!AJ53</f>
        <v>0</v>
      </c>
      <c r="AK13" s="226" t="n">
        <f aca="false">JAN!AK53</f>
        <v>7232.6</v>
      </c>
      <c r="AL13" s="226" t="n">
        <f aca="false">JAN!AL53</f>
        <v>571.097804386186</v>
      </c>
      <c r="AM13" s="226" t="n">
        <f aca="false">JAN!AM53</f>
        <v>7803.69780438619</v>
      </c>
      <c r="AN13" s="220" t="n">
        <f aca="false">JAN!AN53</f>
        <v>3937.8</v>
      </c>
      <c r="AO13" s="276" t="n">
        <f aca="false">JAN!AO53</f>
        <v>202.797072118535</v>
      </c>
      <c r="AP13" s="107"/>
      <c r="AQ13" s="135"/>
      <c r="AR13" s="135"/>
      <c r="AS13" s="107"/>
      <c r="AT13" s="177"/>
      <c r="AU13" s="277"/>
      <c r="AV13" s="278" t="n">
        <f aca="false">JAN!AV53</f>
        <v>1.46</v>
      </c>
      <c r="AW13" s="215"/>
      <c r="AX13" s="215"/>
      <c r="AY13" s="302"/>
      <c r="AZ13" s="279" t="n">
        <f aca="false">JAN!AZ53</f>
        <v>337.994166510787</v>
      </c>
    </row>
    <row r="14" customFormat="false" ht="3" hidden="false" customHeight="true" outlineLevel="0" collapsed="false">
      <c r="A14" s="231"/>
      <c r="B14" s="232"/>
      <c r="C14" s="233"/>
      <c r="D14" s="234"/>
      <c r="E14" s="233"/>
      <c r="F14" s="235"/>
      <c r="G14" s="234"/>
      <c r="H14" s="303"/>
      <c r="I14" s="234"/>
      <c r="J14" s="234"/>
      <c r="K14" s="234"/>
      <c r="L14" s="234"/>
      <c r="M14" s="237"/>
      <c r="N14" s="234"/>
      <c r="O14" s="234"/>
      <c r="P14" s="238"/>
      <c r="Q14" s="234"/>
      <c r="R14" s="234"/>
      <c r="S14" s="238"/>
      <c r="T14" s="238"/>
      <c r="U14" s="239"/>
      <c r="V14" s="234"/>
      <c r="W14" s="234"/>
      <c r="X14" s="234"/>
      <c r="Y14" s="234"/>
      <c r="Z14" s="234"/>
      <c r="AA14" s="234"/>
      <c r="AB14" s="233"/>
      <c r="AC14" s="240"/>
      <c r="AD14" s="233"/>
      <c r="AE14" s="234"/>
      <c r="AF14" s="237"/>
      <c r="AG14" s="241"/>
      <c r="AH14" s="234"/>
      <c r="AI14" s="233"/>
      <c r="AJ14" s="304"/>
      <c r="AK14" s="234"/>
      <c r="AL14" s="234"/>
      <c r="AM14" s="234"/>
      <c r="AN14" s="242"/>
      <c r="AO14" s="243"/>
      <c r="AP14" s="243"/>
      <c r="AQ14" s="243"/>
      <c r="AR14" s="243"/>
      <c r="AS14" s="243"/>
      <c r="AT14" s="305"/>
      <c r="AU14" s="306"/>
      <c r="AV14" s="263"/>
      <c r="AW14" s="243"/>
      <c r="AX14" s="243"/>
      <c r="AY14" s="306"/>
      <c r="AZ14" s="307"/>
    </row>
    <row r="15" customFormat="false" ht="12.95" hidden="false" customHeight="true" outlineLevel="0" collapsed="false">
      <c r="A15" s="183" t="n">
        <v>1</v>
      </c>
      <c r="B15" s="106" t="n">
        <v>6901.17</v>
      </c>
      <c r="C15" s="107" t="n">
        <v>287916</v>
      </c>
      <c r="D15" s="215" t="n">
        <f aca="false">C15-C13</f>
        <v>-38</v>
      </c>
      <c r="E15" s="107" t="n">
        <f aca="false">C15-152000</f>
        <v>135916</v>
      </c>
      <c r="F15" s="246" t="n">
        <f aca="false">D15/$D$2</f>
        <v>-19.1580539450466</v>
      </c>
      <c r="G15" s="135" t="n">
        <v>36</v>
      </c>
      <c r="H15" s="297" t="n">
        <v>1.9</v>
      </c>
      <c r="I15" s="135" t="n">
        <f aca="false">G15+H15</f>
        <v>37.9</v>
      </c>
      <c r="J15" s="136" t="n">
        <f aca="false">IF(L15&gt;0,L15,0)</f>
        <v>4.84194605495336</v>
      </c>
      <c r="K15" s="135" t="n">
        <f aca="false">I15+J15</f>
        <v>42.7419460549534</v>
      </c>
      <c r="L15" s="135" t="n">
        <f aca="false">F15-(I15-AK15)</f>
        <v>4.84194605495336</v>
      </c>
      <c r="M15" s="248" t="n">
        <v>3.9</v>
      </c>
      <c r="N15" s="135" t="n">
        <v>0</v>
      </c>
      <c r="O15" s="135" t="n">
        <v>0</v>
      </c>
      <c r="P15" s="158" t="n">
        <v>0</v>
      </c>
      <c r="Q15" s="272" t="n">
        <f aca="false">946700/325851/1.9835*1.02</f>
        <v>1.49403676940261</v>
      </c>
      <c r="R15" s="131" t="n">
        <f aca="false">((2.2)*1.04)-T15</f>
        <v>1.71177552</v>
      </c>
      <c r="S15" s="83" t="n">
        <v>0</v>
      </c>
      <c r="T15" s="131" t="n">
        <f aca="false">(0.5227*1.06)*1.04</f>
        <v>0.57622448</v>
      </c>
      <c r="U15" s="96" t="n">
        <f aca="false">M15-(Q15+R15+S15+T15)</f>
        <v>0.117963230597391</v>
      </c>
      <c r="V15" s="135" t="n">
        <v>28</v>
      </c>
      <c r="W15" s="135" t="n">
        <v>0</v>
      </c>
      <c r="X15" s="135" t="n">
        <f aca="false">M15-N15-O15-P15-Q15-R15-S15-T15-U15+V15+W15</f>
        <v>28</v>
      </c>
      <c r="Y15" s="135" t="n">
        <f aca="false">X15-AO15</f>
        <v>28</v>
      </c>
      <c r="Z15" s="135"/>
      <c r="AA15" s="135"/>
      <c r="AB15" s="107"/>
      <c r="AC15" s="136" t="n">
        <v>4</v>
      </c>
      <c r="AD15" s="107"/>
      <c r="AE15" s="135" t="n">
        <v>0</v>
      </c>
      <c r="AF15" s="248"/>
      <c r="AG15" s="249"/>
      <c r="AH15" s="135" t="n">
        <v>30</v>
      </c>
      <c r="AI15" s="107" t="n">
        <f aca="false">AI13-AH15</f>
        <v>2567</v>
      </c>
      <c r="AJ15" s="219"/>
      <c r="AK15" s="134" t="n">
        <f aca="false">N15+O15+P15+Q15+R15+S15+T15+U15+X15+AE15+AH15</f>
        <v>61.9</v>
      </c>
      <c r="AL15" s="135" t="n">
        <f aca="false">IF(L15&lt;0,L15*-1,0)</f>
        <v>0</v>
      </c>
      <c r="AM15" s="135" t="n">
        <f aca="false">AK15+AL15</f>
        <v>61.9</v>
      </c>
      <c r="AN15" s="281" t="n">
        <f aca="false">V15</f>
        <v>28</v>
      </c>
      <c r="AO15" s="215" t="n">
        <v>0</v>
      </c>
      <c r="AP15" s="221"/>
      <c r="AQ15" s="107"/>
      <c r="AR15" s="107"/>
      <c r="AS15" s="298"/>
      <c r="AU15" s="274"/>
      <c r="AV15" s="275" t="n">
        <v>0</v>
      </c>
      <c r="AW15" s="215" t="n">
        <v>44</v>
      </c>
      <c r="AX15" s="215" t="n">
        <v>20</v>
      </c>
      <c r="AY15" s="299"/>
      <c r="AZ15" s="250" t="n">
        <f aca="false">SUM(N15,P15:U15)</f>
        <v>3.9</v>
      </c>
    </row>
    <row r="16" customFormat="false" ht="12.95" hidden="false" customHeight="true" outlineLevel="0" collapsed="false">
      <c r="A16" s="183" t="n">
        <f aca="false">A15+1</f>
        <v>2</v>
      </c>
      <c r="B16" s="106" t="n">
        <v>6901.17</v>
      </c>
      <c r="C16" s="107" t="n">
        <v>287916</v>
      </c>
      <c r="D16" s="215" t="n">
        <f aca="false">C16-C15</f>
        <v>0</v>
      </c>
      <c r="E16" s="107" t="n">
        <f aca="false">C16-152000</f>
        <v>135916</v>
      </c>
      <c r="F16" s="246" t="n">
        <f aca="false">D16/$D$2</f>
        <v>0</v>
      </c>
      <c r="G16" s="135" t="n">
        <v>36</v>
      </c>
      <c r="H16" s="297" t="n">
        <v>1.8</v>
      </c>
      <c r="I16" s="135" t="n">
        <f aca="false">G16+H16</f>
        <v>37.8</v>
      </c>
      <c r="J16" s="136" t="n">
        <f aca="false">IF(L16&gt;0,L16,0)</f>
        <v>24.1</v>
      </c>
      <c r="K16" s="135" t="n">
        <f aca="false">I16+J16</f>
        <v>61.9</v>
      </c>
      <c r="L16" s="135" t="n">
        <f aca="false">F16-(I16-AK16)</f>
        <v>24.1</v>
      </c>
      <c r="M16" s="248" t="n">
        <v>3.9</v>
      </c>
      <c r="N16" s="135" t="n">
        <v>0</v>
      </c>
      <c r="O16" s="135" t="n">
        <v>0</v>
      </c>
      <c r="P16" s="158" t="n">
        <v>0</v>
      </c>
      <c r="Q16" s="272" t="n">
        <f aca="false">1026600/325851/1.9835*1.02</f>
        <v>1.62013113707481</v>
      </c>
      <c r="R16" s="131" t="n">
        <f aca="false">((1.9)*1.04)-T16</f>
        <v>1.39977552</v>
      </c>
      <c r="S16" s="83" t="n">
        <v>0</v>
      </c>
      <c r="T16" s="131" t="n">
        <f aca="false">(0.5227*1.06)*1.04</f>
        <v>0.57622448</v>
      </c>
      <c r="U16" s="96" t="n">
        <f aca="false">M16-(Q16+R16+S16+T16)</f>
        <v>0.303868862925194</v>
      </c>
      <c r="V16" s="135" t="n">
        <v>28</v>
      </c>
      <c r="W16" s="135" t="n">
        <v>0</v>
      </c>
      <c r="X16" s="135" t="n">
        <f aca="false">M16-N16-O16-P16-Q16-R16-S16-T16-U16+V16+W16</f>
        <v>28</v>
      </c>
      <c r="Y16" s="135" t="n">
        <f aca="false">X16-AO16</f>
        <v>28</v>
      </c>
      <c r="Z16" s="135"/>
      <c r="AA16" s="135"/>
      <c r="AB16" s="107"/>
      <c r="AC16" s="136" t="n">
        <v>25.2</v>
      </c>
      <c r="AD16" s="107"/>
      <c r="AE16" s="135" t="n">
        <v>0</v>
      </c>
      <c r="AF16" s="248"/>
      <c r="AG16" s="249"/>
      <c r="AH16" s="135" t="n">
        <v>30</v>
      </c>
      <c r="AI16" s="107" t="n">
        <f aca="false">AI15-AH16</f>
        <v>2537</v>
      </c>
      <c r="AJ16" s="219"/>
      <c r="AK16" s="134" t="n">
        <f aca="false">N16+O16+P16+Q16+R16+S16+T16+U16+X16+AE16+AH16</f>
        <v>61.9</v>
      </c>
      <c r="AL16" s="135" t="n">
        <f aca="false">IF(L16&lt;0,L16*-1,0)</f>
        <v>0</v>
      </c>
      <c r="AM16" s="135" t="n">
        <f aca="false">AK16+AL16</f>
        <v>61.9</v>
      </c>
      <c r="AN16" s="281" t="n">
        <f aca="false">V16</f>
        <v>28</v>
      </c>
      <c r="AO16" s="215" t="n">
        <v>0</v>
      </c>
      <c r="AP16" s="221"/>
      <c r="AQ16" s="107"/>
      <c r="AR16" s="107"/>
      <c r="AS16" s="298"/>
      <c r="AV16" s="222" t="n">
        <v>0</v>
      </c>
      <c r="AW16" s="215" t="n">
        <v>40</v>
      </c>
      <c r="AX16" s="215" t="n">
        <v>23</v>
      </c>
      <c r="AY16" s="299"/>
      <c r="AZ16" s="250" t="n">
        <f aca="false">SUM(N16,P16:U16)</f>
        <v>3.9</v>
      </c>
    </row>
    <row r="17" customFormat="false" ht="12.95" hidden="false" customHeight="true" outlineLevel="0" collapsed="false">
      <c r="A17" s="183" t="n">
        <f aca="false">A16+1</f>
        <v>3</v>
      </c>
      <c r="B17" s="106" t="n">
        <v>6901.16</v>
      </c>
      <c r="C17" s="107" t="n">
        <v>287879</v>
      </c>
      <c r="D17" s="215" t="n">
        <f aca="false">C17-C16</f>
        <v>-37</v>
      </c>
      <c r="E17" s="107" t="n">
        <f aca="false">C17-152000</f>
        <v>135879</v>
      </c>
      <c r="F17" s="246" t="n">
        <f aca="false">D17/$D$2</f>
        <v>-18.6538946307033</v>
      </c>
      <c r="G17" s="135" t="n">
        <v>34</v>
      </c>
      <c r="H17" s="297" t="n">
        <v>1.8</v>
      </c>
      <c r="I17" s="135" t="n">
        <f aca="false">G17+H17</f>
        <v>35.8</v>
      </c>
      <c r="J17" s="136" t="n">
        <f aca="false">IF(L17&gt;0,L17,0)</f>
        <v>7.4461053692967</v>
      </c>
      <c r="K17" s="135" t="n">
        <f aca="false">I17+J17</f>
        <v>43.2461053692967</v>
      </c>
      <c r="L17" s="135" t="n">
        <f aca="false">F17-(I17-AK17)</f>
        <v>7.4461053692967</v>
      </c>
      <c r="M17" s="248" t="n">
        <v>3.9</v>
      </c>
      <c r="N17" s="135" t="n">
        <v>0</v>
      </c>
      <c r="O17" s="135" t="n">
        <v>0</v>
      </c>
      <c r="P17" s="158" t="n">
        <v>0</v>
      </c>
      <c r="Q17" s="272" t="n">
        <f aca="false">930800/325851/1.9835*1.02</f>
        <v>1.46894414805107</v>
      </c>
      <c r="R17" s="131" t="n">
        <f aca="false">((1.9)*1.04)-T17</f>
        <v>1.50670832</v>
      </c>
      <c r="S17" s="83" t="n">
        <v>0</v>
      </c>
      <c r="T17" s="131" t="n">
        <f aca="false">(0.4257*1.06)*1.04</f>
        <v>0.46929168</v>
      </c>
      <c r="U17" s="96" t="n">
        <f aca="false">M17-(Q17+R17+S17+T17)</f>
        <v>0.45505585194893</v>
      </c>
      <c r="V17" s="135" t="n">
        <v>28</v>
      </c>
      <c r="W17" s="135" t="n">
        <v>0</v>
      </c>
      <c r="X17" s="135" t="n">
        <f aca="false">M17-N17-O17-P17-Q17-R17-S17-T17-U17+V17+W17</f>
        <v>28</v>
      </c>
      <c r="Y17" s="135" t="n">
        <f aca="false">X17-AO17</f>
        <v>28</v>
      </c>
      <c r="Z17" s="135"/>
      <c r="AA17" s="135"/>
      <c r="AB17" s="107"/>
      <c r="AC17" s="136" t="n">
        <v>11.7</v>
      </c>
      <c r="AD17" s="107"/>
      <c r="AE17" s="135" t="n">
        <v>0</v>
      </c>
      <c r="AF17" s="248"/>
      <c r="AG17" s="249"/>
      <c r="AH17" s="135" t="n">
        <v>30</v>
      </c>
      <c r="AI17" s="107" t="n">
        <f aca="false">AI16-AH17</f>
        <v>2507</v>
      </c>
      <c r="AJ17" s="219"/>
      <c r="AK17" s="134" t="n">
        <f aca="false">N17+O17+P17+Q17+R17+S17+T17+U17+X17+AE17+AH17</f>
        <v>61.9</v>
      </c>
      <c r="AL17" s="135" t="n">
        <f aca="false">IF(L17&lt;0,L17*-1,0)</f>
        <v>0</v>
      </c>
      <c r="AM17" s="135" t="n">
        <f aca="false">AK17+AL17</f>
        <v>61.9</v>
      </c>
      <c r="AN17" s="281" t="n">
        <f aca="false">V17</f>
        <v>28</v>
      </c>
      <c r="AO17" s="215" t="n">
        <v>0</v>
      </c>
      <c r="AP17" s="221"/>
      <c r="AQ17" s="107"/>
      <c r="AR17" s="107"/>
      <c r="AS17" s="298"/>
      <c r="AV17" s="222" t="n">
        <v>0</v>
      </c>
      <c r="AW17" s="215" t="n">
        <v>39</v>
      </c>
      <c r="AX17" s="215" t="n">
        <v>20</v>
      </c>
      <c r="AY17" s="299"/>
      <c r="AZ17" s="250" t="n">
        <f aca="false">SUM(N17,P17:U17)</f>
        <v>3.9</v>
      </c>
    </row>
    <row r="18" customFormat="false" ht="12.95" hidden="false" customHeight="true" outlineLevel="0" collapsed="false">
      <c r="A18" s="183" t="n">
        <f aca="false">A17+1</f>
        <v>4</v>
      </c>
      <c r="B18" s="106" t="n">
        <v>6901.15</v>
      </c>
      <c r="C18" s="107" t="n">
        <v>287842</v>
      </c>
      <c r="D18" s="215" t="n">
        <f aca="false">C18-C17</f>
        <v>-37</v>
      </c>
      <c r="E18" s="107" t="n">
        <f aca="false">C18-152000</f>
        <v>135842</v>
      </c>
      <c r="F18" s="246" t="n">
        <f aca="false">D18/$D$2</f>
        <v>-18.6538946307033</v>
      </c>
      <c r="G18" s="135" t="n">
        <v>33</v>
      </c>
      <c r="H18" s="297" t="n">
        <v>1.7</v>
      </c>
      <c r="I18" s="135" t="n">
        <f aca="false">G18+H18</f>
        <v>34.7</v>
      </c>
      <c r="J18" s="136" t="n">
        <f aca="false">IF(L18&gt;0,L18,0)</f>
        <v>8.54610536929669</v>
      </c>
      <c r="K18" s="135" t="n">
        <f aca="false">I18+J18</f>
        <v>43.2461053692967</v>
      </c>
      <c r="L18" s="135" t="n">
        <f aca="false">F18-(I18-AK18)</f>
        <v>8.54610536929669</v>
      </c>
      <c r="M18" s="248" t="n">
        <v>3.9</v>
      </c>
      <c r="N18" s="135" t="n">
        <v>0</v>
      </c>
      <c r="O18" s="135" t="n">
        <v>0</v>
      </c>
      <c r="P18" s="158" t="n">
        <v>0</v>
      </c>
      <c r="Q18" s="272" t="n">
        <f aca="false">1047100/325851/1.9835*1.02</f>
        <v>1.65248325894314</v>
      </c>
      <c r="R18" s="131" t="n">
        <f aca="false">((1.9)*1.04)-T18</f>
        <v>1.50670832</v>
      </c>
      <c r="S18" s="83" t="n">
        <v>0</v>
      </c>
      <c r="T18" s="131" t="n">
        <f aca="false">(0.4257*1.06)*1.04</f>
        <v>0.46929168</v>
      </c>
      <c r="U18" s="96" t="n">
        <f aca="false">M18-(Q18+R18+S18+T18)</f>
        <v>0.271516741056859</v>
      </c>
      <c r="V18" s="135" t="n">
        <v>28</v>
      </c>
      <c r="W18" s="135" t="n">
        <v>0</v>
      </c>
      <c r="X18" s="135" t="n">
        <f aca="false">M18-N18-O18-P18-Q18-R18-S18-T18-U18+V18+W18</f>
        <v>28</v>
      </c>
      <c r="Y18" s="135" t="n">
        <f aca="false">X18-AO18</f>
        <v>28</v>
      </c>
      <c r="Z18" s="135"/>
      <c r="AA18" s="135"/>
      <c r="AB18" s="107"/>
      <c r="AC18" s="136" t="n">
        <v>11.5</v>
      </c>
      <c r="AD18" s="107"/>
      <c r="AE18" s="135" t="n">
        <v>0</v>
      </c>
      <c r="AF18" s="248"/>
      <c r="AG18" s="249"/>
      <c r="AH18" s="135" t="n">
        <v>30</v>
      </c>
      <c r="AI18" s="107" t="n">
        <f aca="false">AI17-AH18</f>
        <v>2477</v>
      </c>
      <c r="AJ18" s="219"/>
      <c r="AK18" s="134" t="n">
        <f aca="false">N18+O18+P18+Q18+R18+S18+T18+U18+X18+AE18+AH18</f>
        <v>61.9</v>
      </c>
      <c r="AL18" s="135" t="n">
        <f aca="false">IF(L18&lt;0,L18*-1,0)</f>
        <v>0</v>
      </c>
      <c r="AM18" s="135" t="n">
        <f aca="false">AK18+AL18</f>
        <v>61.9</v>
      </c>
      <c r="AN18" s="281" t="n">
        <f aca="false">V18</f>
        <v>28</v>
      </c>
      <c r="AO18" s="215" t="n">
        <v>0</v>
      </c>
      <c r="AP18" s="221"/>
      <c r="AQ18" s="107"/>
      <c r="AR18" s="107"/>
      <c r="AS18" s="298"/>
      <c r="AV18" s="222" t="n">
        <v>0</v>
      </c>
      <c r="AW18" s="215" t="n">
        <v>40</v>
      </c>
      <c r="AX18" s="215" t="n">
        <v>20</v>
      </c>
      <c r="AY18" s="299"/>
      <c r="AZ18" s="250" t="n">
        <f aca="false">SUM(N18,P18:U18)</f>
        <v>3.9</v>
      </c>
    </row>
    <row r="19" customFormat="false" ht="12.95" hidden="false" customHeight="true" outlineLevel="0" collapsed="false">
      <c r="A19" s="183" t="n">
        <f aca="false">A18+1</f>
        <v>5</v>
      </c>
      <c r="B19" s="106" t="n">
        <v>6901.16</v>
      </c>
      <c r="C19" s="107" t="n">
        <v>287879</v>
      </c>
      <c r="D19" s="215" t="n">
        <f aca="false">C19-C18</f>
        <v>37</v>
      </c>
      <c r="E19" s="107" t="n">
        <f aca="false">C19-152000</f>
        <v>135879</v>
      </c>
      <c r="F19" s="246" t="n">
        <f aca="false">D19/$D$2</f>
        <v>18.6538946307033</v>
      </c>
      <c r="G19" s="135" t="n">
        <v>33</v>
      </c>
      <c r="H19" s="297" t="n">
        <v>1.6</v>
      </c>
      <c r="I19" s="135" t="n">
        <f aca="false">G19+H19</f>
        <v>34.6</v>
      </c>
      <c r="J19" s="136" t="n">
        <f aca="false">IF(L19&gt;0,L19,0)</f>
        <v>45.9538946307033</v>
      </c>
      <c r="K19" s="135" t="n">
        <f aca="false">I19+J19</f>
        <v>80.5538946307033</v>
      </c>
      <c r="L19" s="135" t="n">
        <f aca="false">F19-(I19-AK19)</f>
        <v>45.9538946307033</v>
      </c>
      <c r="M19" s="248" t="n">
        <v>3.9</v>
      </c>
      <c r="N19" s="135" t="n">
        <v>0</v>
      </c>
      <c r="O19" s="135" t="n">
        <v>0</v>
      </c>
      <c r="P19" s="158" t="n">
        <v>0</v>
      </c>
      <c r="Q19" s="272" t="n">
        <f aca="false">1012300/325851/1.9835*1.02</f>
        <v>1.59756355938128</v>
      </c>
      <c r="R19" s="131" t="n">
        <f aca="false">((1.9)*1.04)-T19</f>
        <v>1.50670832</v>
      </c>
      <c r="S19" s="83" t="n">
        <v>0</v>
      </c>
      <c r="T19" s="131" t="n">
        <f aca="false">(0.4257*1.06)*1.04</f>
        <v>0.46929168</v>
      </c>
      <c r="U19" s="96" t="n">
        <f aca="false">M19-(Q19+R19+S19+T19)</f>
        <v>0.326436440618716</v>
      </c>
      <c r="V19" s="135" t="n">
        <v>28</v>
      </c>
      <c r="W19" s="135" t="n">
        <v>0</v>
      </c>
      <c r="X19" s="135" t="n">
        <f aca="false">M19-N19-O19-P19-Q19-R19-S19-T19-U19+V19+W19</f>
        <v>28</v>
      </c>
      <c r="Y19" s="135" t="n">
        <f aca="false">X19-AO19</f>
        <v>28</v>
      </c>
      <c r="Z19" s="135"/>
      <c r="AA19" s="135"/>
      <c r="AB19" s="107"/>
      <c r="AC19" s="136" t="n">
        <v>29.5</v>
      </c>
      <c r="AD19" s="107"/>
      <c r="AE19" s="135" t="n">
        <v>0</v>
      </c>
      <c r="AF19" s="248"/>
      <c r="AG19" s="249"/>
      <c r="AH19" s="135" t="n">
        <v>30</v>
      </c>
      <c r="AI19" s="107" t="n">
        <f aca="false">AI18-AH19</f>
        <v>2447</v>
      </c>
      <c r="AJ19" s="219"/>
      <c r="AK19" s="134" t="n">
        <f aca="false">N19+O19+P19+Q19+R19+S19+T19+U19+X19+AE19+AH19</f>
        <v>61.9</v>
      </c>
      <c r="AL19" s="135" t="n">
        <f aca="false">IF(L19&lt;0,L19*-1,0)</f>
        <v>0</v>
      </c>
      <c r="AM19" s="135" t="n">
        <f aca="false">AK19+AL19</f>
        <v>61.9</v>
      </c>
      <c r="AN19" s="281" t="n">
        <f aca="false">V19</f>
        <v>28</v>
      </c>
      <c r="AO19" s="215" t="n">
        <v>0</v>
      </c>
      <c r="AP19" s="221"/>
      <c r="AQ19" s="107"/>
      <c r="AR19" s="107"/>
      <c r="AS19" s="298"/>
      <c r="AV19" s="222" t="n">
        <v>0.03</v>
      </c>
      <c r="AW19" s="215" t="n">
        <v>35</v>
      </c>
      <c r="AX19" s="215" t="n">
        <v>23</v>
      </c>
      <c r="AY19" s="299"/>
      <c r="AZ19" s="250" t="n">
        <f aca="false">SUM(N19,P19:U19)</f>
        <v>3.9</v>
      </c>
    </row>
    <row r="20" customFormat="false" ht="12.95" hidden="false" customHeight="true" outlineLevel="0" collapsed="false">
      <c r="A20" s="183" t="n">
        <f aca="false">A19+1</f>
        <v>6</v>
      </c>
      <c r="B20" s="106" t="n">
        <v>6901.17</v>
      </c>
      <c r="C20" s="107" t="n">
        <v>287916</v>
      </c>
      <c r="D20" s="215" t="n">
        <f aca="false">C20-C19</f>
        <v>37</v>
      </c>
      <c r="E20" s="107" t="n">
        <f aca="false">C20-152000</f>
        <v>135916</v>
      </c>
      <c r="F20" s="246" t="n">
        <f aca="false">D20/$D$2</f>
        <v>18.6538946307033</v>
      </c>
      <c r="G20" s="135" t="n">
        <v>33</v>
      </c>
      <c r="H20" s="297" t="n">
        <v>1.6</v>
      </c>
      <c r="I20" s="135" t="n">
        <f aca="false">G20+H20</f>
        <v>34.6</v>
      </c>
      <c r="J20" s="136" t="n">
        <f aca="false">IF(L20&gt;0,L20,0)</f>
        <v>47.8538946307033</v>
      </c>
      <c r="K20" s="135" t="n">
        <f aca="false">I20+J20</f>
        <v>82.4538946307033</v>
      </c>
      <c r="L20" s="135" t="n">
        <f aca="false">F20-(I20-AK20)</f>
        <v>47.8538946307033</v>
      </c>
      <c r="M20" s="248" t="n">
        <v>3.8</v>
      </c>
      <c r="N20" s="135" t="n">
        <v>0</v>
      </c>
      <c r="O20" s="135" t="n">
        <v>0</v>
      </c>
      <c r="P20" s="158" t="n">
        <v>0</v>
      </c>
      <c r="Q20" s="272" t="n">
        <f aca="false">971400/325851/1.9835*1.02</f>
        <v>1.53301713087324</v>
      </c>
      <c r="R20" s="131" t="n">
        <f aca="false">((1.9)*1.04)-T20</f>
        <v>1.50670832</v>
      </c>
      <c r="S20" s="83" t="n">
        <v>0</v>
      </c>
      <c r="T20" s="131" t="n">
        <f aca="false">(0.4257*1.06)*1.04</f>
        <v>0.46929168</v>
      </c>
      <c r="U20" s="96" t="n">
        <f aca="false">M20-(Q20+R20+S20+T20)</f>
        <v>0.290982869126762</v>
      </c>
      <c r="V20" s="135" t="n">
        <v>30</v>
      </c>
      <c r="W20" s="135" t="n">
        <v>0</v>
      </c>
      <c r="X20" s="135" t="n">
        <f aca="false">M20-N20-O20-P20-Q20-R20-S20-T20-U20+V20+W20</f>
        <v>30</v>
      </c>
      <c r="Y20" s="135" t="n">
        <f aca="false">X20-AO20</f>
        <v>30</v>
      </c>
      <c r="Z20" s="135"/>
      <c r="AA20" s="135"/>
      <c r="AB20" s="107"/>
      <c r="AC20" s="136" t="n">
        <v>28.6</v>
      </c>
      <c r="AD20" s="107"/>
      <c r="AE20" s="135" t="n">
        <v>0</v>
      </c>
      <c r="AF20" s="248"/>
      <c r="AG20" s="249"/>
      <c r="AH20" s="135" t="n">
        <v>30</v>
      </c>
      <c r="AI20" s="107" t="n">
        <f aca="false">AI19-AH20</f>
        <v>2417</v>
      </c>
      <c r="AJ20" s="219"/>
      <c r="AK20" s="134" t="n">
        <f aca="false">N20+O20+P20+Q20+R20+S20+T20+U20+X20+AE20+AH20</f>
        <v>63.8</v>
      </c>
      <c r="AL20" s="135" t="n">
        <f aca="false">IF(L20&lt;0,L20*-1,0)</f>
        <v>0</v>
      </c>
      <c r="AM20" s="135" t="n">
        <f aca="false">AK20+AL20</f>
        <v>63.8</v>
      </c>
      <c r="AN20" s="281" t="n">
        <f aca="false">V20</f>
        <v>30</v>
      </c>
      <c r="AO20" s="215" t="n">
        <v>0</v>
      </c>
      <c r="AP20" s="135"/>
      <c r="AQ20" s="107"/>
      <c r="AR20" s="107"/>
      <c r="AS20" s="298"/>
      <c r="AV20" s="222" t="n">
        <v>0.07</v>
      </c>
      <c r="AW20" s="215" t="n">
        <v>33</v>
      </c>
      <c r="AX20" s="215" t="n">
        <v>14</v>
      </c>
      <c r="AY20" s="299"/>
      <c r="AZ20" s="250" t="n">
        <f aca="false">SUM(N20,P20:U20)</f>
        <v>3.8</v>
      </c>
    </row>
    <row r="21" customFormat="false" ht="12.95" hidden="false" customHeight="true" outlineLevel="0" collapsed="false">
      <c r="A21" s="183" t="n">
        <f aca="false">A20+1</f>
        <v>7</v>
      </c>
      <c r="B21" s="106" t="n">
        <v>6901.17</v>
      </c>
      <c r="C21" s="107" t="n">
        <v>287916</v>
      </c>
      <c r="D21" s="215" t="n">
        <f aca="false">C21-C20</f>
        <v>0</v>
      </c>
      <c r="E21" s="107" t="n">
        <f aca="false">C21-152000</f>
        <v>135916</v>
      </c>
      <c r="F21" s="246" t="n">
        <f aca="false">D21/$D$2</f>
        <v>0</v>
      </c>
      <c r="G21" s="135" t="n">
        <v>33</v>
      </c>
      <c r="H21" s="297" t="n">
        <v>1.6</v>
      </c>
      <c r="I21" s="135" t="n">
        <f aca="false">G21+H21</f>
        <v>34.6</v>
      </c>
      <c r="J21" s="136" t="n">
        <f aca="false">IF(L21&gt;0,L21,0)</f>
        <v>31.6</v>
      </c>
      <c r="K21" s="135" t="n">
        <f aca="false">I21+J21</f>
        <v>66.2</v>
      </c>
      <c r="L21" s="135" t="n">
        <f aca="false">F21-(I21-AK21)</f>
        <v>31.6</v>
      </c>
      <c r="M21" s="248" t="n">
        <v>3.2</v>
      </c>
      <c r="N21" s="135" t="n">
        <v>0</v>
      </c>
      <c r="O21" s="135" t="n">
        <v>0</v>
      </c>
      <c r="P21" s="158" t="n">
        <v>0</v>
      </c>
      <c r="Q21" s="272" t="n">
        <f aca="false">985500/325851/1.9835*1.02</f>
        <v>1.55526907810951</v>
      </c>
      <c r="R21" s="131" t="n">
        <f aca="false">((1.9)*1.04)-T21</f>
        <v>1.50670832</v>
      </c>
      <c r="S21" s="83" t="n">
        <v>0</v>
      </c>
      <c r="T21" s="131" t="n">
        <f aca="false">(0.4257*1.06)*1.04</f>
        <v>0.46929168</v>
      </c>
      <c r="U21" s="96" t="n">
        <f aca="false">M21-(Q21+R21+S21+T21)</f>
        <v>-0.331269078109508</v>
      </c>
      <c r="V21" s="135" t="n">
        <v>33</v>
      </c>
      <c r="W21" s="135" t="n">
        <v>0</v>
      </c>
      <c r="X21" s="135" t="n">
        <f aca="false">M21-N21-O21-P21-Q21-R21-S21-T21-U21+V21+W21</f>
        <v>33</v>
      </c>
      <c r="Y21" s="135" t="n">
        <f aca="false">X21-AO21</f>
        <v>33</v>
      </c>
      <c r="Z21" s="135"/>
      <c r="AA21" s="135"/>
      <c r="AB21" s="107"/>
      <c r="AC21" s="136" t="n">
        <v>21</v>
      </c>
      <c r="AD21" s="107"/>
      <c r="AE21" s="135" t="n">
        <v>0</v>
      </c>
      <c r="AF21" s="248"/>
      <c r="AG21" s="249"/>
      <c r="AH21" s="135" t="n">
        <v>30</v>
      </c>
      <c r="AI21" s="107" t="n">
        <f aca="false">AI20-AH21</f>
        <v>2387</v>
      </c>
      <c r="AJ21" s="219"/>
      <c r="AK21" s="134" t="n">
        <f aca="false">N21+O21+P21+Q21+R21+S21+T21+U21+X21+AE21+AH21</f>
        <v>66.2</v>
      </c>
      <c r="AL21" s="135" t="n">
        <f aca="false">IF(L21&lt;0,L21*-1,0)</f>
        <v>0</v>
      </c>
      <c r="AM21" s="135" t="n">
        <f aca="false">AK21+AL21</f>
        <v>66.2</v>
      </c>
      <c r="AN21" s="281" t="n">
        <f aca="false">V21</f>
        <v>33</v>
      </c>
      <c r="AO21" s="215" t="n">
        <v>0</v>
      </c>
      <c r="AP21" s="135"/>
      <c r="AQ21" s="107"/>
      <c r="AR21" s="107"/>
      <c r="AS21" s="298"/>
      <c r="AV21" s="222" t="n">
        <v>0.07</v>
      </c>
      <c r="AW21" s="215" t="n">
        <v>44</v>
      </c>
      <c r="AX21" s="215" t="n">
        <v>12</v>
      </c>
      <c r="AY21" s="299"/>
      <c r="AZ21" s="250" t="n">
        <f aca="false">SUM(N21,P21:U21)</f>
        <v>3.2</v>
      </c>
    </row>
    <row r="22" customFormat="false" ht="12.95" hidden="false" customHeight="true" outlineLevel="0" collapsed="false">
      <c r="A22" s="183" t="n">
        <f aca="false">A21+1</f>
        <v>8</v>
      </c>
      <c r="B22" s="106" t="n">
        <v>6901.15</v>
      </c>
      <c r="C22" s="107" t="n">
        <v>287842</v>
      </c>
      <c r="D22" s="215" t="n">
        <f aca="false">C22-C21</f>
        <v>-74</v>
      </c>
      <c r="E22" s="107" t="n">
        <f aca="false">C22-152000</f>
        <v>135842</v>
      </c>
      <c r="F22" s="246" t="n">
        <f aca="false">D22/$D$2</f>
        <v>-37.3077892614066</v>
      </c>
      <c r="G22" s="135" t="n">
        <v>34</v>
      </c>
      <c r="H22" s="297" t="n">
        <v>1.7</v>
      </c>
      <c r="I22" s="135" t="n">
        <f aca="false">G22+H22</f>
        <v>35.7</v>
      </c>
      <c r="J22" s="136" t="n">
        <f aca="false">IF(L22&gt;0,L22,0)</f>
        <v>0</v>
      </c>
      <c r="K22" s="135" t="n">
        <f aca="false">I22+J22</f>
        <v>35.7</v>
      </c>
      <c r="L22" s="135" t="n">
        <f aca="false">F22-(I22-AK22)</f>
        <v>-6.00778926140661</v>
      </c>
      <c r="M22" s="248" t="n">
        <v>4</v>
      </c>
      <c r="N22" s="135" t="n">
        <v>0</v>
      </c>
      <c r="O22" s="135" t="n">
        <v>0</v>
      </c>
      <c r="P22" s="158" t="n">
        <v>0</v>
      </c>
      <c r="Q22" s="272" t="n">
        <f aca="false">950400/325851/1.9835*1.02</f>
        <v>1.49987593286177</v>
      </c>
      <c r="R22" s="131" t="n">
        <f aca="false">((1.9)*1.04)-T22</f>
        <v>1.50670832</v>
      </c>
      <c r="S22" s="83" t="n">
        <v>0</v>
      </c>
      <c r="T22" s="131" t="n">
        <f aca="false">(0.4257*1.06)*1.04</f>
        <v>0.46929168</v>
      </c>
      <c r="U22" s="96" t="n">
        <f aca="false">M22-(Q22+R22+S22+T22)</f>
        <v>0.524124067138228</v>
      </c>
      <c r="V22" s="135" t="n">
        <v>33</v>
      </c>
      <c r="W22" s="135" t="n">
        <v>0</v>
      </c>
      <c r="X22" s="135" t="n">
        <f aca="false">M22-N22-O22-P22-Q22-R22-S22-T22-U22+V22+W22</f>
        <v>33</v>
      </c>
      <c r="Y22" s="135" t="n">
        <f aca="false">X22-AO22</f>
        <v>33</v>
      </c>
      <c r="Z22" s="135"/>
      <c r="AA22" s="135"/>
      <c r="AB22" s="107"/>
      <c r="AC22" s="136" t="n">
        <v>0</v>
      </c>
      <c r="AD22" s="107"/>
      <c r="AE22" s="135" t="n">
        <v>0</v>
      </c>
      <c r="AF22" s="248"/>
      <c r="AG22" s="249"/>
      <c r="AH22" s="135" t="n">
        <v>30</v>
      </c>
      <c r="AI22" s="107" t="n">
        <f aca="false">AI21-AH22</f>
        <v>2357</v>
      </c>
      <c r="AJ22" s="219"/>
      <c r="AK22" s="134" t="n">
        <f aca="false">N22+O22+P22+Q22+R22+S22+T22+U22+X22+AE22+AH22</f>
        <v>67</v>
      </c>
      <c r="AL22" s="135" t="n">
        <f aca="false">IF(L22&lt;0,L22*-1,0)</f>
        <v>6.00778926140661</v>
      </c>
      <c r="AM22" s="135" t="n">
        <f aca="false">AK22+AL22</f>
        <v>73.0077892614066</v>
      </c>
      <c r="AN22" s="281" t="n">
        <f aca="false">V22</f>
        <v>33</v>
      </c>
      <c r="AO22" s="215" t="n">
        <v>0</v>
      </c>
      <c r="AP22" s="135"/>
      <c r="AQ22" s="107"/>
      <c r="AR22" s="107"/>
      <c r="AS22" s="298"/>
      <c r="AV22" s="222" t="n">
        <v>0.01</v>
      </c>
      <c r="AW22" s="215" t="n">
        <v>49</v>
      </c>
      <c r="AX22" s="215" t="n">
        <v>20</v>
      </c>
      <c r="AY22" s="299"/>
      <c r="AZ22" s="250" t="n">
        <f aca="false">SUM(N22,P22:U22)</f>
        <v>4</v>
      </c>
    </row>
    <row r="23" customFormat="false" ht="12.95" hidden="false" customHeight="true" outlineLevel="0" collapsed="false">
      <c r="A23" s="183" t="n">
        <f aca="false">A22+1</f>
        <v>9</v>
      </c>
      <c r="B23" s="106" t="n">
        <v>6901.14</v>
      </c>
      <c r="C23" s="107" t="n">
        <v>287804</v>
      </c>
      <c r="D23" s="215" t="n">
        <f aca="false">C23-C22</f>
        <v>-38</v>
      </c>
      <c r="E23" s="107" t="n">
        <f aca="false">C23-152000</f>
        <v>135804</v>
      </c>
      <c r="F23" s="246" t="n">
        <f aca="false">D23/$D$2</f>
        <v>-19.1580539450466</v>
      </c>
      <c r="G23" s="135" t="n">
        <v>33</v>
      </c>
      <c r="H23" s="297" t="n">
        <v>1.6</v>
      </c>
      <c r="I23" s="135" t="n">
        <f aca="false">G23+H23</f>
        <v>34.6</v>
      </c>
      <c r="J23" s="136" t="n">
        <f aca="false">IF(L23&gt;0,L23,0)</f>
        <v>14.2419460549534</v>
      </c>
      <c r="K23" s="135" t="n">
        <f aca="false">I23+J23</f>
        <v>48.8419460549534</v>
      </c>
      <c r="L23" s="135" t="n">
        <f aca="false">F23-(I23-AK23)</f>
        <v>14.2419460549534</v>
      </c>
      <c r="M23" s="248" t="n">
        <v>4</v>
      </c>
      <c r="N23" s="135" t="n">
        <v>0</v>
      </c>
      <c r="O23" s="135" t="n">
        <v>0</v>
      </c>
      <c r="P23" s="158" t="n">
        <v>0</v>
      </c>
      <c r="Q23" s="272" t="n">
        <f aca="false">872100/325851/1.9835*1.02</f>
        <v>1.37630660884759</v>
      </c>
      <c r="R23" s="131" t="n">
        <f aca="false">((1.9)*1.04)-T23</f>
        <v>1.50670832</v>
      </c>
      <c r="S23" s="83" t="n">
        <v>0</v>
      </c>
      <c r="T23" s="131" t="n">
        <f aca="false">(0.4257*1.06)*1.04</f>
        <v>0.46929168</v>
      </c>
      <c r="U23" s="96" t="n">
        <f aca="false">M23-(Q23+R23+S23+T23)</f>
        <v>0.647693391152408</v>
      </c>
      <c r="V23" s="135" t="n">
        <v>34</v>
      </c>
      <c r="W23" s="135" t="n">
        <v>0</v>
      </c>
      <c r="X23" s="135" t="n">
        <f aca="false">M23-N23-O23-P23-Q23-R23-S23-T23-U23+V23+W23</f>
        <v>34</v>
      </c>
      <c r="Y23" s="135" t="n">
        <f aca="false">X23-AO23</f>
        <v>34</v>
      </c>
      <c r="Z23" s="135"/>
      <c r="AA23" s="135"/>
      <c r="AB23" s="107"/>
      <c r="AC23" s="136" t="n">
        <v>0</v>
      </c>
      <c r="AD23" s="107"/>
      <c r="AE23" s="135" t="n">
        <v>0</v>
      </c>
      <c r="AF23" s="248"/>
      <c r="AG23" s="249"/>
      <c r="AH23" s="135" t="n">
        <v>30</v>
      </c>
      <c r="AI23" s="107" t="n">
        <f aca="false">AI22-AH23</f>
        <v>2327</v>
      </c>
      <c r="AJ23" s="219"/>
      <c r="AK23" s="134" t="n">
        <f aca="false">N23+O23+P23+Q23+R23+S23+T23+U23+X23+AE23+AH23</f>
        <v>68</v>
      </c>
      <c r="AL23" s="135" t="n">
        <f aca="false">IF(L23&lt;0,L23*-1,0)</f>
        <v>0</v>
      </c>
      <c r="AM23" s="135" t="n">
        <f aca="false">AK23+AL23</f>
        <v>68</v>
      </c>
      <c r="AN23" s="281" t="n">
        <f aca="false">V23</f>
        <v>34</v>
      </c>
      <c r="AO23" s="215" t="n">
        <v>0</v>
      </c>
      <c r="AP23" s="135"/>
      <c r="AQ23" s="107"/>
      <c r="AR23" s="107"/>
      <c r="AS23" s="298"/>
      <c r="AV23" s="222" t="n">
        <v>0.01</v>
      </c>
      <c r="AW23" s="221" t="n">
        <v>41</v>
      </c>
      <c r="AX23" s="215" t="n">
        <v>25</v>
      </c>
      <c r="AY23" s="299"/>
      <c r="AZ23" s="250" t="n">
        <f aca="false">SUM(N23,P23:U23)</f>
        <v>4</v>
      </c>
    </row>
    <row r="24" customFormat="false" ht="12.95" hidden="false" customHeight="true" outlineLevel="0" collapsed="false">
      <c r="A24" s="183" t="n">
        <f aca="false">A23+1</f>
        <v>10</v>
      </c>
      <c r="B24" s="106" t="n">
        <v>6901.12</v>
      </c>
      <c r="C24" s="107" t="n">
        <v>287730</v>
      </c>
      <c r="D24" s="215" t="n">
        <f aca="false">C24-C23</f>
        <v>-74</v>
      </c>
      <c r="E24" s="107" t="n">
        <f aca="false">C24-152000</f>
        <v>135730</v>
      </c>
      <c r="F24" s="246" t="n">
        <f aca="false">D24/$D$2</f>
        <v>-37.3077892614066</v>
      </c>
      <c r="G24" s="135" t="n">
        <v>32</v>
      </c>
      <c r="H24" s="297" t="n">
        <v>1.5</v>
      </c>
      <c r="I24" s="135" t="n">
        <f aca="false">G24+H24</f>
        <v>33.5</v>
      </c>
      <c r="J24" s="136" t="n">
        <f aca="false">IF(L24&gt;0,L24,0)</f>
        <v>0</v>
      </c>
      <c r="K24" s="135" t="n">
        <f aca="false">I24+J24</f>
        <v>33.5</v>
      </c>
      <c r="L24" s="135" t="n">
        <f aca="false">F24-(I24-AK24)</f>
        <v>-1.70778926140661</v>
      </c>
      <c r="M24" s="248" t="n">
        <v>3.1</v>
      </c>
      <c r="N24" s="135" t="n">
        <v>0</v>
      </c>
      <c r="O24" s="135" t="n">
        <v>0</v>
      </c>
      <c r="P24" s="158" t="n">
        <v>0</v>
      </c>
      <c r="Q24" s="272" t="n">
        <f aca="false">1007200/325851/1.9835*1.02</f>
        <v>1.58951498272136</v>
      </c>
      <c r="R24" s="131" t="n">
        <f aca="false">((1.9)*1.04)-T24</f>
        <v>1.4628328</v>
      </c>
      <c r="S24" s="83" t="n">
        <v>0</v>
      </c>
      <c r="T24" s="131" t="n">
        <f aca="false">(0.4655*1.06)*1.04</f>
        <v>0.5131672</v>
      </c>
      <c r="U24" s="96" t="n">
        <f aca="false">M24-(Q24+R24+S24+T24)</f>
        <v>-0.465514982721356</v>
      </c>
      <c r="V24" s="135" t="n">
        <v>36</v>
      </c>
      <c r="W24" s="135" t="n">
        <v>0</v>
      </c>
      <c r="X24" s="135" t="n">
        <f aca="false">M24-N24-O24-P24-Q24-R24-S24-T24-U24+V24+W24</f>
        <v>36</v>
      </c>
      <c r="Y24" s="135" t="n">
        <f aca="false">X24-AO24</f>
        <v>36</v>
      </c>
      <c r="Z24" s="135"/>
      <c r="AA24" s="135"/>
      <c r="AB24" s="107"/>
      <c r="AC24" s="136" t="n">
        <v>0</v>
      </c>
      <c r="AD24" s="107"/>
      <c r="AE24" s="135" t="n">
        <v>0</v>
      </c>
      <c r="AF24" s="248"/>
      <c r="AG24" s="249"/>
      <c r="AH24" s="135" t="n">
        <v>30</v>
      </c>
      <c r="AI24" s="107" t="n">
        <f aca="false">AI23-AH24</f>
        <v>2297</v>
      </c>
      <c r="AJ24" s="219"/>
      <c r="AK24" s="134" t="n">
        <f aca="false">N24+O24+P24+Q24+R24+S24+T24+U24+X24+AE24+AH24</f>
        <v>69.1</v>
      </c>
      <c r="AL24" s="135" t="n">
        <f aca="false">IF(L24&lt;0,L24*-1,0)</f>
        <v>1.70778926140661</v>
      </c>
      <c r="AM24" s="135" t="n">
        <f aca="false">AK24+AL24</f>
        <v>70.8077892614066</v>
      </c>
      <c r="AN24" s="281" t="n">
        <f aca="false">V24</f>
        <v>36</v>
      </c>
      <c r="AO24" s="215" t="n">
        <v>0</v>
      </c>
      <c r="AP24" s="135"/>
      <c r="AQ24" s="107"/>
      <c r="AR24" s="107"/>
      <c r="AS24" s="298"/>
      <c r="AV24" s="222" t="n">
        <v>0</v>
      </c>
      <c r="AW24" s="215" t="n">
        <v>44</v>
      </c>
      <c r="AX24" s="215" t="n">
        <v>19</v>
      </c>
      <c r="AY24" s="299"/>
      <c r="AZ24" s="250" t="n">
        <f aca="false">SUM(N24,P24:U24)</f>
        <v>3.1</v>
      </c>
    </row>
    <row r="25" customFormat="false" ht="12.95" hidden="false" customHeight="true" outlineLevel="0" collapsed="false">
      <c r="A25" s="183" t="n">
        <f aca="false">A24+1</f>
        <v>11</v>
      </c>
      <c r="B25" s="106" t="n">
        <v>6901.11</v>
      </c>
      <c r="C25" s="107" t="n">
        <v>287692</v>
      </c>
      <c r="D25" s="215" t="n">
        <f aca="false">C25-C24</f>
        <v>-38</v>
      </c>
      <c r="E25" s="107" t="n">
        <f aca="false">C25-152000</f>
        <v>135692</v>
      </c>
      <c r="F25" s="246" t="n">
        <f aca="false">D25/$D$2</f>
        <v>-19.1580539450466</v>
      </c>
      <c r="G25" s="135" t="n">
        <v>32</v>
      </c>
      <c r="H25" s="297" t="n">
        <v>1.5</v>
      </c>
      <c r="I25" s="135" t="n">
        <f aca="false">G25+H25</f>
        <v>33.5</v>
      </c>
      <c r="J25" s="136" t="n">
        <f aca="false">IF(L25&gt;0,L25,0)</f>
        <v>16.5419460549534</v>
      </c>
      <c r="K25" s="135" t="n">
        <f aca="false">I25+J25</f>
        <v>50.0419460549534</v>
      </c>
      <c r="L25" s="135" t="n">
        <f aca="false">F25-(I25-AK25)</f>
        <v>16.5419460549534</v>
      </c>
      <c r="M25" s="248" t="n">
        <v>3.2</v>
      </c>
      <c r="N25" s="135" t="n">
        <v>0</v>
      </c>
      <c r="O25" s="135" t="n">
        <v>0</v>
      </c>
      <c r="P25" s="158" t="n">
        <v>0</v>
      </c>
      <c r="Q25" s="272" t="n">
        <f aca="false">979500/325851/1.9835*1.02</f>
        <v>1.54580016439195</v>
      </c>
      <c r="R25" s="131" t="n">
        <f aca="false">((1.9)*1.04)-T25</f>
        <v>1.4628328</v>
      </c>
      <c r="S25" s="83" t="n">
        <v>0</v>
      </c>
      <c r="T25" s="131" t="n">
        <f aca="false">(0.4655*1.06)*1.04</f>
        <v>0.5131672</v>
      </c>
      <c r="U25" s="96" t="n">
        <f aca="false">M25-(Q25+R25+S25+T25)</f>
        <v>-0.321800164391946</v>
      </c>
      <c r="V25" s="135" t="n">
        <v>36</v>
      </c>
      <c r="W25" s="135" t="n">
        <v>0</v>
      </c>
      <c r="X25" s="135" t="n">
        <f aca="false">M25-N25-O25-P25-Q25-R25-S25-T25-U25+V25+W25</f>
        <v>36</v>
      </c>
      <c r="Y25" s="135" t="n">
        <f aca="false">X25-AO25</f>
        <v>36</v>
      </c>
      <c r="Z25" s="135"/>
      <c r="AA25" s="135"/>
      <c r="AB25" s="107"/>
      <c r="AC25" s="136" t="n">
        <v>0</v>
      </c>
      <c r="AD25" s="107"/>
      <c r="AE25" s="135" t="n">
        <v>0</v>
      </c>
      <c r="AF25" s="248"/>
      <c r="AG25" s="249"/>
      <c r="AH25" s="135" t="n">
        <v>30</v>
      </c>
      <c r="AI25" s="107" t="n">
        <f aca="false">AI24-AH25</f>
        <v>2267</v>
      </c>
      <c r="AJ25" s="219"/>
      <c r="AK25" s="134" t="n">
        <f aca="false">N25+O25+P25+Q25+R25+S25+T25+U25+X25+AE25+AH25</f>
        <v>69.2</v>
      </c>
      <c r="AL25" s="135" t="n">
        <f aca="false">IF(L25&lt;0,L25*-1,0)</f>
        <v>0</v>
      </c>
      <c r="AM25" s="135" t="n">
        <f aca="false">AK25+AL25</f>
        <v>69.2</v>
      </c>
      <c r="AN25" s="281" t="n">
        <f aca="false">V25</f>
        <v>36</v>
      </c>
      <c r="AO25" s="215" t="n">
        <v>0</v>
      </c>
      <c r="AP25" s="135"/>
      <c r="AQ25" s="107"/>
      <c r="AR25" s="107"/>
      <c r="AS25" s="298"/>
      <c r="AV25" s="222" t="n">
        <v>0</v>
      </c>
      <c r="AW25" s="215" t="n">
        <v>48</v>
      </c>
      <c r="AX25" s="215" t="n">
        <v>23</v>
      </c>
      <c r="AY25" s="299"/>
      <c r="AZ25" s="250" t="n">
        <f aca="false">SUM(N25,P25:U25)</f>
        <v>3.2</v>
      </c>
    </row>
    <row r="26" customFormat="false" ht="12.95" hidden="false" customHeight="true" outlineLevel="0" collapsed="false">
      <c r="A26" s="183" t="n">
        <f aca="false">A25+1</f>
        <v>12</v>
      </c>
      <c r="B26" s="106" t="n">
        <v>6901.12</v>
      </c>
      <c r="C26" s="107" t="n">
        <v>287730</v>
      </c>
      <c r="D26" s="215" t="n">
        <f aca="false">C26-C25</f>
        <v>38</v>
      </c>
      <c r="E26" s="107" t="n">
        <f aca="false">C26-152000</f>
        <v>135730</v>
      </c>
      <c r="F26" s="246" t="n">
        <f aca="false">D26/$D$2</f>
        <v>19.1580539450466</v>
      </c>
      <c r="G26" s="135" t="n">
        <v>33</v>
      </c>
      <c r="H26" s="297" t="n">
        <v>1.5</v>
      </c>
      <c r="I26" s="135" t="n">
        <f aca="false">G26+H26</f>
        <v>34.5</v>
      </c>
      <c r="J26" s="136" t="n">
        <f aca="false">IF(L26&gt;0,L26,0)</f>
        <v>54.8580539450466</v>
      </c>
      <c r="K26" s="135" t="n">
        <f aca="false">I26+J26</f>
        <v>89.3580539450466</v>
      </c>
      <c r="L26" s="135" t="n">
        <f aca="false">F26-(I26-AK26)</f>
        <v>54.8580539450466</v>
      </c>
      <c r="M26" s="248" t="n">
        <v>4.2</v>
      </c>
      <c r="N26" s="135" t="n">
        <v>0</v>
      </c>
      <c r="O26" s="135" t="n">
        <v>0</v>
      </c>
      <c r="P26" s="158" t="n">
        <v>0</v>
      </c>
      <c r="Q26" s="272" t="n">
        <f aca="false">1136500/325851/1.9835*1.02</f>
        <v>1.79357007333481</v>
      </c>
      <c r="R26" s="131" t="n">
        <f aca="false">((1.9)*1.04)-T26</f>
        <v>1.4628328</v>
      </c>
      <c r="S26" s="83" t="n">
        <v>0</v>
      </c>
      <c r="T26" s="131" t="n">
        <f aca="false">(0.4655*1.06)*1.04</f>
        <v>0.5131672</v>
      </c>
      <c r="U26" s="96" t="n">
        <f aca="false">M26-(Q26+R26+S26+T26)</f>
        <v>0.43042992666519</v>
      </c>
      <c r="V26" s="135" t="n">
        <v>36</v>
      </c>
      <c r="W26" s="135" t="n">
        <v>0</v>
      </c>
      <c r="X26" s="135" t="n">
        <f aca="false">M26-N26-O26-P26-Q26-R26-S26-T26-U26+V26+W26</f>
        <v>36</v>
      </c>
      <c r="Y26" s="135" t="n">
        <f aca="false">X26-AO26</f>
        <v>36</v>
      </c>
      <c r="Z26" s="135"/>
      <c r="AA26" s="135"/>
      <c r="AB26" s="107"/>
      <c r="AC26" s="136" t="n">
        <v>0.7</v>
      </c>
      <c r="AD26" s="107"/>
      <c r="AE26" s="135" t="n">
        <v>0</v>
      </c>
      <c r="AF26" s="248"/>
      <c r="AG26" s="249"/>
      <c r="AH26" s="135" t="n">
        <v>30</v>
      </c>
      <c r="AI26" s="107" t="n">
        <f aca="false">AI25-AH26</f>
        <v>2237</v>
      </c>
      <c r="AJ26" s="219"/>
      <c r="AK26" s="134" t="n">
        <f aca="false">N26+O26+P26+Q26+R26+S26+T26+U26+X26+AE26+AH26</f>
        <v>70.2</v>
      </c>
      <c r="AL26" s="135" t="n">
        <f aca="false">IF(L26&lt;0,L26*-1,0)</f>
        <v>0</v>
      </c>
      <c r="AM26" s="135" t="n">
        <f aca="false">AK26+AL26</f>
        <v>70.2</v>
      </c>
      <c r="AN26" s="281" t="n">
        <f aca="false">V26</f>
        <v>36</v>
      </c>
      <c r="AO26" s="215" t="n">
        <v>0</v>
      </c>
      <c r="AP26" s="135"/>
      <c r="AQ26" s="107"/>
      <c r="AR26" s="107"/>
      <c r="AS26" s="298"/>
      <c r="AV26" s="222" t="n">
        <v>0.05</v>
      </c>
      <c r="AW26" s="215" t="n">
        <v>40</v>
      </c>
      <c r="AX26" s="215" t="n">
        <v>27</v>
      </c>
      <c r="AY26" s="299"/>
      <c r="AZ26" s="250" t="n">
        <f aca="false">SUM(N26,P26:U26)</f>
        <v>4.2</v>
      </c>
    </row>
    <row r="27" customFormat="false" ht="12.95" hidden="false" customHeight="true" outlineLevel="0" collapsed="false">
      <c r="A27" s="183" t="n">
        <f aca="false">A26+1</f>
        <v>13</v>
      </c>
      <c r="B27" s="106" t="n">
        <v>6901.13</v>
      </c>
      <c r="C27" s="107" t="n">
        <v>287767</v>
      </c>
      <c r="D27" s="215" t="n">
        <f aca="false">C27-C26</f>
        <v>37</v>
      </c>
      <c r="E27" s="107" t="n">
        <f aca="false">C27-152000</f>
        <v>135767</v>
      </c>
      <c r="F27" s="246" t="n">
        <f aca="false">D27/$D$2</f>
        <v>18.6538946307033</v>
      </c>
      <c r="G27" s="135" t="n">
        <v>33</v>
      </c>
      <c r="H27" s="297" t="n">
        <v>1.5</v>
      </c>
      <c r="I27" s="135" t="n">
        <f aca="false">G27+H27</f>
        <v>34.5</v>
      </c>
      <c r="J27" s="136" t="n">
        <f aca="false">IF(L27&gt;0,L27,0)</f>
        <v>52.5538946307033</v>
      </c>
      <c r="K27" s="135" t="n">
        <f aca="false">I27+J27</f>
        <v>87.0538946307033</v>
      </c>
      <c r="L27" s="135" t="n">
        <f aca="false">F27-(I27-AK27)</f>
        <v>52.5538946307033</v>
      </c>
      <c r="M27" s="248" t="n">
        <v>3.4</v>
      </c>
      <c r="N27" s="135" t="n">
        <v>0</v>
      </c>
      <c r="O27" s="135" t="n">
        <v>0</v>
      </c>
      <c r="P27" s="158" t="n">
        <v>0</v>
      </c>
      <c r="Q27" s="272" t="n">
        <f aca="false">996600/325851/1.9835*1.02</f>
        <v>1.572786568487</v>
      </c>
      <c r="R27" s="131" t="n">
        <f aca="false">((1.9)*1.04)-T27</f>
        <v>1.4628328</v>
      </c>
      <c r="S27" s="83" t="n">
        <v>0</v>
      </c>
      <c r="T27" s="131" t="n">
        <f aca="false">(0.4655*1.06)*1.04</f>
        <v>0.5131672</v>
      </c>
      <c r="U27" s="96" t="n">
        <f aca="false">M27-(Q27+R27+S27+T27)</f>
        <v>-0.148786568486997</v>
      </c>
      <c r="V27" s="135" t="n">
        <v>35</v>
      </c>
      <c r="W27" s="135" t="n">
        <v>0</v>
      </c>
      <c r="X27" s="135" t="n">
        <f aca="false">M27-N27-O27-P27-Q27-R27-S27-T27-U27+V27+W27</f>
        <v>35</v>
      </c>
      <c r="Y27" s="135" t="n">
        <f aca="false">X27-AO27</f>
        <v>35</v>
      </c>
      <c r="Z27" s="135"/>
      <c r="AA27" s="135"/>
      <c r="AB27" s="107"/>
      <c r="AC27" s="136" t="n">
        <v>16.3</v>
      </c>
      <c r="AD27" s="107"/>
      <c r="AE27" s="135" t="n">
        <v>0</v>
      </c>
      <c r="AF27" s="248"/>
      <c r="AG27" s="249"/>
      <c r="AH27" s="135" t="n">
        <v>30</v>
      </c>
      <c r="AI27" s="107" t="n">
        <f aca="false">AI26-AH27</f>
        <v>2207</v>
      </c>
      <c r="AJ27" s="219"/>
      <c r="AK27" s="134" t="n">
        <f aca="false">N27+O27+P27+Q27+R27+S27+T27+U27+X27+AE27+AH27</f>
        <v>68.4</v>
      </c>
      <c r="AL27" s="135" t="n">
        <f aca="false">IF(L27&lt;0,L27*-1,0)</f>
        <v>0</v>
      </c>
      <c r="AM27" s="135" t="n">
        <f aca="false">AK27+AL27</f>
        <v>68.4</v>
      </c>
      <c r="AN27" s="281" t="n">
        <f aca="false">V27</f>
        <v>35</v>
      </c>
      <c r="AO27" s="215" t="n">
        <v>0</v>
      </c>
      <c r="AP27" s="135"/>
      <c r="AQ27" s="107"/>
      <c r="AR27" s="107"/>
      <c r="AS27" s="298"/>
      <c r="AV27" s="222" t="n">
        <v>0.1</v>
      </c>
      <c r="AW27" s="215" t="n">
        <v>40</v>
      </c>
      <c r="AX27" s="215" t="n">
        <v>26</v>
      </c>
      <c r="AY27" s="299"/>
      <c r="AZ27" s="250" t="n">
        <f aca="false">SUM(N27,P27:U27)</f>
        <v>3.4</v>
      </c>
    </row>
    <row r="28" customFormat="false" ht="12.95" hidden="false" customHeight="true" outlineLevel="0" collapsed="false">
      <c r="A28" s="183" t="n">
        <f aca="false">A27+1</f>
        <v>14</v>
      </c>
      <c r="B28" s="106" t="n">
        <v>6901.14</v>
      </c>
      <c r="C28" s="107" t="n">
        <v>287804</v>
      </c>
      <c r="D28" s="215" t="n">
        <f aca="false">C28-C27</f>
        <v>37</v>
      </c>
      <c r="E28" s="107" t="n">
        <f aca="false">C28-152000</f>
        <v>135804</v>
      </c>
      <c r="F28" s="246" t="n">
        <f aca="false">D28/$D$2</f>
        <v>18.6538946307033</v>
      </c>
      <c r="G28" s="135" t="n">
        <v>33</v>
      </c>
      <c r="H28" s="297" t="n">
        <v>1.5</v>
      </c>
      <c r="I28" s="135" t="n">
        <f aca="false">G28+H28</f>
        <v>34.5</v>
      </c>
      <c r="J28" s="136" t="n">
        <f aca="false">IF(L28&gt;0,L28,0)</f>
        <v>30.7538946307033</v>
      </c>
      <c r="K28" s="135" t="n">
        <f aca="false">I28+J28</f>
        <v>65.2538946307033</v>
      </c>
      <c r="L28" s="135" t="n">
        <f aca="false">F28-(I28-AK28)</f>
        <v>30.7538946307033</v>
      </c>
      <c r="M28" s="248" t="n">
        <v>3.6</v>
      </c>
      <c r="N28" s="135" t="n">
        <v>0</v>
      </c>
      <c r="O28" s="135" t="n">
        <v>0</v>
      </c>
      <c r="P28" s="158" t="n">
        <v>0</v>
      </c>
      <c r="Q28" s="272" t="n">
        <f aca="false">881500/325851/1.9835*1.02</f>
        <v>1.39114124033844</v>
      </c>
      <c r="R28" s="131" t="n">
        <f aca="false">((1.9)*1.04)-T28</f>
        <v>1.4628328</v>
      </c>
      <c r="S28" s="83" t="n">
        <v>0</v>
      </c>
      <c r="T28" s="131" t="n">
        <f aca="false">(0.4655*1.06)*1.04</f>
        <v>0.5131672</v>
      </c>
      <c r="U28" s="96" t="n">
        <f aca="false">M28-(Q28+R28+S28+T28)</f>
        <v>0.232858759661562</v>
      </c>
      <c r="V28" s="135" t="n">
        <v>13</v>
      </c>
      <c r="W28" s="135" t="n">
        <v>0</v>
      </c>
      <c r="X28" s="135" t="n">
        <f aca="false">M28-N28-O28-P28-Q28-R28-S28-T28-U28+V28+W28</f>
        <v>13</v>
      </c>
      <c r="Y28" s="135" t="n">
        <f aca="false">X28-AO28</f>
        <v>13</v>
      </c>
      <c r="Z28" s="135"/>
      <c r="AA28" s="135"/>
      <c r="AB28" s="107"/>
      <c r="AC28" s="136" t="n">
        <v>40.3</v>
      </c>
      <c r="AD28" s="107"/>
      <c r="AE28" s="135" t="n">
        <v>0</v>
      </c>
      <c r="AF28" s="248"/>
      <c r="AG28" s="249"/>
      <c r="AH28" s="135" t="n">
        <v>30</v>
      </c>
      <c r="AI28" s="107" t="n">
        <f aca="false">AI27-AH28</f>
        <v>2177</v>
      </c>
      <c r="AJ28" s="219"/>
      <c r="AK28" s="134" t="n">
        <f aca="false">N28+O28+P28+Q28+R28+S28+T28+U28+X28+AE28+AH28</f>
        <v>46.6</v>
      </c>
      <c r="AL28" s="135" t="n">
        <f aca="false">IF(L28&lt;0,L28*-1,0)</f>
        <v>0</v>
      </c>
      <c r="AM28" s="135" t="n">
        <f aca="false">AK28+AL28</f>
        <v>46.6</v>
      </c>
      <c r="AN28" s="281" t="n">
        <f aca="false">V28</f>
        <v>13</v>
      </c>
      <c r="AO28" s="215" t="n">
        <v>0</v>
      </c>
      <c r="AP28" s="135"/>
      <c r="AQ28" s="107"/>
      <c r="AR28" s="107"/>
      <c r="AS28" s="298"/>
      <c r="AV28" s="222" t="n">
        <v>0.13</v>
      </c>
      <c r="AW28" s="221" t="n">
        <v>43</v>
      </c>
      <c r="AX28" s="215" t="n">
        <v>18</v>
      </c>
      <c r="AY28" s="299"/>
      <c r="AZ28" s="250" t="n">
        <f aca="false">SUM(N28,P28:U28)</f>
        <v>3.6</v>
      </c>
    </row>
    <row r="29" customFormat="false" ht="12.95" hidden="false" customHeight="true" outlineLevel="0" collapsed="false">
      <c r="A29" s="183" t="n">
        <f aca="false">A28+1</f>
        <v>15</v>
      </c>
      <c r="B29" s="106" t="n">
        <v>6901.14</v>
      </c>
      <c r="C29" s="107" t="n">
        <v>287804</v>
      </c>
      <c r="D29" s="215" t="n">
        <f aca="false">C29-C28</f>
        <v>0</v>
      </c>
      <c r="E29" s="107" t="n">
        <f aca="false">C29-152000</f>
        <v>135804</v>
      </c>
      <c r="F29" s="246" t="n">
        <f aca="false">D29/$D$2</f>
        <v>0</v>
      </c>
      <c r="G29" s="135" t="n">
        <v>33</v>
      </c>
      <c r="H29" s="297" t="n">
        <v>1.6</v>
      </c>
      <c r="I29" s="135" t="n">
        <f aca="false">G29+H29</f>
        <v>34.6</v>
      </c>
      <c r="J29" s="136" t="n">
        <f aca="false">IF(L29&gt;0,L29,0)</f>
        <v>0</v>
      </c>
      <c r="K29" s="135" t="n">
        <f aca="false">I29+J29</f>
        <v>34.6</v>
      </c>
      <c r="L29" s="135" t="n">
        <f aca="false">F29-(I29-AK29)</f>
        <v>-1</v>
      </c>
      <c r="M29" s="248" t="n">
        <v>3.6</v>
      </c>
      <c r="N29" s="135" t="n">
        <v>0</v>
      </c>
      <c r="O29" s="135" t="n">
        <v>0</v>
      </c>
      <c r="P29" s="158" t="n">
        <v>0</v>
      </c>
      <c r="Q29" s="272" t="n">
        <f aca="false">1050000/325851/1.9835*1.02</f>
        <v>1.6570599005733</v>
      </c>
      <c r="R29" s="131" t="n">
        <f aca="false">((1.9)*1.04)-T29</f>
        <v>1.4628328</v>
      </c>
      <c r="S29" s="83" t="n">
        <v>0</v>
      </c>
      <c r="T29" s="131" t="n">
        <f aca="false">(0.4655*1.06)*1.04</f>
        <v>0.5131672</v>
      </c>
      <c r="U29" s="96" t="n">
        <f aca="false">M29-(Q29+R29+S29+T29)</f>
        <v>-0.0330599005732961</v>
      </c>
      <c r="V29" s="135" t="n">
        <v>0</v>
      </c>
      <c r="W29" s="135" t="n">
        <v>0</v>
      </c>
      <c r="X29" s="135" t="n">
        <f aca="false">M29-N29-O29-P29-Q29-R29-S29-T29-U29+V29+W29</f>
        <v>2.22044604925031E-016</v>
      </c>
      <c r="Y29" s="135" t="n">
        <f aca="false">X29-AO29</f>
        <v>2.22044604925031E-016</v>
      </c>
      <c r="Z29" s="135"/>
      <c r="AA29" s="135"/>
      <c r="AB29" s="107"/>
      <c r="AC29" s="136" t="n">
        <v>30.1</v>
      </c>
      <c r="AD29" s="107"/>
      <c r="AE29" s="135" t="n">
        <v>0</v>
      </c>
      <c r="AF29" s="248"/>
      <c r="AG29" s="249"/>
      <c r="AH29" s="135" t="n">
        <v>30</v>
      </c>
      <c r="AI29" s="107" t="n">
        <f aca="false">AI28-AH29</f>
        <v>2147</v>
      </c>
      <c r="AJ29" s="219"/>
      <c r="AK29" s="134" t="n">
        <f aca="false">N29+O29+P29+Q29+R29+S29+T29+U29+X29+AE29+AH29</f>
        <v>33.6</v>
      </c>
      <c r="AL29" s="135" t="n">
        <f aca="false">IF(L29&lt;0,L29*-1,0)</f>
        <v>1</v>
      </c>
      <c r="AM29" s="135" t="n">
        <f aca="false">AK29+AL29</f>
        <v>34.6</v>
      </c>
      <c r="AN29" s="281" t="n">
        <f aca="false">V29</f>
        <v>0</v>
      </c>
      <c r="AO29" s="215" t="n">
        <v>0</v>
      </c>
      <c r="AP29" s="135"/>
      <c r="AQ29" s="107"/>
      <c r="AR29" s="107"/>
      <c r="AS29" s="298"/>
      <c r="AV29" s="222" t="n">
        <v>0.03</v>
      </c>
      <c r="AW29" s="221" t="n">
        <v>38</v>
      </c>
      <c r="AX29" s="215" t="n">
        <v>12</v>
      </c>
      <c r="AY29" s="299"/>
      <c r="AZ29" s="250" t="n">
        <f aca="false">SUM(N29,P29:U29)</f>
        <v>3.6</v>
      </c>
    </row>
    <row r="30" customFormat="false" ht="12.95" hidden="false" customHeight="true" outlineLevel="0" collapsed="false">
      <c r="A30" s="183" t="n">
        <f aca="false">A29+1</f>
        <v>16</v>
      </c>
      <c r="B30" s="106" t="n">
        <v>6901.14</v>
      </c>
      <c r="C30" s="107" t="n">
        <v>287804</v>
      </c>
      <c r="D30" s="215" t="n">
        <f aca="false">C30-C29</f>
        <v>0</v>
      </c>
      <c r="E30" s="107" t="n">
        <f aca="false">C30-152000</f>
        <v>135804</v>
      </c>
      <c r="F30" s="246" t="n">
        <f aca="false">D30/$D$2</f>
        <v>0</v>
      </c>
      <c r="G30" s="135" t="n">
        <v>29</v>
      </c>
      <c r="H30" s="297" t="n">
        <v>1.6</v>
      </c>
      <c r="I30" s="135" t="n">
        <f aca="false">G30+H30</f>
        <v>30.6</v>
      </c>
      <c r="J30" s="136" t="n">
        <f aca="false">IF(L30&gt;0,L30,0)</f>
        <v>3</v>
      </c>
      <c r="K30" s="135" t="n">
        <f aca="false">I30+J30</f>
        <v>33.6</v>
      </c>
      <c r="L30" s="135" t="n">
        <f aca="false">F30-(I30-AK30)</f>
        <v>3</v>
      </c>
      <c r="M30" s="248" t="n">
        <v>3.6</v>
      </c>
      <c r="N30" s="135" t="n">
        <v>0</v>
      </c>
      <c r="O30" s="135" t="n">
        <v>0</v>
      </c>
      <c r="P30" s="158" t="n">
        <v>0</v>
      </c>
      <c r="Q30" s="272" t="n">
        <f aca="false">752400/325851/1.9835*1.02</f>
        <v>1.18740178018224</v>
      </c>
      <c r="R30" s="131" t="n">
        <f aca="false">((1.9)*1.04)-T30</f>
        <v>1.4628328</v>
      </c>
      <c r="S30" s="83" t="n">
        <v>0</v>
      </c>
      <c r="T30" s="131" t="n">
        <f aca="false">(0.4655*1.06)*1.04</f>
        <v>0.5131672</v>
      </c>
      <c r="U30" s="96" t="n">
        <f aca="false">M30-(Q30+R30+S30+T30)</f>
        <v>0.436598219817765</v>
      </c>
      <c r="V30" s="135" t="n">
        <v>0</v>
      </c>
      <c r="W30" s="135" t="n">
        <v>0</v>
      </c>
      <c r="X30" s="135" t="n">
        <f aca="false">M30-N30-O30-P30-Q30-R30-S30-T30-U30+V30+W30</f>
        <v>0</v>
      </c>
      <c r="Y30" s="135" t="n">
        <f aca="false">X30-AO30</f>
        <v>0</v>
      </c>
      <c r="Z30" s="135"/>
      <c r="AA30" s="135"/>
      <c r="AB30" s="107"/>
      <c r="AC30" s="136" t="n">
        <v>30.6</v>
      </c>
      <c r="AD30" s="107"/>
      <c r="AE30" s="135" t="n">
        <v>0</v>
      </c>
      <c r="AF30" s="248"/>
      <c r="AG30" s="249"/>
      <c r="AH30" s="135" t="n">
        <v>30</v>
      </c>
      <c r="AI30" s="107" t="n">
        <f aca="false">AI29-AH30</f>
        <v>2117</v>
      </c>
      <c r="AJ30" s="219"/>
      <c r="AK30" s="134" t="n">
        <f aca="false">N30+O30+P30+Q30+R30+S30+T30+U30+X30+AE30+AH30</f>
        <v>33.6</v>
      </c>
      <c r="AL30" s="135" t="n">
        <f aca="false">IF(L30&lt;0,L30*-1,0)</f>
        <v>0</v>
      </c>
      <c r="AM30" s="135" t="n">
        <f aca="false">AK30+AL30</f>
        <v>33.6</v>
      </c>
      <c r="AN30" s="281" t="n">
        <f aca="false">V30</f>
        <v>0</v>
      </c>
      <c r="AO30" s="215" t="n">
        <v>0</v>
      </c>
      <c r="AP30" s="135"/>
      <c r="AQ30" s="107"/>
      <c r="AR30" s="107"/>
      <c r="AS30" s="298"/>
      <c r="AV30" s="222" t="n">
        <v>0</v>
      </c>
      <c r="AW30" s="221" t="n">
        <v>48</v>
      </c>
      <c r="AX30" s="215" t="n">
        <v>15</v>
      </c>
      <c r="AY30" s="299"/>
      <c r="AZ30" s="250" t="n">
        <f aca="false">SUM(N30,P30:U30)</f>
        <v>3.6</v>
      </c>
    </row>
    <row r="31" customFormat="false" ht="12.95" hidden="false" customHeight="true" outlineLevel="0" collapsed="false">
      <c r="A31" s="183" t="n">
        <f aca="false">A30+1</f>
        <v>17</v>
      </c>
      <c r="B31" s="106" t="n">
        <v>6901.15</v>
      </c>
      <c r="C31" s="107" t="n">
        <v>287842</v>
      </c>
      <c r="D31" s="215" t="n">
        <f aca="false">C31-C30</f>
        <v>38</v>
      </c>
      <c r="E31" s="107" t="n">
        <f aca="false">C31-152000</f>
        <v>135842</v>
      </c>
      <c r="F31" s="246" t="n">
        <f aca="false">D31/$D$2</f>
        <v>19.1580539450466</v>
      </c>
      <c r="G31" s="135" t="n">
        <v>29</v>
      </c>
      <c r="H31" s="297" t="n">
        <v>1.7</v>
      </c>
      <c r="I31" s="135" t="n">
        <f aca="false">G31+H31</f>
        <v>30.7</v>
      </c>
      <c r="J31" s="136" t="n">
        <f aca="false">IF(L31&gt;0,L31,0)</f>
        <v>22.0580539450466</v>
      </c>
      <c r="K31" s="135" t="n">
        <f aca="false">I31+J31</f>
        <v>52.7580539450466</v>
      </c>
      <c r="L31" s="135" t="n">
        <f aca="false">F31-(I31-AK31)</f>
        <v>22.0580539450466</v>
      </c>
      <c r="M31" s="248" t="n">
        <v>3.6</v>
      </c>
      <c r="N31" s="135" t="n">
        <v>0</v>
      </c>
      <c r="O31" s="135" t="n">
        <v>0</v>
      </c>
      <c r="P31" s="158" t="n">
        <v>0</v>
      </c>
      <c r="Q31" s="272" t="n">
        <f aca="false">941400/325851/1.9835*1.02</f>
        <v>1.48567256228543</v>
      </c>
      <c r="R31" s="131" t="n">
        <f aca="false">((1.9)*1.04)-T31</f>
        <v>1.45136784</v>
      </c>
      <c r="S31" s="83" t="n">
        <v>0</v>
      </c>
      <c r="T31" s="131" t="n">
        <f aca="false">(0.4759*1.06)*1.04</f>
        <v>0.52463216</v>
      </c>
      <c r="U31" s="96" t="n">
        <f aca="false">M31-(Q31+R31+S31+T31)</f>
        <v>0.13832743771457</v>
      </c>
      <c r="V31" s="135" t="n">
        <v>0</v>
      </c>
      <c r="W31" s="135" t="n">
        <v>0</v>
      </c>
      <c r="X31" s="135" t="n">
        <f aca="false">M31-N31-O31-P31-Q31-R31-S31-T31-U31+V31+W31</f>
        <v>0</v>
      </c>
      <c r="Y31" s="135" t="n">
        <f aca="false">X31-AO31</f>
        <v>0</v>
      </c>
      <c r="Z31" s="135"/>
      <c r="AA31" s="135"/>
      <c r="AB31" s="107"/>
      <c r="AC31" s="136" t="n">
        <v>30.2</v>
      </c>
      <c r="AD31" s="107"/>
      <c r="AE31" s="135" t="n">
        <v>0</v>
      </c>
      <c r="AF31" s="248"/>
      <c r="AG31" s="249"/>
      <c r="AH31" s="135" t="n">
        <v>30</v>
      </c>
      <c r="AI31" s="107" t="n">
        <f aca="false">AI30-AH31</f>
        <v>2087</v>
      </c>
      <c r="AJ31" s="219"/>
      <c r="AK31" s="134" t="n">
        <f aca="false">N31+O31+P31+Q31+R31+S31+T31+U31+X31+AE31+AH31</f>
        <v>33.6</v>
      </c>
      <c r="AL31" s="135" t="n">
        <f aca="false">IF(L31&lt;0,L31*-1,0)</f>
        <v>0</v>
      </c>
      <c r="AM31" s="135" t="n">
        <f aca="false">AK31+AL31</f>
        <v>33.6</v>
      </c>
      <c r="AN31" s="281" t="n">
        <f aca="false">V31</f>
        <v>0</v>
      </c>
      <c r="AO31" s="215" t="n">
        <v>0</v>
      </c>
      <c r="AP31" s="135"/>
      <c r="AQ31" s="107"/>
      <c r="AR31" s="107"/>
      <c r="AS31" s="298"/>
      <c r="AV31" s="222" t="n">
        <v>0</v>
      </c>
      <c r="AW31" s="221" t="n">
        <v>43</v>
      </c>
      <c r="AX31" s="215" t="n">
        <v>19</v>
      </c>
      <c r="AY31" s="299"/>
      <c r="AZ31" s="250" t="n">
        <f aca="false">SUM(N31,P31:U31)</f>
        <v>3.6</v>
      </c>
    </row>
    <row r="32" customFormat="false" ht="12.95" hidden="false" customHeight="true" outlineLevel="0" collapsed="false">
      <c r="A32" s="183" t="n">
        <f aca="false">A31+1</f>
        <v>18</v>
      </c>
      <c r="B32" s="106" t="n">
        <v>6901.15</v>
      </c>
      <c r="C32" s="308" t="n">
        <v>287842</v>
      </c>
      <c r="D32" s="215" t="n">
        <f aca="false">C32-C31</f>
        <v>0</v>
      </c>
      <c r="E32" s="107" t="n">
        <f aca="false">C32-152000</f>
        <v>135842</v>
      </c>
      <c r="F32" s="246" t="n">
        <f aca="false">D32/$D$2</f>
        <v>0</v>
      </c>
      <c r="G32" s="135" t="n">
        <v>29</v>
      </c>
      <c r="H32" s="297" t="n">
        <v>1.8</v>
      </c>
      <c r="I32" s="135" t="n">
        <f aca="false">G32+H32</f>
        <v>30.8</v>
      </c>
      <c r="J32" s="136" t="n">
        <f aca="false">IF(L32&gt;0,L32,0)</f>
        <v>2.8</v>
      </c>
      <c r="K32" s="135" t="n">
        <f aca="false">I32+J32</f>
        <v>33.6</v>
      </c>
      <c r="L32" s="135" t="n">
        <f aca="false">F32-(I32-AK32)</f>
        <v>2.8</v>
      </c>
      <c r="M32" s="248" t="n">
        <v>3.6</v>
      </c>
      <c r="N32" s="135" t="n">
        <v>0</v>
      </c>
      <c r="O32" s="135" t="n">
        <v>0</v>
      </c>
      <c r="P32" s="158" t="n">
        <v>0</v>
      </c>
      <c r="Q32" s="272" t="n">
        <f aca="false">997200/325851/1.9835*1.02</f>
        <v>1.57373345985875</v>
      </c>
      <c r="R32" s="131" t="n">
        <f aca="false">((1.9)*1.04)-T32</f>
        <v>1.45136784</v>
      </c>
      <c r="S32" s="83" t="n">
        <v>0</v>
      </c>
      <c r="T32" s="131" t="n">
        <f aca="false">(0.4759*1.06)*1.04</f>
        <v>0.52463216</v>
      </c>
      <c r="U32" s="96" t="n">
        <f aca="false">M32-(Q32+R32+S32+T32)</f>
        <v>0.0502665401412465</v>
      </c>
      <c r="V32" s="135" t="n">
        <v>0</v>
      </c>
      <c r="W32" s="135" t="n">
        <v>0</v>
      </c>
      <c r="X32" s="135" t="n">
        <f aca="false">M32-N32-O32-P32-Q32-R32-S32-T32-U32+V32+W32</f>
        <v>4.44089209850063E-016</v>
      </c>
      <c r="Y32" s="135" t="n">
        <f aca="false">X32-AO32</f>
        <v>4.44089209850063E-016</v>
      </c>
      <c r="Z32" s="135"/>
      <c r="AA32" s="135"/>
      <c r="AB32" s="107"/>
      <c r="AC32" s="136" t="n">
        <v>30.4</v>
      </c>
      <c r="AD32" s="107"/>
      <c r="AE32" s="135" t="n">
        <v>0</v>
      </c>
      <c r="AF32" s="248"/>
      <c r="AG32" s="249"/>
      <c r="AH32" s="135" t="n">
        <v>30</v>
      </c>
      <c r="AI32" s="107" t="n">
        <f aca="false">AI31-AH32</f>
        <v>2057</v>
      </c>
      <c r="AJ32" s="219"/>
      <c r="AK32" s="134" t="n">
        <f aca="false">N32+O32+P32+Q32+R32+S32+T32+U32+X32+AE32+AH32</f>
        <v>33.6</v>
      </c>
      <c r="AL32" s="135" t="n">
        <f aca="false">IF(L32&lt;0,L32*-1,0)</f>
        <v>0</v>
      </c>
      <c r="AM32" s="135" t="n">
        <f aca="false">AK32+AL32</f>
        <v>33.6</v>
      </c>
      <c r="AN32" s="281" t="n">
        <f aca="false">V32</f>
        <v>0</v>
      </c>
      <c r="AO32" s="215" t="n">
        <v>0</v>
      </c>
      <c r="AP32" s="135"/>
      <c r="AQ32" s="107"/>
      <c r="AR32" s="107"/>
      <c r="AS32" s="298"/>
      <c r="AV32" s="309" t="n">
        <v>0</v>
      </c>
      <c r="AW32" s="221" t="n">
        <v>45</v>
      </c>
      <c r="AX32" s="215" t="n">
        <v>14</v>
      </c>
      <c r="AY32" s="299"/>
      <c r="AZ32" s="250" t="n">
        <f aca="false">SUM(N32,P32:U32)</f>
        <v>3.6</v>
      </c>
    </row>
    <row r="33" customFormat="false" ht="12.95" hidden="false" customHeight="true" outlineLevel="0" collapsed="false">
      <c r="A33" s="183" t="n">
        <f aca="false">A32+1</f>
        <v>19</v>
      </c>
      <c r="B33" s="106" t="n">
        <v>6901.15</v>
      </c>
      <c r="C33" s="308" t="n">
        <v>287842</v>
      </c>
      <c r="D33" s="215" t="n">
        <f aca="false">C33-C32</f>
        <v>0</v>
      </c>
      <c r="E33" s="107" t="n">
        <f aca="false">C33-152000</f>
        <v>135842</v>
      </c>
      <c r="F33" s="246" t="n">
        <f aca="false">D33/$D$2</f>
        <v>0</v>
      </c>
      <c r="G33" s="135" t="n">
        <v>29</v>
      </c>
      <c r="H33" s="297" t="n">
        <v>2</v>
      </c>
      <c r="I33" s="135" t="n">
        <f aca="false">G33+H33</f>
        <v>31</v>
      </c>
      <c r="J33" s="136" t="n">
        <f aca="false">IF(L33&gt;0,L33,0)</f>
        <v>2.6</v>
      </c>
      <c r="K33" s="135" t="n">
        <f aca="false">I33+J33</f>
        <v>33.6</v>
      </c>
      <c r="L33" s="135" t="n">
        <f aca="false">F33-(I33-AK33)</f>
        <v>2.6</v>
      </c>
      <c r="M33" s="248" t="n">
        <v>3.6</v>
      </c>
      <c r="N33" s="135" t="n">
        <v>0</v>
      </c>
      <c r="O33" s="135" t="n">
        <v>0</v>
      </c>
      <c r="P33" s="158" t="n">
        <v>0</v>
      </c>
      <c r="Q33" s="272" t="n">
        <f aca="false">1106600/325851/1.9835*1.02</f>
        <v>1.74638331997563</v>
      </c>
      <c r="R33" s="131" t="n">
        <f aca="false">((1.9)*1.04)-T33</f>
        <v>1.45136784</v>
      </c>
      <c r="S33" s="83" t="n">
        <v>0</v>
      </c>
      <c r="T33" s="131" t="n">
        <f aca="false">(0.4759*1.06)*1.04</f>
        <v>0.52463216</v>
      </c>
      <c r="U33" s="96" t="n">
        <f aca="false">M33-(Q33+R33+S33+T33)</f>
        <v>-0.122383319975628</v>
      </c>
      <c r="V33" s="135" t="n">
        <v>0</v>
      </c>
      <c r="W33" s="135" t="n">
        <v>0</v>
      </c>
      <c r="X33" s="135" t="n">
        <f aca="false">M33-N33-O33-P33-Q33-R33-S33-T33-U33+V33+W33</f>
        <v>0</v>
      </c>
      <c r="Y33" s="135" t="n">
        <f aca="false">X33-AO33</f>
        <v>0</v>
      </c>
      <c r="Z33" s="135"/>
      <c r="AA33" s="135"/>
      <c r="AB33" s="107"/>
      <c r="AC33" s="136" t="n">
        <v>30.3</v>
      </c>
      <c r="AD33" s="107"/>
      <c r="AE33" s="135" t="n">
        <v>0</v>
      </c>
      <c r="AF33" s="248"/>
      <c r="AG33" s="249"/>
      <c r="AH33" s="135" t="n">
        <v>30</v>
      </c>
      <c r="AI33" s="107" t="n">
        <f aca="false">AI32-AH33</f>
        <v>2027</v>
      </c>
      <c r="AJ33" s="219"/>
      <c r="AK33" s="134" t="n">
        <f aca="false">N33+O33+P33+Q33+R33+S33+T33+U33+X33+AE33+AH33</f>
        <v>33.6</v>
      </c>
      <c r="AL33" s="135" t="n">
        <f aca="false">IF(L33&lt;0,L33*-1,0)</f>
        <v>0</v>
      </c>
      <c r="AM33" s="135" t="n">
        <f aca="false">AK33+AL33</f>
        <v>33.6</v>
      </c>
      <c r="AN33" s="281" t="n">
        <f aca="false">V33</f>
        <v>0</v>
      </c>
      <c r="AO33" s="215" t="n">
        <v>0</v>
      </c>
      <c r="AP33" s="135"/>
      <c r="AQ33" s="107"/>
      <c r="AR33" s="107"/>
      <c r="AS33" s="298"/>
      <c r="AV33" s="222" t="n">
        <v>0.01</v>
      </c>
      <c r="AW33" s="221" t="n">
        <v>36</v>
      </c>
      <c r="AX33" s="215" t="n">
        <v>18</v>
      </c>
      <c r="AY33" s="299"/>
      <c r="AZ33" s="250" t="n">
        <f aca="false">SUM(N33,P33:U33)</f>
        <v>3.6</v>
      </c>
    </row>
    <row r="34" customFormat="false" ht="12.95" hidden="false" customHeight="true" outlineLevel="0" collapsed="false">
      <c r="A34" s="183" t="n">
        <f aca="false">A33+1</f>
        <v>20</v>
      </c>
      <c r="B34" s="106" t="n">
        <v>6901.16</v>
      </c>
      <c r="C34" s="107" t="n">
        <v>287879</v>
      </c>
      <c r="D34" s="215" t="n">
        <f aca="false">C34-C33</f>
        <v>37</v>
      </c>
      <c r="E34" s="107" t="n">
        <f aca="false">C34-152000</f>
        <v>135879</v>
      </c>
      <c r="F34" s="246" t="n">
        <f aca="false">D34/$D$2</f>
        <v>18.6538946307033</v>
      </c>
      <c r="G34" s="135" t="n">
        <v>29</v>
      </c>
      <c r="H34" s="297" t="n">
        <v>1.9</v>
      </c>
      <c r="I34" s="135" t="n">
        <f aca="false">G34+H34</f>
        <v>30.9</v>
      </c>
      <c r="J34" s="136" t="n">
        <f aca="false">IF(L34&gt;0,L34,0)</f>
        <v>21.4538946307033</v>
      </c>
      <c r="K34" s="135" t="n">
        <f aca="false">I34+J34</f>
        <v>52.3538946307033</v>
      </c>
      <c r="L34" s="135" t="n">
        <f aca="false">F34-(I34-AK34)</f>
        <v>21.4538946307033</v>
      </c>
      <c r="M34" s="248" t="n">
        <v>3.7</v>
      </c>
      <c r="N34" s="135" t="n">
        <v>0</v>
      </c>
      <c r="O34" s="135" t="n">
        <v>0</v>
      </c>
      <c r="P34" s="158" t="n">
        <v>0</v>
      </c>
      <c r="Q34" s="272" t="n">
        <f aca="false">1028800/325851/1.9835*1.02</f>
        <v>1.62360307210458</v>
      </c>
      <c r="R34" s="131" t="n">
        <f aca="false">((1.9)*1.04)-T34</f>
        <v>1.45136784</v>
      </c>
      <c r="S34" s="83" t="n">
        <v>0</v>
      </c>
      <c r="T34" s="131" t="n">
        <f aca="false">(0.4759*1.06)*1.04</f>
        <v>0.52463216</v>
      </c>
      <c r="U34" s="96" t="n">
        <f aca="false">M34-(Q34+R34+S34+T34)</f>
        <v>0.100396927895422</v>
      </c>
      <c r="V34" s="135" t="n">
        <v>0</v>
      </c>
      <c r="W34" s="135" t="n">
        <v>0</v>
      </c>
      <c r="X34" s="135" t="n">
        <f aca="false">M34-N34-O34-P34-Q34-R34-S34-T34-U34+V34+W34</f>
        <v>0</v>
      </c>
      <c r="Y34" s="135" t="n">
        <f aca="false">X34-AO34</f>
        <v>0</v>
      </c>
      <c r="Z34" s="135"/>
      <c r="AA34" s="135"/>
      <c r="AB34" s="107"/>
      <c r="AC34" s="136" t="n">
        <v>31.1</v>
      </c>
      <c r="AD34" s="107"/>
      <c r="AE34" s="135" t="n">
        <v>0</v>
      </c>
      <c r="AF34" s="248"/>
      <c r="AG34" s="249"/>
      <c r="AH34" s="135" t="n">
        <v>30</v>
      </c>
      <c r="AI34" s="107" t="n">
        <f aca="false">AI33-AH34</f>
        <v>1997</v>
      </c>
      <c r="AJ34" s="219"/>
      <c r="AK34" s="134" t="n">
        <f aca="false">N34+O34+P34+Q34+R34+S34+T34+U34+X34+AE34+AH34</f>
        <v>33.7</v>
      </c>
      <c r="AL34" s="135" t="n">
        <f aca="false">IF(L34&lt;0,L34*-1,0)</f>
        <v>0</v>
      </c>
      <c r="AM34" s="135" t="n">
        <f aca="false">AK34+AL34</f>
        <v>33.7</v>
      </c>
      <c r="AN34" s="281" t="n">
        <f aca="false">V34</f>
        <v>0</v>
      </c>
      <c r="AO34" s="215" t="n">
        <v>0</v>
      </c>
      <c r="AP34" s="135"/>
      <c r="AQ34" s="107"/>
      <c r="AR34" s="107"/>
      <c r="AS34" s="298"/>
      <c r="AV34" s="222" t="n">
        <v>0</v>
      </c>
      <c r="AW34" s="221" t="n">
        <v>33</v>
      </c>
      <c r="AX34" s="215" t="n">
        <v>14</v>
      </c>
      <c r="AY34" s="299"/>
      <c r="AZ34" s="250" t="n">
        <f aca="false">SUM(N34,P34:U34)</f>
        <v>3.7</v>
      </c>
    </row>
    <row r="35" customFormat="false" ht="12.95" hidden="false" customHeight="true" outlineLevel="0" collapsed="false">
      <c r="A35" s="183" t="n">
        <f aca="false">A34+1</f>
        <v>21</v>
      </c>
      <c r="B35" s="106" t="n">
        <v>6901.16</v>
      </c>
      <c r="C35" s="107" t="n">
        <v>287879</v>
      </c>
      <c r="D35" s="215" t="n">
        <f aca="false">C35-C34</f>
        <v>0</v>
      </c>
      <c r="E35" s="107" t="n">
        <f aca="false">C35-152000</f>
        <v>135879</v>
      </c>
      <c r="F35" s="246" t="n">
        <f aca="false">D35/$D$2</f>
        <v>0</v>
      </c>
      <c r="G35" s="135" t="n">
        <v>29</v>
      </c>
      <c r="H35" s="297" t="n">
        <v>2</v>
      </c>
      <c r="I35" s="135" t="n">
        <f aca="false">G35+H35</f>
        <v>31</v>
      </c>
      <c r="J35" s="136" t="n">
        <f aca="false">IF(L35&gt;0,L35,0)</f>
        <v>2.3</v>
      </c>
      <c r="K35" s="135" t="n">
        <f aca="false">I35+J35</f>
        <v>33.3</v>
      </c>
      <c r="L35" s="135" t="n">
        <f aca="false">F35-(I35-AK35)</f>
        <v>2.3</v>
      </c>
      <c r="M35" s="248" t="n">
        <v>3.3</v>
      </c>
      <c r="N35" s="135" t="n">
        <v>0</v>
      </c>
      <c r="O35" s="135" t="n">
        <v>0</v>
      </c>
      <c r="P35" s="158" t="n">
        <v>0</v>
      </c>
      <c r="Q35" s="272" t="n">
        <f aca="false">792100/325851/1.9835*1.02</f>
        <v>1.25005442594677</v>
      </c>
      <c r="R35" s="131" t="n">
        <f aca="false">((1.9)*1.04)-T35</f>
        <v>1.45136784</v>
      </c>
      <c r="S35" s="83" t="n">
        <v>0</v>
      </c>
      <c r="T35" s="131" t="n">
        <f aca="false">(0.4759*1.06)*1.04</f>
        <v>0.52463216</v>
      </c>
      <c r="U35" s="96" t="n">
        <f aca="false">M35-(Q35+R35+S35+T35)</f>
        <v>0.07394557405323</v>
      </c>
      <c r="V35" s="135" t="n">
        <v>0</v>
      </c>
      <c r="W35" s="135" t="n">
        <v>0</v>
      </c>
      <c r="X35" s="135" t="n">
        <f aca="false">M35-N35-O35-P35-Q35-R35-S35-T35-U35+V35+W35</f>
        <v>4.44089209850063E-016</v>
      </c>
      <c r="Y35" s="135" t="n">
        <f aca="false">X35-AO35</f>
        <v>4.44089209850063E-016</v>
      </c>
      <c r="Z35" s="135"/>
      <c r="AA35" s="135"/>
      <c r="AB35" s="107"/>
      <c r="AC35" s="136" t="n">
        <v>30.4</v>
      </c>
      <c r="AD35" s="107"/>
      <c r="AE35" s="135" t="n">
        <v>0</v>
      </c>
      <c r="AF35" s="248"/>
      <c r="AG35" s="249"/>
      <c r="AH35" s="135" t="n">
        <v>30</v>
      </c>
      <c r="AI35" s="107" t="n">
        <f aca="false">AI34-AH35</f>
        <v>1967</v>
      </c>
      <c r="AJ35" s="219"/>
      <c r="AK35" s="134" t="n">
        <f aca="false">N35+O35+P35+Q35+R35+S35+T35+U35+X35+AE35+AH35</f>
        <v>33.3</v>
      </c>
      <c r="AL35" s="135" t="n">
        <f aca="false">IF(L35&lt;0,L35*-1,0)</f>
        <v>0</v>
      </c>
      <c r="AM35" s="135" t="n">
        <f aca="false">AK35+AL35</f>
        <v>33.3</v>
      </c>
      <c r="AN35" s="281" t="n">
        <f aca="false">V35</f>
        <v>0</v>
      </c>
      <c r="AO35" s="215" t="n">
        <v>0</v>
      </c>
      <c r="AP35" s="135"/>
      <c r="AQ35" s="107"/>
      <c r="AR35" s="107"/>
      <c r="AS35" s="298"/>
      <c r="AV35" s="222" t="n">
        <v>0</v>
      </c>
      <c r="AW35" s="215" t="n">
        <v>39</v>
      </c>
      <c r="AX35" s="215" t="n">
        <v>16</v>
      </c>
      <c r="AY35" s="299"/>
      <c r="AZ35" s="250" t="n">
        <f aca="false">SUM(N35,P35:U35)</f>
        <v>3.3</v>
      </c>
    </row>
    <row r="36" customFormat="false" ht="12.95" hidden="false" customHeight="true" outlineLevel="0" collapsed="false">
      <c r="A36" s="183" t="n">
        <f aca="false">A35+1</f>
        <v>22</v>
      </c>
      <c r="B36" s="106" t="n">
        <v>6901.17</v>
      </c>
      <c r="C36" s="107" t="n">
        <v>287916</v>
      </c>
      <c r="D36" s="215" t="n">
        <f aca="false">C36-C35</f>
        <v>37</v>
      </c>
      <c r="E36" s="107" t="n">
        <f aca="false">C36-152000</f>
        <v>135916</v>
      </c>
      <c r="F36" s="246" t="n">
        <f aca="false">D36/$D$2</f>
        <v>18.6538946307033</v>
      </c>
      <c r="G36" s="135" t="n">
        <v>29</v>
      </c>
      <c r="H36" s="297" t="n">
        <v>2.1</v>
      </c>
      <c r="I36" s="135" t="n">
        <f aca="false">G36+H36</f>
        <v>31.1</v>
      </c>
      <c r="J36" s="136" t="n">
        <f aca="false">IF(L36&gt;0,L36,0)</f>
        <v>20.4538946307033</v>
      </c>
      <c r="K36" s="135" t="n">
        <f aca="false">I36+J36</f>
        <v>51.5538946307033</v>
      </c>
      <c r="L36" s="135" t="n">
        <f aca="false">F36-(I36-AK36)</f>
        <v>20.4538946307033</v>
      </c>
      <c r="M36" s="248" t="n">
        <v>2.9</v>
      </c>
      <c r="N36" s="135" t="n">
        <v>0</v>
      </c>
      <c r="O36" s="135" t="n">
        <v>0</v>
      </c>
      <c r="P36" s="158" t="n">
        <v>0</v>
      </c>
      <c r="Q36" s="272" t="n">
        <f aca="false">1158700/325851/1.9835*1.02</f>
        <v>1.82860505408979</v>
      </c>
      <c r="R36" s="131" t="n">
        <f aca="false">((1.9)*1.04)-T36</f>
        <v>1.45136784</v>
      </c>
      <c r="S36" s="83" t="n">
        <v>0</v>
      </c>
      <c r="T36" s="131" t="n">
        <f aca="false">(0.4759*1.06)*1.04</f>
        <v>0.52463216</v>
      </c>
      <c r="U36" s="96" t="n">
        <f aca="false">M36-(Q36+R36+S36+T36)</f>
        <v>-0.904605054089789</v>
      </c>
      <c r="V36" s="135" t="n">
        <v>0</v>
      </c>
      <c r="W36" s="135" t="n">
        <v>0</v>
      </c>
      <c r="X36" s="135" t="n">
        <f aca="false">M36-N36-O36-P36-Q36-R36-S36-T36-U36+V36+W36</f>
        <v>0</v>
      </c>
      <c r="Y36" s="135" t="n">
        <f aca="false">X36-AO36</f>
        <v>0</v>
      </c>
      <c r="Z36" s="135"/>
      <c r="AA36" s="135"/>
      <c r="AB36" s="107"/>
      <c r="AC36" s="136" t="n">
        <v>33.3</v>
      </c>
      <c r="AD36" s="107"/>
      <c r="AE36" s="135" t="n">
        <v>0</v>
      </c>
      <c r="AF36" s="248"/>
      <c r="AG36" s="249"/>
      <c r="AH36" s="135" t="n">
        <v>30</v>
      </c>
      <c r="AI36" s="107" t="n">
        <f aca="false">AI35-AH36</f>
        <v>1937</v>
      </c>
      <c r="AJ36" s="219"/>
      <c r="AK36" s="134" t="n">
        <f aca="false">N36+O36+P36+Q36+R36+S36+T36+U36+X36+AE36+AH36</f>
        <v>32.9</v>
      </c>
      <c r="AL36" s="135" t="n">
        <f aca="false">IF(L36&lt;0,L36*-1,0)</f>
        <v>0</v>
      </c>
      <c r="AM36" s="135" t="n">
        <f aca="false">AK36+AL36</f>
        <v>32.9</v>
      </c>
      <c r="AN36" s="281" t="n">
        <f aca="false">V36</f>
        <v>0</v>
      </c>
      <c r="AO36" s="215" t="n">
        <v>0</v>
      </c>
      <c r="AP36" s="135"/>
      <c r="AQ36" s="107"/>
      <c r="AR36" s="107"/>
      <c r="AS36" s="298"/>
      <c r="AV36" s="222" t="n">
        <v>0</v>
      </c>
      <c r="AW36" s="215" t="n">
        <v>47</v>
      </c>
      <c r="AX36" s="215" t="n">
        <v>24</v>
      </c>
      <c r="AY36" s="299"/>
      <c r="AZ36" s="250" t="n">
        <f aca="false">SUM(N36,P36:U36)</f>
        <v>2.9</v>
      </c>
    </row>
    <row r="37" customFormat="false" ht="12.95" hidden="false" customHeight="true" outlineLevel="0" collapsed="false">
      <c r="A37" s="183" t="n">
        <f aca="false">A36+1</f>
        <v>23</v>
      </c>
      <c r="B37" s="106" t="n">
        <v>6901.17</v>
      </c>
      <c r="C37" s="107" t="n">
        <v>287916</v>
      </c>
      <c r="D37" s="215" t="n">
        <f aca="false">C37-C36</f>
        <v>0</v>
      </c>
      <c r="E37" s="107" t="n">
        <f aca="false">C37-152000</f>
        <v>135916</v>
      </c>
      <c r="F37" s="246" t="n">
        <f aca="false">D37/$D$2</f>
        <v>0</v>
      </c>
      <c r="G37" s="135" t="n">
        <v>30</v>
      </c>
      <c r="H37" s="297" t="n">
        <v>2</v>
      </c>
      <c r="I37" s="135" t="n">
        <f aca="false">G37+H37</f>
        <v>32</v>
      </c>
      <c r="J37" s="136" t="n">
        <f aca="false">IF(L37&gt;0,L37,0)</f>
        <v>19.5</v>
      </c>
      <c r="K37" s="135" t="n">
        <f aca="false">I37+J37</f>
        <v>51.5</v>
      </c>
      <c r="L37" s="135" t="n">
        <f aca="false">F37-(I37-AK37)</f>
        <v>19.5</v>
      </c>
      <c r="M37" s="248" t="n">
        <v>4.5</v>
      </c>
      <c r="N37" s="135" t="n">
        <v>0</v>
      </c>
      <c r="O37" s="135" t="n">
        <v>0</v>
      </c>
      <c r="P37" s="158" t="n">
        <v>0</v>
      </c>
      <c r="Q37" s="272" t="n">
        <f aca="false">926100/325851/1.9835*1.02</f>
        <v>1.46152683230565</v>
      </c>
      <c r="R37" s="131" t="n">
        <f aca="false">((1.9)*1.04)-T37</f>
        <v>1.45136784</v>
      </c>
      <c r="S37" s="83" t="n">
        <v>0</v>
      </c>
      <c r="T37" s="131" t="n">
        <f aca="false">(0.4759*1.06)*1.04</f>
        <v>0.52463216</v>
      </c>
      <c r="U37" s="96" t="n">
        <f aca="false">M37-(Q37+R37+S37+T37)</f>
        <v>1.06247316769435</v>
      </c>
      <c r="V37" s="135" t="n">
        <v>17</v>
      </c>
      <c r="W37" s="135" t="n">
        <v>0</v>
      </c>
      <c r="X37" s="135" t="n">
        <f aca="false">M37-N37-O37-P37-Q37-R37-S37-T37-U37+V37+W37</f>
        <v>17</v>
      </c>
      <c r="Y37" s="135" t="n">
        <f aca="false">X37-AO37</f>
        <v>17</v>
      </c>
      <c r="Z37" s="135"/>
      <c r="AA37" s="135"/>
      <c r="AB37" s="107"/>
      <c r="AC37" s="136" t="n">
        <v>16.2</v>
      </c>
      <c r="AD37" s="107"/>
      <c r="AE37" s="135" t="n">
        <v>0</v>
      </c>
      <c r="AF37" s="248"/>
      <c r="AG37" s="249"/>
      <c r="AH37" s="135" t="n">
        <v>30</v>
      </c>
      <c r="AI37" s="107" t="n">
        <f aca="false">AI36-AH37</f>
        <v>1907</v>
      </c>
      <c r="AJ37" s="219"/>
      <c r="AK37" s="134" t="n">
        <f aca="false">N37+O37+P37+Q37+R37+S37+T37+U37+X37+AE37+AH37</f>
        <v>51.5</v>
      </c>
      <c r="AL37" s="135" t="n">
        <f aca="false">IF(L37&lt;0,L37*-1,0)</f>
        <v>0</v>
      </c>
      <c r="AM37" s="135" t="n">
        <f aca="false">AK37+AL37</f>
        <v>51.5</v>
      </c>
      <c r="AN37" s="281" t="n">
        <f aca="false">V37</f>
        <v>17</v>
      </c>
      <c r="AO37" s="215" t="n">
        <v>0</v>
      </c>
      <c r="AP37" s="135"/>
      <c r="AQ37" s="107"/>
      <c r="AR37" s="107"/>
      <c r="AS37" s="298"/>
      <c r="AV37" s="222" t="n">
        <v>0</v>
      </c>
      <c r="AW37" s="215" t="n">
        <v>40</v>
      </c>
      <c r="AX37" s="221" t="n">
        <v>16</v>
      </c>
      <c r="AY37" s="299"/>
      <c r="AZ37" s="250" t="n">
        <f aca="false">SUM(N37,P37:U37)</f>
        <v>4.5</v>
      </c>
    </row>
    <row r="38" customFormat="false" ht="12.95" hidden="false" customHeight="true" outlineLevel="0" collapsed="false">
      <c r="A38" s="183" t="n">
        <f aca="false">A37+1</f>
        <v>24</v>
      </c>
      <c r="B38" s="106" t="n">
        <v>6901.16</v>
      </c>
      <c r="C38" s="107" t="n">
        <v>287879</v>
      </c>
      <c r="D38" s="215" t="n">
        <f aca="false">C38-C37</f>
        <v>-37</v>
      </c>
      <c r="E38" s="107" t="n">
        <f aca="false">C38-152000</f>
        <v>135879</v>
      </c>
      <c r="F38" s="246" t="n">
        <f aca="false">D38/$D$2</f>
        <v>-18.6538946307033</v>
      </c>
      <c r="G38" s="135" t="n">
        <v>29</v>
      </c>
      <c r="H38" s="297" t="n">
        <v>1.8</v>
      </c>
      <c r="I38" s="135" t="n">
        <f aca="false">G38+H38</f>
        <v>30.8</v>
      </c>
      <c r="J38" s="136" t="n">
        <f aca="false">IF(L38&gt;0,L38,0)</f>
        <v>10.3461053692967</v>
      </c>
      <c r="K38" s="135" t="n">
        <f aca="false">I38+J38</f>
        <v>41.1461053692967</v>
      </c>
      <c r="L38" s="135" t="n">
        <f aca="false">F38-(I38-AK38)</f>
        <v>10.3461053692967</v>
      </c>
      <c r="M38" s="248" t="n">
        <v>3.8</v>
      </c>
      <c r="N38" s="135" t="n">
        <v>0</v>
      </c>
      <c r="O38" s="135" t="n">
        <v>0</v>
      </c>
      <c r="P38" s="158" t="n">
        <v>0</v>
      </c>
      <c r="Q38" s="272" t="n">
        <f aca="false">1012000/325851/1.9835*1.02</f>
        <v>1.59709011369541</v>
      </c>
      <c r="R38" s="131" t="n">
        <f aca="false">((1.9)*1.04)-T38</f>
        <v>1.53085088</v>
      </c>
      <c r="S38" s="83" t="n">
        <v>0</v>
      </c>
      <c r="T38" s="131" t="n">
        <f aca="false">(0.4038*1.06)*1.04</f>
        <v>0.44514912</v>
      </c>
      <c r="U38" s="96" t="n">
        <f aca="false">M38-(Q38+R38+S38+T38)</f>
        <v>0.226909886304594</v>
      </c>
      <c r="V38" s="135" t="n">
        <v>26</v>
      </c>
      <c r="W38" s="135" t="n">
        <v>0</v>
      </c>
      <c r="X38" s="135" t="n">
        <f aca="false">M38-N38-O38-P38-Q38-R38-S38-T38-U38+V38+W38</f>
        <v>26</v>
      </c>
      <c r="Y38" s="135" t="n">
        <f aca="false">X38-AO38</f>
        <v>26</v>
      </c>
      <c r="Z38" s="135"/>
      <c r="AA38" s="135"/>
      <c r="AB38" s="107"/>
      <c r="AC38" s="136" t="n">
        <v>8.1</v>
      </c>
      <c r="AD38" s="107"/>
      <c r="AE38" s="135" t="n">
        <v>0</v>
      </c>
      <c r="AF38" s="248"/>
      <c r="AG38" s="249"/>
      <c r="AH38" s="135" t="n">
        <v>30</v>
      </c>
      <c r="AI38" s="107" t="n">
        <f aca="false">AI37-AH38</f>
        <v>1877</v>
      </c>
      <c r="AJ38" s="219"/>
      <c r="AK38" s="134" t="n">
        <f aca="false">N38+O38+P38+Q38+R38+S38+T38+U38+X38+AE38+AH38</f>
        <v>59.8</v>
      </c>
      <c r="AL38" s="135" t="n">
        <f aca="false">IF(L38&lt;0,L38*-1,0)</f>
        <v>0</v>
      </c>
      <c r="AM38" s="135" t="n">
        <f aca="false">AK38+AL38</f>
        <v>59.8</v>
      </c>
      <c r="AN38" s="281" t="n">
        <f aca="false">V38</f>
        <v>26</v>
      </c>
      <c r="AO38" s="215" t="n">
        <v>0</v>
      </c>
      <c r="AP38" s="135"/>
      <c r="AQ38" s="107"/>
      <c r="AR38" s="107"/>
      <c r="AS38" s="298"/>
      <c r="AV38" s="222" t="n">
        <v>0</v>
      </c>
      <c r="AW38" s="215" t="n">
        <v>43</v>
      </c>
      <c r="AX38" s="221" t="n">
        <v>15</v>
      </c>
      <c r="AY38" s="299"/>
      <c r="AZ38" s="250" t="n">
        <f aca="false">SUM(N38,P38:U38)</f>
        <v>3.8</v>
      </c>
    </row>
    <row r="39" customFormat="false" ht="12.95" hidden="false" customHeight="true" outlineLevel="0" collapsed="false">
      <c r="A39" s="183" t="n">
        <f aca="false">A38+1</f>
        <v>25</v>
      </c>
      <c r="B39" s="106" t="n">
        <v>6901.15</v>
      </c>
      <c r="C39" s="107" t="n">
        <v>287842</v>
      </c>
      <c r="D39" s="215" t="n">
        <f aca="false">C39-C38</f>
        <v>-37</v>
      </c>
      <c r="E39" s="107" t="n">
        <f aca="false">C39-152000</f>
        <v>135842</v>
      </c>
      <c r="F39" s="246" t="n">
        <f aca="false">D39/$D$2</f>
        <v>-18.6538946307033</v>
      </c>
      <c r="G39" s="135" t="n">
        <v>29</v>
      </c>
      <c r="H39" s="297" t="n">
        <v>1.8</v>
      </c>
      <c r="I39" s="135" t="n">
        <f aca="false">G39+H39</f>
        <v>30.8</v>
      </c>
      <c r="J39" s="136" t="n">
        <f aca="false">IF(L39&gt;0,L39,0)</f>
        <v>10.5461053692967</v>
      </c>
      <c r="K39" s="135" t="n">
        <f aca="false">I39+J39</f>
        <v>41.3461053692967</v>
      </c>
      <c r="L39" s="135" t="n">
        <f aca="false">F39-(I39-AK39)</f>
        <v>10.5461053692967</v>
      </c>
      <c r="M39" s="248" t="n">
        <v>4</v>
      </c>
      <c r="N39" s="135" t="n">
        <v>0</v>
      </c>
      <c r="O39" s="135" t="n">
        <v>0</v>
      </c>
      <c r="P39" s="158" t="n">
        <v>0</v>
      </c>
      <c r="Q39" s="272" t="n">
        <f aca="false">922400/325851/1.9835*1.02</f>
        <v>1.45568766884648</v>
      </c>
      <c r="R39" s="131" t="n">
        <f aca="false">((1.9)*1.04)-T39</f>
        <v>1.53085088</v>
      </c>
      <c r="S39" s="83" t="n">
        <v>0</v>
      </c>
      <c r="T39" s="131" t="n">
        <f aca="false">(0.4038*1.06)*1.04</f>
        <v>0.44514912</v>
      </c>
      <c r="U39" s="96" t="n">
        <f aca="false">M39-(Q39+R39+S39+T39)</f>
        <v>0.568312331153516</v>
      </c>
      <c r="V39" s="135" t="n">
        <v>26</v>
      </c>
      <c r="W39" s="135" t="n">
        <v>0</v>
      </c>
      <c r="X39" s="135" t="n">
        <f aca="false">M39-N39-O39-P39-Q39-R39-S39-T39-U39+V39+W39</f>
        <v>26</v>
      </c>
      <c r="Y39" s="135" t="n">
        <f aca="false">X39-AO39</f>
        <v>26</v>
      </c>
      <c r="Z39" s="135"/>
      <c r="AA39" s="135"/>
      <c r="AB39" s="107"/>
      <c r="AC39" s="136" t="n">
        <v>8.3</v>
      </c>
      <c r="AD39" s="107"/>
      <c r="AE39" s="135" t="n">
        <v>0</v>
      </c>
      <c r="AF39" s="248"/>
      <c r="AG39" s="249"/>
      <c r="AH39" s="135" t="n">
        <v>30</v>
      </c>
      <c r="AI39" s="107" t="n">
        <f aca="false">AI38-AH39</f>
        <v>1847</v>
      </c>
      <c r="AJ39" s="219"/>
      <c r="AK39" s="134" t="n">
        <f aca="false">N39+O39+P39+Q39+R39+S39+T39+U39+X39+AE39+AH39</f>
        <v>60</v>
      </c>
      <c r="AL39" s="135" t="n">
        <f aca="false">IF(L39&lt;0,L39*-1,0)</f>
        <v>0</v>
      </c>
      <c r="AM39" s="135" t="n">
        <f aca="false">AK39+AL39</f>
        <v>60</v>
      </c>
      <c r="AN39" s="281" t="n">
        <f aca="false">V39</f>
        <v>26</v>
      </c>
      <c r="AO39" s="215" t="n">
        <v>0</v>
      </c>
      <c r="AP39" s="135"/>
      <c r="AQ39" s="107"/>
      <c r="AR39" s="107"/>
      <c r="AS39" s="298"/>
      <c r="AV39" s="222" t="n">
        <v>0</v>
      </c>
      <c r="AW39" s="215" t="n">
        <v>51</v>
      </c>
      <c r="AX39" s="221" t="n">
        <v>21</v>
      </c>
      <c r="AY39" s="299"/>
      <c r="AZ39" s="250" t="n">
        <f aca="false">SUM(N39,P39:U39)</f>
        <v>4</v>
      </c>
    </row>
    <row r="40" customFormat="false" ht="12.95" hidden="false" customHeight="true" outlineLevel="0" collapsed="false">
      <c r="A40" s="183" t="n">
        <f aca="false">A39+1</f>
        <v>26</v>
      </c>
      <c r="B40" s="106" t="n">
        <v>6901.14</v>
      </c>
      <c r="C40" s="107" t="n">
        <v>287804</v>
      </c>
      <c r="D40" s="215" t="n">
        <f aca="false">C40-C39</f>
        <v>-38</v>
      </c>
      <c r="E40" s="107" t="n">
        <f aca="false">C40-152000</f>
        <v>135804</v>
      </c>
      <c r="F40" s="246" t="n">
        <f aca="false">D40/$D$2</f>
        <v>-19.1580539450466</v>
      </c>
      <c r="G40" s="135" t="n">
        <v>23</v>
      </c>
      <c r="H40" s="297" t="n">
        <v>1.7</v>
      </c>
      <c r="I40" s="135" t="n">
        <f aca="false">G40+H40</f>
        <v>24.7</v>
      </c>
      <c r="J40" s="136" t="n">
        <f aca="false">IF(L40&gt;0,L40,0)</f>
        <v>16.1419460549534</v>
      </c>
      <c r="K40" s="135" t="n">
        <f aca="false">I40+J40</f>
        <v>40.8419460549534</v>
      </c>
      <c r="L40" s="135" t="n">
        <f aca="false">F40-(I40-AK40)</f>
        <v>16.1419460549534</v>
      </c>
      <c r="M40" s="248" t="n">
        <v>4</v>
      </c>
      <c r="N40" s="135" t="n">
        <v>0</v>
      </c>
      <c r="O40" s="135" t="n">
        <v>0</v>
      </c>
      <c r="P40" s="158" t="n">
        <v>0</v>
      </c>
      <c r="Q40" s="272" t="n">
        <f aca="false">1102800/325851/1.9835*1.02</f>
        <v>1.74038634128784</v>
      </c>
      <c r="R40" s="131" t="n">
        <f aca="false">((1.9)*1.04)-T40</f>
        <v>1.53085088</v>
      </c>
      <c r="S40" s="83" t="n">
        <v>0</v>
      </c>
      <c r="T40" s="131" t="n">
        <f aca="false">(0.4038*1.06)*1.04</f>
        <v>0.44514912</v>
      </c>
      <c r="U40" s="96" t="n">
        <f aca="false">M40-(Q40+R40+S40+T40)</f>
        <v>0.283613658712161</v>
      </c>
      <c r="V40" s="135" t="n">
        <v>26</v>
      </c>
      <c r="W40" s="135" t="n">
        <v>0</v>
      </c>
      <c r="X40" s="135" t="n">
        <f aca="false">M40-N40-O40-P40-Q40-R40-S40-T40-U40+V40+W40</f>
        <v>26</v>
      </c>
      <c r="Y40" s="135" t="n">
        <f aca="false">X40-AO40</f>
        <v>26</v>
      </c>
      <c r="Z40" s="135"/>
      <c r="AA40" s="135"/>
      <c r="AB40" s="107"/>
      <c r="AC40" s="136" t="n">
        <v>7.6</v>
      </c>
      <c r="AD40" s="107"/>
      <c r="AE40" s="135" t="n">
        <v>0</v>
      </c>
      <c r="AF40" s="248"/>
      <c r="AG40" s="249"/>
      <c r="AH40" s="135" t="n">
        <v>30</v>
      </c>
      <c r="AI40" s="107" t="n">
        <f aca="false">AI39-AH40</f>
        <v>1817</v>
      </c>
      <c r="AJ40" s="219"/>
      <c r="AK40" s="134" t="n">
        <f aca="false">N40+O40+P40+Q40+R40+S40+T40+U40+X40+AE40+AH40</f>
        <v>60</v>
      </c>
      <c r="AL40" s="135" t="n">
        <f aca="false">IF(L40&lt;0,L40*-1,0)</f>
        <v>0</v>
      </c>
      <c r="AM40" s="135" t="n">
        <f aca="false">AK40+AL40</f>
        <v>60</v>
      </c>
      <c r="AN40" s="281" t="n">
        <f aca="false">V40</f>
        <v>26</v>
      </c>
      <c r="AO40" s="215" t="n">
        <v>0</v>
      </c>
      <c r="AP40" s="135"/>
      <c r="AQ40" s="107"/>
      <c r="AR40" s="107"/>
      <c r="AS40" s="298"/>
      <c r="AV40" s="222" t="n">
        <v>0</v>
      </c>
      <c r="AW40" s="215" t="n">
        <v>40</v>
      </c>
      <c r="AX40" s="215" t="n">
        <v>21</v>
      </c>
      <c r="AY40" s="299"/>
      <c r="AZ40" s="250" t="n">
        <f aca="false">SUM(N40,P40:U40)</f>
        <v>4</v>
      </c>
    </row>
    <row r="41" customFormat="false" ht="12.95" hidden="false" customHeight="true" outlineLevel="0" collapsed="false">
      <c r="A41" s="183" t="n">
        <f aca="false">A40+1</f>
        <v>27</v>
      </c>
      <c r="B41" s="106" t="n">
        <v>6901.14</v>
      </c>
      <c r="C41" s="107" t="n">
        <v>287804</v>
      </c>
      <c r="D41" s="215" t="n">
        <f aca="false">C41-C40</f>
        <v>0</v>
      </c>
      <c r="E41" s="107" t="n">
        <f aca="false">C41-152000</f>
        <v>135804</v>
      </c>
      <c r="F41" s="246" t="n">
        <f aca="false">D41/$D$2</f>
        <v>0</v>
      </c>
      <c r="G41" s="135" t="n">
        <v>22</v>
      </c>
      <c r="H41" s="297" t="n">
        <v>1.7</v>
      </c>
      <c r="I41" s="135" t="n">
        <f aca="false">G41+H41</f>
        <v>23.7</v>
      </c>
      <c r="J41" s="136" t="n">
        <f aca="false">IF(L41&gt;0,L41,0)</f>
        <v>40.1</v>
      </c>
      <c r="K41" s="135" t="n">
        <f aca="false">I41+J41</f>
        <v>63.8</v>
      </c>
      <c r="L41" s="135" t="n">
        <f aca="false">F41-(I41-AK41)</f>
        <v>40.1</v>
      </c>
      <c r="M41" s="248" t="n">
        <v>3.8</v>
      </c>
      <c r="N41" s="135" t="n">
        <v>0</v>
      </c>
      <c r="O41" s="135" t="n">
        <v>0</v>
      </c>
      <c r="P41" s="158" t="n">
        <v>0</v>
      </c>
      <c r="Q41" s="272" t="n">
        <f aca="false">948500/325851/1.9835*1.02</f>
        <v>1.49687744351788</v>
      </c>
      <c r="R41" s="131" t="n">
        <f aca="false">((1.9)*1.04)-T41</f>
        <v>1.53085088</v>
      </c>
      <c r="S41" s="83" t="n">
        <v>0</v>
      </c>
      <c r="T41" s="131" t="n">
        <f aca="false">(0.4038*1.06)*1.04</f>
        <v>0.44514912</v>
      </c>
      <c r="U41" s="96" t="n">
        <f aca="false">M41-(Q41+R41+S41+T41)</f>
        <v>0.327122556482122</v>
      </c>
      <c r="V41" s="135" t="n">
        <v>30</v>
      </c>
      <c r="W41" s="135" t="n">
        <v>0</v>
      </c>
      <c r="X41" s="135" t="n">
        <f aca="false">M41-N41-O41-P41-Q41-R41-S41-T41-U41+V41+W41</f>
        <v>30</v>
      </c>
      <c r="Y41" s="135" t="n">
        <f aca="false">X41-AO41</f>
        <v>30</v>
      </c>
      <c r="Z41" s="135"/>
      <c r="AA41" s="135"/>
      <c r="AB41" s="107"/>
      <c r="AC41" s="136" t="n">
        <v>14.8</v>
      </c>
      <c r="AD41" s="107"/>
      <c r="AE41" s="135" t="n">
        <v>0</v>
      </c>
      <c r="AF41" s="248"/>
      <c r="AG41" s="249"/>
      <c r="AH41" s="135" t="n">
        <v>30</v>
      </c>
      <c r="AI41" s="107" t="n">
        <f aca="false">AI40-AH41</f>
        <v>1787</v>
      </c>
      <c r="AJ41" s="219"/>
      <c r="AK41" s="134" t="n">
        <f aca="false">N41+O41+P41+Q41+R41+S41+T41+U41+X41+AE41+AH41</f>
        <v>63.8</v>
      </c>
      <c r="AL41" s="135" t="n">
        <f aca="false">IF(L41&lt;0,L41*-1,0)</f>
        <v>0</v>
      </c>
      <c r="AM41" s="135" t="n">
        <f aca="false">AK41+AL41</f>
        <v>63.8</v>
      </c>
      <c r="AN41" s="281" t="n">
        <f aca="false">V41</f>
        <v>30</v>
      </c>
      <c r="AO41" s="215" t="n">
        <v>0</v>
      </c>
      <c r="AP41" s="135"/>
      <c r="AQ41" s="107"/>
      <c r="AR41" s="107"/>
      <c r="AS41" s="298"/>
      <c r="AV41" s="222" t="n">
        <v>0.09</v>
      </c>
      <c r="AW41" s="215" t="n">
        <v>48</v>
      </c>
      <c r="AX41" s="215" t="n">
        <v>24</v>
      </c>
      <c r="AY41" s="299"/>
      <c r="AZ41" s="250" t="n">
        <f aca="false">SUM(N41,P41:U41)</f>
        <v>3.8</v>
      </c>
    </row>
    <row r="42" customFormat="false" ht="12.95" hidden="false" customHeight="true" outlineLevel="0" collapsed="false">
      <c r="A42" s="183" t="n">
        <v>28</v>
      </c>
      <c r="B42" s="106" t="n">
        <v>6901.15</v>
      </c>
      <c r="C42" s="107" t="n">
        <v>287842</v>
      </c>
      <c r="D42" s="215" t="n">
        <f aca="false">C42-C41</f>
        <v>38</v>
      </c>
      <c r="E42" s="107" t="n">
        <f aca="false">C42-152000</f>
        <v>135842</v>
      </c>
      <c r="F42" s="246" t="n">
        <f aca="false">D42/$D$2</f>
        <v>19.1580539450466</v>
      </c>
      <c r="G42" s="135" t="n">
        <v>22</v>
      </c>
      <c r="H42" s="297" t="n">
        <v>1.8</v>
      </c>
      <c r="I42" s="135" t="n">
        <f aca="false">G42+H42</f>
        <v>23.8</v>
      </c>
      <c r="J42" s="136" t="n">
        <f aca="false">IF(L42&gt;0,L42,0)</f>
        <v>62.4580539450466</v>
      </c>
      <c r="K42" s="135" t="n">
        <f aca="false">I42+J42</f>
        <v>86.2580539450466</v>
      </c>
      <c r="L42" s="135" t="n">
        <f aca="false">F42-(I42-AK42)</f>
        <v>62.4580539450466</v>
      </c>
      <c r="M42" s="248" t="n">
        <v>4.1</v>
      </c>
      <c r="N42" s="135" t="n">
        <v>0</v>
      </c>
      <c r="O42" s="135" t="n">
        <v>0</v>
      </c>
      <c r="P42" s="158" t="n">
        <v>0</v>
      </c>
      <c r="Q42" s="272" t="n">
        <f aca="false">847500/325851/1.9835*1.02</f>
        <v>1.33748406260559</v>
      </c>
      <c r="R42" s="131" t="n">
        <f aca="false">((1.9)*1.04)-T42</f>
        <v>1.53085088</v>
      </c>
      <c r="S42" s="83" t="n">
        <v>0</v>
      </c>
      <c r="T42" s="131" t="n">
        <f aca="false">(0.4038*1.06)*1.04</f>
        <v>0.44514912</v>
      </c>
      <c r="U42" s="96" t="n">
        <f aca="false">M42-(Q42+R42+S42+T42)</f>
        <v>0.786515937394411</v>
      </c>
      <c r="V42" s="135" t="n">
        <v>33</v>
      </c>
      <c r="W42" s="135" t="n">
        <v>0</v>
      </c>
      <c r="X42" s="135" t="n">
        <f aca="false">M42-N42-O42-P42-Q42-R42-S42-T42-U42+V42+W42</f>
        <v>33</v>
      </c>
      <c r="Y42" s="135" t="n">
        <f aca="false">X42-AO42</f>
        <v>33</v>
      </c>
      <c r="Z42" s="135"/>
      <c r="AA42" s="135"/>
      <c r="AB42" s="107"/>
      <c r="AC42" s="136" t="n">
        <v>25.1</v>
      </c>
      <c r="AD42" s="107"/>
      <c r="AE42" s="135" t="n">
        <v>0</v>
      </c>
      <c r="AF42" s="248"/>
      <c r="AG42" s="249"/>
      <c r="AH42" s="135" t="n">
        <v>30</v>
      </c>
      <c r="AI42" s="107" t="n">
        <f aca="false">AI41-AH42</f>
        <v>1757</v>
      </c>
      <c r="AJ42" s="219"/>
      <c r="AK42" s="134" t="n">
        <f aca="false">N42+O42+P42+Q42+R42+S42+T42+U42+X42+AE42+AH42</f>
        <v>67.1</v>
      </c>
      <c r="AL42" s="135" t="n">
        <f aca="false">IF(L42&lt;0,L42*-1,0)</f>
        <v>0</v>
      </c>
      <c r="AM42" s="135" t="n">
        <f aca="false">AK42+AL42</f>
        <v>67.1</v>
      </c>
      <c r="AN42" s="281" t="n">
        <f aca="false">V42</f>
        <v>33</v>
      </c>
      <c r="AO42" s="215" t="n">
        <v>0</v>
      </c>
      <c r="AP42" s="135"/>
      <c r="AQ42" s="107"/>
      <c r="AR42" s="107"/>
      <c r="AS42" s="298"/>
      <c r="AV42" s="222" t="n">
        <v>0.09</v>
      </c>
      <c r="AW42" s="215" t="n">
        <v>37</v>
      </c>
      <c r="AX42" s="215" t="n">
        <v>25</v>
      </c>
      <c r="AY42" s="299"/>
      <c r="AZ42" s="250" t="n">
        <f aca="false">SUM(N42,P42:U42)</f>
        <v>4.1</v>
      </c>
    </row>
    <row r="43" customFormat="false" ht="12.95" hidden="false" customHeight="true" outlineLevel="0" collapsed="false">
      <c r="A43" s="183" t="n">
        <v>29</v>
      </c>
      <c r="B43" s="106" t="n">
        <v>6901.17</v>
      </c>
      <c r="C43" s="107" t="n">
        <v>287916</v>
      </c>
      <c r="D43" s="215" t="n">
        <f aca="false">C43-C42</f>
        <v>74</v>
      </c>
      <c r="E43" s="107" t="n">
        <f aca="false">C43-152000</f>
        <v>135916</v>
      </c>
      <c r="F43" s="246" t="n">
        <f aca="false">D43/$D$2</f>
        <v>37.3077892614066</v>
      </c>
      <c r="G43" s="135" t="n">
        <v>23</v>
      </c>
      <c r="H43" s="297" t="n">
        <v>1.8</v>
      </c>
      <c r="I43" s="135" t="n">
        <f aca="false">G43+H43</f>
        <v>24.8</v>
      </c>
      <c r="J43" s="136" t="n">
        <f aca="false">IF(L43&gt;0,L43,0)</f>
        <v>70.0077892614066</v>
      </c>
      <c r="K43" s="135" t="n">
        <f aca="false">I43+J43</f>
        <v>94.8077892614066</v>
      </c>
      <c r="L43" s="135" t="n">
        <f aca="false">F43-(I43-AK43)</f>
        <v>70.0077892614066</v>
      </c>
      <c r="M43" s="248" t="n">
        <v>3.5</v>
      </c>
      <c r="N43" s="135" t="n">
        <v>0</v>
      </c>
      <c r="O43" s="135" t="n">
        <v>0</v>
      </c>
      <c r="P43" s="158" t="n">
        <v>0</v>
      </c>
      <c r="Q43" s="272" t="n">
        <f aca="false">1170200/325851/1.9835*1.02</f>
        <v>1.84675380538178</v>
      </c>
      <c r="R43" s="131" t="n">
        <f aca="false">((2)*1.04)-T43</f>
        <v>1.63485088</v>
      </c>
      <c r="S43" s="83" t="n">
        <v>0</v>
      </c>
      <c r="T43" s="131" t="n">
        <f aca="false">(0.4038*1.06)*1.04</f>
        <v>0.44514912</v>
      </c>
      <c r="U43" s="96" t="n">
        <f aca="false">M43-(Q43+R43+S43+T43)</f>
        <v>-0.426753805381782</v>
      </c>
      <c r="V43" s="135" t="n">
        <v>24</v>
      </c>
      <c r="W43" s="135" t="n">
        <v>0</v>
      </c>
      <c r="X43" s="135" t="n">
        <f aca="false">M43-N43-O43-P43-Q43-R43-S43-T43-U43+V43+W43</f>
        <v>24</v>
      </c>
      <c r="Y43" s="135" t="n">
        <f aca="false">X43-AO43</f>
        <v>24</v>
      </c>
      <c r="Z43" s="135"/>
      <c r="AA43" s="135"/>
      <c r="AB43" s="107"/>
      <c r="AC43" s="136" t="n">
        <v>38.3</v>
      </c>
      <c r="AD43" s="107"/>
      <c r="AE43" s="135" t="n">
        <v>0</v>
      </c>
      <c r="AF43" s="248"/>
      <c r="AG43" s="249"/>
      <c r="AH43" s="135" t="n">
        <v>30</v>
      </c>
      <c r="AI43" s="107" t="n">
        <f aca="false">AI42-AH43</f>
        <v>1727</v>
      </c>
      <c r="AJ43" s="219"/>
      <c r="AK43" s="134" t="n">
        <f aca="false">N43+O43+P43+Q43+R43+S43+T43+U43+X43+AE43+AH43</f>
        <v>57.5</v>
      </c>
      <c r="AL43" s="135" t="n">
        <f aca="false">IF(L43&lt;0,L43*-1,0)</f>
        <v>0</v>
      </c>
      <c r="AM43" s="246" t="n">
        <f aca="false">AK43+AL43</f>
        <v>57.5</v>
      </c>
      <c r="AN43" s="136" t="n">
        <f aca="false">V43</f>
        <v>24</v>
      </c>
      <c r="AO43" s="215" t="n">
        <v>0</v>
      </c>
      <c r="AP43" s="135"/>
      <c r="AQ43" s="107"/>
      <c r="AR43" s="107"/>
      <c r="AS43" s="298"/>
      <c r="AV43" s="222" t="n">
        <v>0.1</v>
      </c>
      <c r="AW43" s="215" t="n">
        <v>37</v>
      </c>
      <c r="AX43" s="215" t="n">
        <v>22</v>
      </c>
      <c r="AY43" s="299"/>
      <c r="AZ43" s="250" t="n">
        <f aca="false">SUM(N43,P43:U43)</f>
        <v>3.5</v>
      </c>
    </row>
    <row r="44" customFormat="false" ht="3" hidden="false" customHeight="true" outlineLevel="0" collapsed="false">
      <c r="A44" s="310"/>
      <c r="B44" s="252"/>
      <c r="C44" s="233"/>
      <c r="D44" s="233"/>
      <c r="E44" s="233"/>
      <c r="F44" s="257"/>
      <c r="G44" s="233"/>
      <c r="H44" s="243"/>
      <c r="I44" s="233"/>
      <c r="J44" s="233"/>
      <c r="K44" s="233"/>
      <c r="L44" s="233"/>
      <c r="M44" s="258"/>
      <c r="N44" s="233"/>
      <c r="O44" s="233"/>
      <c r="P44" s="238"/>
      <c r="Q44" s="233"/>
      <c r="R44" s="233"/>
      <c r="S44" s="243"/>
      <c r="T44" s="243"/>
      <c r="U44" s="239"/>
      <c r="V44" s="233"/>
      <c r="W44" s="233"/>
      <c r="X44" s="233"/>
      <c r="Y44" s="233"/>
      <c r="Z44" s="233"/>
      <c r="AA44" s="233"/>
      <c r="AB44" s="233"/>
      <c r="AC44" s="240"/>
      <c r="AD44" s="233"/>
      <c r="AE44" s="233"/>
      <c r="AF44" s="258"/>
      <c r="AG44" s="259"/>
      <c r="AH44" s="233"/>
      <c r="AI44" s="234"/>
      <c r="AJ44" s="270"/>
      <c r="AK44" s="233"/>
      <c r="AL44" s="233"/>
      <c r="AM44" s="257"/>
      <c r="AN44" s="243"/>
      <c r="AO44" s="243"/>
      <c r="AP44" s="233"/>
      <c r="AQ44" s="233"/>
      <c r="AR44" s="233"/>
      <c r="AS44" s="243"/>
      <c r="AT44" s="305"/>
      <c r="AU44" s="305"/>
      <c r="AV44" s="261"/>
      <c r="AW44" s="233"/>
      <c r="AX44" s="233"/>
      <c r="AY44" s="306"/>
      <c r="AZ44" s="307"/>
    </row>
    <row r="45" customFormat="false" ht="12.95" hidden="false" customHeight="true" outlineLevel="0" collapsed="false">
      <c r="A45" s="188" t="s">
        <v>101</v>
      </c>
      <c r="B45" s="220"/>
      <c r="C45" s="215"/>
      <c r="D45" s="215"/>
      <c r="E45" s="215"/>
      <c r="F45" s="223" t="n">
        <f aca="false">SUM(F15:F43)</f>
        <v>-19.1580539450466</v>
      </c>
      <c r="G45" s="215" t="n">
        <f aca="false">SUM(G15:G43)</f>
        <v>882</v>
      </c>
      <c r="H45" s="215" t="n">
        <f aca="false">SUM(H15:H43)</f>
        <v>50.1</v>
      </c>
      <c r="I45" s="215" t="n">
        <f aca="false">SUM(I15:I43)</f>
        <v>932.1</v>
      </c>
      <c r="J45" s="215" t="n">
        <f aca="false">SUM(J15:J43)</f>
        <v>643.057524577767</v>
      </c>
      <c r="K45" s="215" t="n">
        <f aca="false">SUM(K15:K43)</f>
        <v>1575.15752457777</v>
      </c>
      <c r="L45" s="215" t="n">
        <f aca="false">SUM(L15:L43)</f>
        <v>634.341946054953</v>
      </c>
      <c r="M45" s="311" t="n">
        <f aca="false">SUM(M15:M43)</f>
        <v>107.6</v>
      </c>
      <c r="N45" s="215" t="n">
        <f aca="false">SUM(N15:N43)</f>
        <v>0</v>
      </c>
      <c r="O45" s="215" t="n">
        <f aca="false">SUM(O15:O43)</f>
        <v>0</v>
      </c>
      <c r="P45" s="215" t="n">
        <f aca="false">SUM(P15:P43)</f>
        <v>0</v>
      </c>
      <c r="Q45" s="215" t="n">
        <f aca="false">SUM(Q15:Q43)</f>
        <v>44.9787604954757</v>
      </c>
      <c r="R45" s="215" t="n">
        <f aca="false">SUM(R15:R43)</f>
        <v>43.34701904</v>
      </c>
      <c r="S45" s="215" t="n">
        <f aca="false">SUM(S15:S43)</f>
        <v>0</v>
      </c>
      <c r="T45" s="215" t="n">
        <f aca="false">SUM(T15:T43)</f>
        <v>14.37298096</v>
      </c>
      <c r="U45" s="312" t="n">
        <f aca="false">SUM(U15:U43)</f>
        <v>4.90123950452433</v>
      </c>
      <c r="V45" s="215" t="n">
        <f aca="false">SUM(V15:V43)</f>
        <v>608</v>
      </c>
      <c r="W45" s="215" t="n">
        <f aca="false">SUM(W15:W43)</f>
        <v>0</v>
      </c>
      <c r="X45" s="215" t="n">
        <f aca="false">SUM(X15:X43)</f>
        <v>608</v>
      </c>
      <c r="Y45" s="215" t="n">
        <f aca="false">SUM(Y15:Y43)</f>
        <v>608</v>
      </c>
      <c r="Z45" s="215"/>
      <c r="AA45" s="215"/>
      <c r="AB45" s="215"/>
      <c r="AC45" s="136" t="n">
        <f aca="false">SUM(AC15:AC43)</f>
        <v>553.6</v>
      </c>
      <c r="AD45" s="215"/>
      <c r="AE45" s="215"/>
      <c r="AF45" s="248"/>
      <c r="AG45" s="249"/>
      <c r="AH45" s="215" t="n">
        <f aca="false">SUM(AH15:AH43)</f>
        <v>870</v>
      </c>
      <c r="AI45" s="215"/>
      <c r="AJ45" s="215" t="n">
        <f aca="false">SUM(AJ15:AJ43)</f>
        <v>0</v>
      </c>
      <c r="AK45" s="215" t="n">
        <f aca="false">SUM(AK15:AK43)</f>
        <v>1585.6</v>
      </c>
      <c r="AL45" s="215" t="n">
        <f aca="false">SUM(AL15:AL43)</f>
        <v>8.71557852281322</v>
      </c>
      <c r="AM45" s="223" t="n">
        <f aca="false">SUM(AM15:AM43)</f>
        <v>1594.31557852281</v>
      </c>
      <c r="AN45" s="215" t="n">
        <f aca="false">SUM(AN15:AN43)</f>
        <v>608</v>
      </c>
      <c r="AO45" s="215" t="n">
        <f aca="false">SUM(AO15:AO43)</f>
        <v>0</v>
      </c>
      <c r="AP45" s="135"/>
      <c r="AQ45" s="135"/>
      <c r="AR45" s="135"/>
      <c r="AS45" s="298"/>
      <c r="AV45" s="222" t="n">
        <f aca="false">SUM(AV15:AV43)</f>
        <v>0.79</v>
      </c>
      <c r="AW45" s="215" t="n">
        <f aca="false">AVERAGE(AW15:AW43)</f>
        <v>41.551724137931</v>
      </c>
      <c r="AX45" s="215" t="n">
        <f aca="false">AVERAGE(AX15:AX43)</f>
        <v>19.5172413793103</v>
      </c>
      <c r="AY45" s="313" t="s">
        <v>119</v>
      </c>
      <c r="AZ45" s="314" t="n">
        <f aca="false">SUM(AZ15:AZ43)</f>
        <v>107.6</v>
      </c>
    </row>
    <row r="46" customFormat="false" ht="12.95" hidden="false" customHeight="true" outlineLevel="0" collapsed="false">
      <c r="A46" s="188" t="s">
        <v>103</v>
      </c>
      <c r="B46" s="220"/>
      <c r="C46" s="215"/>
      <c r="D46" s="215" t="n">
        <f aca="false">SUM(D15:D42)</f>
        <v>-112</v>
      </c>
      <c r="E46" s="215"/>
      <c r="F46" s="223" t="n">
        <f aca="false">F45*$D$2</f>
        <v>-38</v>
      </c>
      <c r="G46" s="215" t="n">
        <f aca="false">G45*$D$2</f>
        <v>1749.447</v>
      </c>
      <c r="H46" s="215" t="n">
        <f aca="false">H45*$D$2</f>
        <v>99.37335</v>
      </c>
      <c r="I46" s="215" t="n">
        <f aca="false">I45*$D$2</f>
        <v>1848.82035</v>
      </c>
      <c r="J46" s="215" t="n">
        <f aca="false">J45*$D$2</f>
        <v>1275.5046</v>
      </c>
      <c r="K46" s="215" t="n">
        <f aca="false">K45*$D$2</f>
        <v>3124.32495</v>
      </c>
      <c r="L46" s="215" t="n">
        <f aca="false">L45*$D$2</f>
        <v>1258.21725</v>
      </c>
      <c r="M46" s="315" t="n">
        <f aca="false">M45*$D$2</f>
        <v>213.4246</v>
      </c>
      <c r="N46" s="215" t="n">
        <f aca="false">N45*$D$2</f>
        <v>0</v>
      </c>
      <c r="O46" s="215" t="n">
        <f aca="false">O45*$D$2</f>
        <v>0</v>
      </c>
      <c r="P46" s="158"/>
      <c r="Q46" s="215" t="n">
        <f aca="false">Q45*$D$2</f>
        <v>89.215371442776</v>
      </c>
      <c r="R46" s="215" t="n">
        <f aca="false">R45*$D$2</f>
        <v>85.97881226584</v>
      </c>
      <c r="S46" s="215" t="n">
        <f aca="false">S45*$D$2</f>
        <v>0</v>
      </c>
      <c r="T46" s="215" t="n">
        <f aca="false">T45*$D$2</f>
        <v>28.50880773416</v>
      </c>
      <c r="U46" s="316" t="n">
        <f aca="false">U45*$D$2</f>
        <v>9.721608557224</v>
      </c>
      <c r="V46" s="215" t="n">
        <f aca="false">V45*$D$2</f>
        <v>1205.968</v>
      </c>
      <c r="W46" s="215" t="n">
        <f aca="false">W45*$D$2</f>
        <v>0</v>
      </c>
      <c r="X46" s="215" t="n">
        <f aca="false">X45*$D$2</f>
        <v>1205.968</v>
      </c>
      <c r="Y46" s="215" t="n">
        <f aca="false">Y45*$D$2</f>
        <v>1205.968</v>
      </c>
      <c r="Z46" s="215"/>
      <c r="AA46" s="215"/>
      <c r="AB46" s="215"/>
      <c r="AC46" s="136" t="n">
        <f aca="false">AC45*$D$2</f>
        <v>1098.0656</v>
      </c>
      <c r="AD46" s="215"/>
      <c r="AE46" s="215"/>
      <c r="AF46" s="248"/>
      <c r="AG46" s="249"/>
      <c r="AH46" s="215" t="n">
        <f aca="false">AH45*$D$2</f>
        <v>1725.645</v>
      </c>
      <c r="AI46" s="215"/>
      <c r="AJ46" s="215" t="n">
        <f aca="false">AJ45*$D$2</f>
        <v>0</v>
      </c>
      <c r="AK46" s="215" t="n">
        <f aca="false">AK45*$D$2</f>
        <v>3145.0376</v>
      </c>
      <c r="AL46" s="215" t="n">
        <f aca="false">AL45*$D$2</f>
        <v>17.28735</v>
      </c>
      <c r="AM46" s="223" t="n">
        <f aca="false">AM45*$D$2</f>
        <v>3162.32495</v>
      </c>
      <c r="AN46" s="215" t="n">
        <f aca="false">AN45*$D$2</f>
        <v>1205.968</v>
      </c>
      <c r="AO46" s="215" t="n">
        <f aca="false">AO45*$D$2</f>
        <v>0</v>
      </c>
      <c r="AP46" s="135"/>
      <c r="AQ46" s="135"/>
      <c r="AR46" s="135"/>
      <c r="AS46" s="298"/>
      <c r="AV46" s="222"/>
      <c r="AW46" s="215" t="n">
        <f aca="false">MAX(AW15:AW43)</f>
        <v>51</v>
      </c>
      <c r="AX46" s="215" t="n">
        <f aca="false">MAX(AX15:AX43)</f>
        <v>27</v>
      </c>
      <c r="AY46" s="223" t="s">
        <v>104</v>
      </c>
      <c r="AZ46" s="314" t="n">
        <f aca="false">AZ45*$D$2</f>
        <v>213.4246</v>
      </c>
    </row>
    <row r="47" customFormat="false" ht="3" hidden="false" customHeight="true" outlineLevel="0" collapsed="false">
      <c r="A47" s="310"/>
      <c r="B47" s="252"/>
      <c r="C47" s="233"/>
      <c r="D47" s="233"/>
      <c r="E47" s="233"/>
      <c r="F47" s="257"/>
      <c r="G47" s="233"/>
      <c r="H47" s="243"/>
      <c r="I47" s="233"/>
      <c r="J47" s="233"/>
      <c r="K47" s="233"/>
      <c r="L47" s="233"/>
      <c r="M47" s="258"/>
      <c r="N47" s="233"/>
      <c r="O47" s="233"/>
      <c r="P47" s="238"/>
      <c r="Q47" s="233"/>
      <c r="R47" s="233"/>
      <c r="S47" s="243"/>
      <c r="T47" s="243"/>
      <c r="U47" s="239"/>
      <c r="V47" s="233"/>
      <c r="W47" s="233"/>
      <c r="X47" s="233"/>
      <c r="Y47" s="233"/>
      <c r="Z47" s="233"/>
      <c r="AA47" s="233"/>
      <c r="AB47" s="233"/>
      <c r="AC47" s="240"/>
      <c r="AD47" s="233"/>
      <c r="AE47" s="233"/>
      <c r="AF47" s="258"/>
      <c r="AG47" s="259"/>
      <c r="AH47" s="233"/>
      <c r="AI47" s="234"/>
      <c r="AJ47" s="233"/>
      <c r="AK47" s="233"/>
      <c r="AL47" s="233"/>
      <c r="AM47" s="257"/>
      <c r="AN47" s="243"/>
      <c r="AO47" s="243"/>
      <c r="AP47" s="233"/>
      <c r="AQ47" s="233"/>
      <c r="AR47" s="233"/>
      <c r="AS47" s="243"/>
      <c r="AT47" s="305"/>
      <c r="AU47" s="305"/>
      <c r="AV47" s="261"/>
      <c r="AW47" s="233"/>
      <c r="AX47" s="233"/>
      <c r="AY47" s="254"/>
      <c r="AZ47" s="317"/>
    </row>
    <row r="48" customFormat="false" ht="12.95" hidden="false" customHeight="true" outlineLevel="0" collapsed="false">
      <c r="A48" s="188" t="s">
        <v>105</v>
      </c>
      <c r="B48" s="220"/>
      <c r="C48" s="215"/>
      <c r="D48" s="215"/>
      <c r="E48" s="215"/>
      <c r="F48" s="223"/>
      <c r="G48" s="215"/>
      <c r="H48" s="215"/>
      <c r="I48" s="215"/>
      <c r="J48" s="215"/>
      <c r="K48" s="215"/>
      <c r="L48" s="215"/>
      <c r="M48" s="315"/>
      <c r="N48" s="215"/>
      <c r="O48" s="215"/>
      <c r="P48" s="158"/>
      <c r="Q48" s="215"/>
      <c r="R48" s="215"/>
      <c r="S48" s="215"/>
      <c r="T48" s="215"/>
      <c r="U48" s="217"/>
      <c r="V48" s="215"/>
      <c r="W48" s="215"/>
      <c r="X48" s="215"/>
      <c r="Y48" s="215"/>
      <c r="Z48" s="215"/>
      <c r="AA48" s="215"/>
      <c r="AB48" s="215"/>
      <c r="AC48" s="136"/>
      <c r="AD48" s="215"/>
      <c r="AE48" s="215"/>
      <c r="AF48" s="248"/>
      <c r="AG48" s="249"/>
      <c r="AH48" s="215"/>
      <c r="AI48" s="215"/>
      <c r="AJ48" s="215"/>
      <c r="AK48" s="215"/>
      <c r="AL48" s="215"/>
      <c r="AM48" s="223"/>
      <c r="AN48" s="215"/>
      <c r="AO48" s="215"/>
      <c r="AP48" s="215"/>
      <c r="AQ48" s="215"/>
      <c r="AR48" s="215"/>
      <c r="AS48" s="318"/>
      <c r="AV48" s="220"/>
      <c r="AW48" s="215" t="n">
        <f aca="false">MIN(AW15:AW42)</f>
        <v>33</v>
      </c>
      <c r="AX48" s="215" t="n">
        <f aca="false">MIN(AX15:AX42)</f>
        <v>12</v>
      </c>
      <c r="AY48" s="223" t="s">
        <v>106</v>
      </c>
      <c r="AZ48" s="314"/>
    </row>
    <row r="49" customFormat="false" ht="12.95" hidden="false" customHeight="true" outlineLevel="0" collapsed="false">
      <c r="A49" s="188" t="s">
        <v>107</v>
      </c>
      <c r="B49" s="220"/>
      <c r="C49" s="215"/>
      <c r="D49" s="215"/>
      <c r="E49" s="215"/>
      <c r="F49" s="223"/>
      <c r="G49" s="215"/>
      <c r="H49" s="215"/>
      <c r="I49" s="215"/>
      <c r="J49" s="215"/>
      <c r="K49" s="215"/>
      <c r="L49" s="215"/>
      <c r="M49" s="315"/>
      <c r="N49" s="215"/>
      <c r="O49" s="215"/>
      <c r="P49" s="158"/>
      <c r="Q49" s="215"/>
      <c r="R49" s="215"/>
      <c r="S49" s="215"/>
      <c r="T49" s="215"/>
      <c r="U49" s="217"/>
      <c r="V49" s="215"/>
      <c r="W49" s="215"/>
      <c r="X49" s="215"/>
      <c r="Y49" s="215"/>
      <c r="Z49" s="215"/>
      <c r="AA49" s="215"/>
      <c r="AB49" s="215"/>
      <c r="AC49" s="136"/>
      <c r="AD49" s="215"/>
      <c r="AE49" s="215"/>
      <c r="AF49" s="248"/>
      <c r="AG49" s="249"/>
      <c r="AH49" s="215"/>
      <c r="AI49" s="215"/>
      <c r="AJ49" s="215"/>
      <c r="AK49" s="215"/>
      <c r="AL49" s="215"/>
      <c r="AM49" s="223"/>
      <c r="AN49" s="215"/>
      <c r="AO49" s="215"/>
      <c r="AP49" s="215"/>
      <c r="AQ49" s="215"/>
      <c r="AR49" s="215"/>
      <c r="AS49" s="318"/>
      <c r="AV49" s="220"/>
      <c r="AW49" s="215"/>
      <c r="AX49" s="215"/>
      <c r="AY49" s="299"/>
      <c r="AZ49" s="314"/>
    </row>
    <row r="50" customFormat="false" ht="3" hidden="false" customHeight="true" outlineLevel="0" collapsed="false">
      <c r="A50" s="310"/>
      <c r="B50" s="242"/>
      <c r="C50" s="243"/>
      <c r="D50" s="243"/>
      <c r="E50" s="243"/>
      <c r="F50" s="254"/>
      <c r="G50" s="243"/>
      <c r="H50" s="243"/>
      <c r="I50" s="243"/>
      <c r="J50" s="243"/>
      <c r="K50" s="243"/>
      <c r="L50" s="243"/>
      <c r="M50" s="319"/>
      <c r="N50" s="243"/>
      <c r="O50" s="243"/>
      <c r="P50" s="238"/>
      <c r="Q50" s="243"/>
      <c r="R50" s="243"/>
      <c r="S50" s="243"/>
      <c r="T50" s="243"/>
      <c r="U50" s="239"/>
      <c r="V50" s="243"/>
      <c r="W50" s="243"/>
      <c r="X50" s="243"/>
      <c r="Y50" s="243"/>
      <c r="Z50" s="243"/>
      <c r="AA50" s="243"/>
      <c r="AB50" s="243"/>
      <c r="AC50" s="240"/>
      <c r="AD50" s="243"/>
      <c r="AE50" s="243"/>
      <c r="AF50" s="319"/>
      <c r="AG50" s="283"/>
      <c r="AH50" s="243"/>
      <c r="AI50" s="243"/>
      <c r="AJ50" s="243"/>
      <c r="AK50" s="243"/>
      <c r="AL50" s="243"/>
      <c r="AM50" s="254"/>
      <c r="AN50" s="243"/>
      <c r="AO50" s="243"/>
      <c r="AP50" s="243"/>
      <c r="AQ50" s="243"/>
      <c r="AR50" s="243"/>
      <c r="AS50" s="243"/>
      <c r="AT50" s="305"/>
      <c r="AU50" s="305"/>
      <c r="AV50" s="242"/>
      <c r="AW50" s="243"/>
      <c r="AX50" s="243"/>
      <c r="AY50" s="306"/>
      <c r="AZ50" s="255"/>
    </row>
    <row r="51" customFormat="false" ht="12.95" hidden="false" customHeight="true" outlineLevel="0" collapsed="false">
      <c r="A51" s="188" t="s">
        <v>108</v>
      </c>
      <c r="B51" s="220"/>
      <c r="C51" s="215"/>
      <c r="D51" s="215"/>
      <c r="E51" s="215"/>
      <c r="F51" s="223" t="n">
        <f aca="false">F13+F45</f>
        <v>-2871.18729518528</v>
      </c>
      <c r="G51" s="215" t="n">
        <f aca="false">G13+G45</f>
        <v>5343</v>
      </c>
      <c r="H51" s="215" t="n">
        <f aca="false">H13+H45</f>
        <v>118.18</v>
      </c>
      <c r="I51" s="215" t="n">
        <f aca="false">I13+I45</f>
        <v>5460.56</v>
      </c>
      <c r="J51" s="215" t="n">
        <f aca="false">J13+J45</f>
        <v>1066.26608772372</v>
      </c>
      <c r="K51" s="215" t="n">
        <f aca="false">K13+K45</f>
        <v>6526.82608772372</v>
      </c>
      <c r="L51" s="215" t="n">
        <f aca="false">L13+L45</f>
        <v>486.452704814721</v>
      </c>
      <c r="M51" s="315" t="n">
        <f aca="false">M13+M45</f>
        <v>534.7</v>
      </c>
      <c r="N51" s="215" t="n">
        <f aca="false">N13+N45</f>
        <v>0</v>
      </c>
      <c r="O51" s="215" t="n">
        <f aca="false">O13+O45</f>
        <v>0</v>
      </c>
      <c r="P51" s="158"/>
      <c r="Q51" s="215" t="n">
        <f aca="false">Q13+Q45</f>
        <v>184.164829707076</v>
      </c>
      <c r="R51" s="215" t="n">
        <f aca="false">R13+R45</f>
        <v>191.90160496</v>
      </c>
      <c r="S51" s="215" t="n">
        <f aca="false">S13+S45</f>
        <v>0</v>
      </c>
      <c r="T51" s="215" t="n">
        <f aca="false">T13+T45</f>
        <v>61.13039504</v>
      </c>
      <c r="U51" s="316" t="n">
        <f aca="false">U13+U45</f>
        <v>8.39733680371187</v>
      </c>
      <c r="V51" s="215" t="n">
        <f aca="false">V13+V45</f>
        <v>4600</v>
      </c>
      <c r="W51" s="215" t="n">
        <f aca="false">W13+W45</f>
        <v>59.5</v>
      </c>
      <c r="X51" s="215" t="n">
        <f aca="false">X13+X45</f>
        <v>4748.60583348921</v>
      </c>
      <c r="Y51" s="215" t="n">
        <f aca="false">Y13+Y45</f>
        <v>4545.80876137068</v>
      </c>
      <c r="Z51" s="215"/>
      <c r="AA51" s="215"/>
      <c r="AB51" s="215"/>
      <c r="AC51" s="136" t="n">
        <f aca="false">AC13+AC45</f>
        <v>776.6</v>
      </c>
      <c r="AD51" s="215"/>
      <c r="AE51" s="215"/>
      <c r="AF51" s="248"/>
      <c r="AG51" s="249"/>
      <c r="AH51" s="215" t="n">
        <f aca="false">AH13+AH45</f>
        <v>3624</v>
      </c>
      <c r="AI51" s="215" t="n">
        <f aca="false">AI42</f>
        <v>1757</v>
      </c>
      <c r="AJ51" s="215" t="n">
        <f aca="false">AJ13+AJ45</f>
        <v>0</v>
      </c>
      <c r="AK51" s="215" t="n">
        <f aca="false">AK13+AK45</f>
        <v>8818.2</v>
      </c>
      <c r="AL51" s="215" t="n">
        <f aca="false">AL13+AL45</f>
        <v>579.813382908999</v>
      </c>
      <c r="AM51" s="223" t="n">
        <f aca="false">AM13+AM45</f>
        <v>9398.013382909</v>
      </c>
      <c r="AN51" s="215" t="n">
        <f aca="false">AN13+AN45</f>
        <v>4545.8</v>
      </c>
      <c r="AO51" s="215" t="n">
        <f aca="false">AO13+AO45</f>
        <v>202.797072118535</v>
      </c>
      <c r="AP51" s="215"/>
      <c r="AQ51" s="215"/>
      <c r="AR51" s="215"/>
      <c r="AS51" s="318"/>
      <c r="AV51" s="320" t="n">
        <f aca="false">AV13+AV45</f>
        <v>2.25</v>
      </c>
      <c r="AW51" s="215"/>
      <c r="AX51" s="215"/>
      <c r="AY51" s="299"/>
      <c r="AZ51" s="314" t="n">
        <f aca="false">AZ13+AZ45</f>
        <v>445.594166510788</v>
      </c>
    </row>
    <row r="52" customFormat="false" ht="12.95" hidden="false" customHeight="true" outlineLevel="0" collapsed="false">
      <c r="A52" s="188" t="s">
        <v>109</v>
      </c>
      <c r="B52" s="220"/>
      <c r="C52" s="215"/>
      <c r="D52" s="215" t="n">
        <f aca="false">D13+D46</f>
        <v>-5769</v>
      </c>
      <c r="E52" s="107" t="n">
        <f aca="false">E42</f>
        <v>135842</v>
      </c>
      <c r="F52" s="223" t="n">
        <f aca="false">F51*$D$2</f>
        <v>-5695</v>
      </c>
      <c r="G52" s="215" t="n">
        <f aca="false">G51*$D$2</f>
        <v>10597.8405</v>
      </c>
      <c r="H52" s="215" t="n">
        <f aca="false">H51*$D$2</f>
        <v>234.41003</v>
      </c>
      <c r="I52" s="215" t="n">
        <f aca="false">I51*$D$2</f>
        <v>10831.02076</v>
      </c>
      <c r="J52" s="215" t="n">
        <f aca="false">J51*$D$2</f>
        <v>2114.938785</v>
      </c>
      <c r="K52" s="215" t="n">
        <f aca="false">K51*$D$2</f>
        <v>12945.959545</v>
      </c>
      <c r="L52" s="215" t="n">
        <f aca="false">L51*$D$2</f>
        <v>964.87894</v>
      </c>
      <c r="M52" s="315" t="n">
        <f aca="false">M51*$D$2</f>
        <v>1060.57745</v>
      </c>
      <c r="N52" s="215" t="n">
        <f aca="false">N51*$D$2</f>
        <v>0</v>
      </c>
      <c r="O52" s="215" t="n">
        <f aca="false">O51*$D$2</f>
        <v>0</v>
      </c>
      <c r="P52" s="158"/>
      <c r="Q52" s="215" t="n">
        <f aca="false">Q51*$D$2</f>
        <v>365.290939723984</v>
      </c>
      <c r="R52" s="215" t="n">
        <f aca="false">R51*$D$2</f>
        <v>380.63683343816</v>
      </c>
      <c r="S52" s="215" t="n">
        <f aca="false">S51*$D$2</f>
        <v>0</v>
      </c>
      <c r="T52" s="215" t="n">
        <f aca="false">T51*$D$2</f>
        <v>121.25213856184</v>
      </c>
      <c r="U52" s="316" t="n">
        <f aca="false">U51*$D$2</f>
        <v>16.6561175501625</v>
      </c>
      <c r="V52" s="215" t="n">
        <f aca="false">V51*$D$2</f>
        <v>9124.1</v>
      </c>
      <c r="W52" s="215" t="n">
        <f aca="false">W51*$D$2</f>
        <v>118.01825</v>
      </c>
      <c r="X52" s="215" t="n">
        <f aca="false">X51*$D$2</f>
        <v>9418.85967072585</v>
      </c>
      <c r="Y52" s="215" t="n">
        <f aca="false">Y51*$D$2</f>
        <v>9016.61167817874</v>
      </c>
      <c r="Z52" s="215"/>
      <c r="AA52" s="215"/>
      <c r="AB52" s="215"/>
      <c r="AC52" s="136" t="n">
        <f aca="false">AC51*$D$2</f>
        <v>1540.3861</v>
      </c>
      <c r="AD52" s="215"/>
      <c r="AE52" s="215"/>
      <c r="AF52" s="248"/>
      <c r="AG52" s="249"/>
      <c r="AH52" s="215" t="n">
        <f aca="false">AH51*$D$2</f>
        <v>7188.204</v>
      </c>
      <c r="AI52" s="215" t="n">
        <f aca="false">AI51*$D$2</f>
        <v>3485.0095</v>
      </c>
      <c r="AJ52" s="215" t="n">
        <f aca="false">AJ51*$D$2</f>
        <v>0</v>
      </c>
      <c r="AK52" s="215" t="n">
        <f aca="false">AK51*$D$2</f>
        <v>17490.8997</v>
      </c>
      <c r="AL52" s="215" t="n">
        <f aca="false">AL51*$D$2</f>
        <v>1150.059845</v>
      </c>
      <c r="AM52" s="321" t="n">
        <f aca="false">AM51*$D$2</f>
        <v>18640.959545</v>
      </c>
      <c r="AN52" s="215" t="n">
        <f aca="false">AN51*$D$2</f>
        <v>9016.5943</v>
      </c>
      <c r="AO52" s="215" t="n">
        <f aca="false">AO51*$D$2</f>
        <v>402.247992547115</v>
      </c>
      <c r="AP52" s="215"/>
      <c r="AQ52" s="215"/>
      <c r="AR52" s="215"/>
      <c r="AS52" s="318"/>
      <c r="AT52" s="322"/>
      <c r="AV52" s="220"/>
      <c r="AW52" s="215"/>
      <c r="AX52" s="215"/>
      <c r="AY52" s="299"/>
      <c r="AZ52" s="314" t="n">
        <f aca="false">AZ51*$D$2</f>
        <v>883.836029274147</v>
      </c>
    </row>
    <row r="53" customFormat="false" ht="3" hidden="false" customHeight="true" outlineLevel="0" collapsed="false">
      <c r="A53" s="231"/>
      <c r="B53" s="252"/>
      <c r="C53" s="233"/>
      <c r="D53" s="234"/>
      <c r="E53" s="233"/>
      <c r="F53" s="235"/>
      <c r="G53" s="234"/>
      <c r="H53" s="303"/>
      <c r="I53" s="234"/>
      <c r="J53" s="234"/>
      <c r="K53" s="234"/>
      <c r="L53" s="234"/>
      <c r="M53" s="237"/>
      <c r="N53" s="234"/>
      <c r="O53" s="234"/>
      <c r="P53" s="238"/>
      <c r="Q53" s="234"/>
      <c r="R53" s="234"/>
      <c r="S53" s="238"/>
      <c r="T53" s="238"/>
      <c r="U53" s="239"/>
      <c r="V53" s="234"/>
      <c r="W53" s="234"/>
      <c r="X53" s="234"/>
      <c r="Y53" s="234"/>
      <c r="Z53" s="234"/>
      <c r="AA53" s="234"/>
      <c r="AB53" s="233"/>
      <c r="AC53" s="240"/>
      <c r="AD53" s="233"/>
      <c r="AE53" s="234"/>
      <c r="AF53" s="237"/>
      <c r="AG53" s="241"/>
      <c r="AH53" s="234"/>
      <c r="AI53" s="233"/>
      <c r="AJ53" s="304"/>
      <c r="AK53" s="234"/>
      <c r="AL53" s="234"/>
      <c r="AM53" s="234"/>
      <c r="AN53" s="242"/>
      <c r="AO53" s="243"/>
      <c r="AP53" s="234"/>
      <c r="AQ53" s="234"/>
      <c r="AR53" s="234"/>
      <c r="AS53" s="243"/>
      <c r="AT53" s="305"/>
      <c r="AU53" s="305"/>
      <c r="AV53" s="252"/>
      <c r="AW53" s="234"/>
      <c r="AX53" s="234"/>
      <c r="AY53" s="306"/>
      <c r="AZ53" s="307"/>
    </row>
    <row r="54" customFormat="false" ht="11.1" hidden="false" customHeight="true" outlineLevel="0" collapsed="false">
      <c r="A54" s="185"/>
      <c r="B54" s="271"/>
      <c r="D54" s="185"/>
      <c r="F54" s="185"/>
      <c r="G54" s="185"/>
      <c r="I54" s="185"/>
      <c r="J54" s="185"/>
      <c r="K54" s="185"/>
      <c r="L54" s="185"/>
      <c r="M54" s="185"/>
      <c r="N54" s="185"/>
      <c r="O54" s="185"/>
      <c r="Q54" s="185"/>
      <c r="R54" s="185"/>
      <c r="V54" s="185"/>
      <c r="W54" s="185"/>
      <c r="X54" s="185"/>
      <c r="Y54" s="185"/>
      <c r="Z54" s="185"/>
      <c r="AA54" s="185"/>
      <c r="AB54" s="177"/>
      <c r="AD54" s="177"/>
      <c r="AE54" s="185"/>
      <c r="AF54" s="185"/>
      <c r="AG54" s="185"/>
      <c r="AH54" s="185"/>
      <c r="AI54" s="177"/>
      <c r="AJ54" s="225"/>
      <c r="AK54" s="185"/>
      <c r="AL54" s="185"/>
      <c r="AM54" s="185"/>
      <c r="AP54" s="188"/>
      <c r="AQ54" s="323"/>
      <c r="AR54" s="323"/>
    </row>
    <row r="55" customFormat="false" ht="11.1" hidden="false" customHeight="true" outlineLevel="0" collapsed="false">
      <c r="A55" s="185"/>
      <c r="B55" s="272"/>
      <c r="F55" s="185"/>
      <c r="G55" s="185"/>
      <c r="H55" s="324"/>
      <c r="I55" s="177"/>
      <c r="J55" s="185"/>
      <c r="K55" s="174"/>
      <c r="L55" s="185"/>
      <c r="M55" s="185"/>
      <c r="N55" s="185"/>
      <c r="O55" s="185"/>
      <c r="Q55" s="185"/>
      <c r="R55" s="185"/>
      <c r="V55" s="185"/>
      <c r="W55" s="185"/>
      <c r="X55" s="185"/>
      <c r="Y55" s="185"/>
      <c r="Z55" s="185"/>
      <c r="AA55" s="185"/>
      <c r="AB55" s="177"/>
      <c r="AD55" s="177"/>
      <c r="AE55" s="185"/>
      <c r="AF55" s="185"/>
      <c r="AG55" s="185"/>
      <c r="AH55" s="185"/>
      <c r="AI55" s="177"/>
      <c r="AJ55" s="225"/>
      <c r="AK55" s="185"/>
      <c r="AL55" s="185"/>
      <c r="AM55" s="185"/>
      <c r="AN55" s="183"/>
      <c r="AO55" s="183"/>
      <c r="AP55" s="188"/>
      <c r="AQ55" s="323"/>
      <c r="AR55" s="323"/>
      <c r="AX55" s="182"/>
    </row>
    <row r="56" customFormat="false" ht="11.1" hidden="false" customHeight="true" outlineLevel="0" collapsed="false">
      <c r="D56" s="177"/>
      <c r="I56" s="177"/>
      <c r="X56" s="176"/>
      <c r="Y56" s="176"/>
      <c r="Z56" s="176"/>
      <c r="AA56" s="176"/>
      <c r="AB56" s="177"/>
      <c r="AD56" s="177"/>
      <c r="AH56" s="176"/>
      <c r="AI56" s="177"/>
      <c r="AJ56" s="225"/>
      <c r="AM56" s="176"/>
      <c r="AN56" s="183"/>
      <c r="AO56" s="183"/>
      <c r="AP56" s="180"/>
      <c r="AQ56" s="210"/>
      <c r="AR56" s="210"/>
      <c r="AX56" s="182"/>
    </row>
    <row r="57" customFormat="false" ht="11.1" hidden="false" customHeight="true" outlineLevel="0" collapsed="false">
      <c r="B57" s="8"/>
      <c r="D57" s="177"/>
      <c r="I57" s="177"/>
      <c r="X57" s="176"/>
      <c r="Y57" s="176"/>
      <c r="Z57" s="176"/>
      <c r="AA57" s="176"/>
      <c r="AB57" s="177"/>
      <c r="AD57" s="177"/>
      <c r="AH57" s="176"/>
      <c r="AI57" s="177"/>
      <c r="AJ57" s="225"/>
      <c r="AM57" s="176"/>
      <c r="AN57" s="183"/>
      <c r="AO57" s="183"/>
      <c r="AP57" s="180"/>
      <c r="AQ57" s="210"/>
      <c r="AR57" s="210"/>
      <c r="AX57" s="182"/>
    </row>
    <row r="58" customFormat="false" ht="11.1" hidden="false" customHeight="true" outlineLevel="0" collapsed="false">
      <c r="G58" s="273"/>
      <c r="X58" s="176"/>
      <c r="Y58" s="176"/>
      <c r="Z58" s="176"/>
      <c r="AA58" s="176"/>
      <c r="AB58" s="177"/>
      <c r="AD58" s="177"/>
      <c r="AH58" s="176"/>
      <c r="AI58" s="177"/>
      <c r="AJ58" s="225"/>
      <c r="AM58" s="176"/>
      <c r="AN58" s="183"/>
      <c r="AO58" s="183"/>
      <c r="AP58" s="180"/>
      <c r="AQ58" s="210"/>
      <c r="AR58" s="210"/>
      <c r="AX58" s="182"/>
    </row>
    <row r="59" customFormat="false" ht="11.1" hidden="false" customHeight="true" outlineLevel="0" collapsed="false">
      <c r="X59" s="176"/>
      <c r="Y59" s="176"/>
      <c r="Z59" s="176"/>
      <c r="AA59" s="176"/>
      <c r="AB59" s="177"/>
      <c r="AD59" s="177"/>
      <c r="AH59" s="176"/>
      <c r="AI59" s="177"/>
      <c r="AJ59" s="225"/>
      <c r="AM59" s="176"/>
      <c r="AN59" s="183"/>
      <c r="AO59" s="183"/>
      <c r="AX59" s="182"/>
    </row>
  </sheetData>
  <mergeCells count="1">
    <mergeCell ref="M5:U5"/>
  </mergeCells>
  <printOptions headings="true" gridLines="true" gridLinesSet="true" horizontalCentered="false" verticalCentered="true"/>
  <pageMargins left="0.25" right="0.25" top="0.5" bottom="0" header="0.5" footer="0.511811023622047"/>
  <pageSetup paperSize="3" scale="90" fitToWidth="1" fitToHeight="1" pageOrder="downThenOver" orientation="landscape" blackAndWhite="false" draft="false" cellComments="atEnd" horizontalDpi="300" verticalDpi="300" copies="1"/>
  <headerFooter differentFirst="false" differentOddEven="false">
    <oddHeader>&amp;C2012 Approved</oddHeader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O15" activePane="bottomRight" state="frozen"/>
      <selection pane="topLeft" activeCell="A1" activeCellId="0" sqref="A1"/>
      <selection pane="topRight" activeCell="O1" activeCellId="0" sqref="O1"/>
      <selection pane="bottomLeft" activeCell="A15" activeCellId="0" sqref="A15"/>
      <selection pane="bottomRight" activeCell="AC15" activeCellId="0" sqref="AC15"/>
    </sheetView>
  </sheetViews>
  <sheetFormatPr defaultColWidth="9.328125" defaultRowHeight="11.1" zeroHeight="false" outlineLevelRow="0" outlineLevelCol="0"/>
  <cols>
    <col collapsed="false" customWidth="true" hidden="false" outlineLevel="0" max="1" min="1" style="176" width="4.66"/>
    <col collapsed="false" customWidth="true" hidden="false" outlineLevel="0" max="2" min="2" style="176" width="6.99"/>
    <col collapsed="false" customWidth="true" hidden="false" outlineLevel="0" max="3" min="3" style="177" width="6.32"/>
    <col collapsed="false" customWidth="true" hidden="false" outlineLevel="0" max="4" min="4" style="176" width="6.32"/>
    <col collapsed="false" customWidth="true" hidden="false" outlineLevel="0" max="5" min="5" style="177" width="6.99"/>
    <col collapsed="false" customWidth="true" hidden="false" outlineLevel="0" max="6" min="6" style="176" width="7.32"/>
    <col collapsed="false" customWidth="true" hidden="false" outlineLevel="0" max="7" min="7" style="176" width="6.82"/>
    <col collapsed="false" customWidth="true" hidden="false" outlineLevel="0" max="8" min="8" style="178" width="5.66"/>
    <col collapsed="false" customWidth="true" hidden="false" outlineLevel="0" max="11" min="9" style="176" width="6.32"/>
    <col collapsed="false" customWidth="true" hidden="false" outlineLevel="0" max="12" min="12" style="176" width="6.82"/>
    <col collapsed="false" customWidth="true" hidden="false" outlineLevel="0" max="13" min="13" style="179" width="5.49"/>
    <col collapsed="false" customWidth="true" hidden="false" outlineLevel="0" max="14" min="14" style="179" width="4.49"/>
    <col collapsed="false" customWidth="true" hidden="false" outlineLevel="0" max="15" min="15" style="179" width="5.49"/>
    <col collapsed="false" customWidth="true" hidden="false" outlineLevel="0" max="16" min="16" style="8" width="4.82"/>
    <col collapsed="false" customWidth="true" hidden="false" outlineLevel="0" max="18" min="17" style="179" width="4.32"/>
    <col collapsed="false" customWidth="true" hidden="false" outlineLevel="0" max="20" min="19" style="176" width="4.32"/>
    <col collapsed="false" customWidth="true" hidden="false" outlineLevel="0" max="21" min="21" style="193" width="5.16"/>
    <col collapsed="false" customWidth="true" hidden="false" outlineLevel="0" max="23" min="22" style="176" width="5.49"/>
    <col collapsed="false" customWidth="true" hidden="false" outlineLevel="0" max="27" min="24" style="177" width="6.32"/>
    <col collapsed="false" customWidth="true" hidden="false" outlineLevel="0" max="28" min="28" style="176" width="5.49"/>
    <col collapsed="false" customWidth="true" hidden="false" outlineLevel="0" max="29" min="29" style="179" width="5.82"/>
    <col collapsed="false" customWidth="true" hidden="false" outlineLevel="0" max="33" min="30" style="176" width="5.49"/>
    <col collapsed="false" customWidth="true" hidden="false" outlineLevel="0" max="34" min="34" style="177" width="6.32"/>
    <col collapsed="false" customWidth="true" hidden="false" outlineLevel="0" max="35" min="35" style="176" width="5.49"/>
    <col collapsed="false" customWidth="true" hidden="false" outlineLevel="0" max="36" min="36" style="325" width="6.32"/>
    <col collapsed="false" customWidth="true" hidden="false" outlineLevel="0" max="37" min="37" style="176" width="6.32"/>
    <col collapsed="false" customWidth="true" hidden="false" outlineLevel="0" max="38" min="38" style="176" width="6.82"/>
    <col collapsed="false" customWidth="true" hidden="false" outlineLevel="0" max="39" min="39" style="8" width="6.82"/>
    <col collapsed="false" customWidth="true" hidden="false" outlineLevel="0" max="40" min="40" style="182" width="5.49"/>
    <col collapsed="false" customWidth="true" hidden="false" outlineLevel="0" max="41" min="41" style="179" width="5.49"/>
    <col collapsed="false" customWidth="true" hidden="false" outlineLevel="0" max="43" min="42" style="176" width="6.32"/>
    <col collapsed="false" customWidth="true" hidden="false" outlineLevel="0" max="44" min="44" style="176" width="5.49"/>
    <col collapsed="false" customWidth="true" hidden="false" outlineLevel="0" max="45" min="45" style="176" width="5.32"/>
    <col collapsed="false" customWidth="true" hidden="false" outlineLevel="0" max="46" min="46" style="286" width="5.82"/>
    <col collapsed="false" customWidth="true" hidden="false" outlineLevel="0" max="47" min="47" style="180" width="4.99"/>
    <col collapsed="false" customWidth="true" hidden="false" outlineLevel="0" max="48" min="48" style="178" width="5.32"/>
    <col collapsed="false" customWidth="true" hidden="false" outlineLevel="0" max="49" min="49" style="182" width="3.82"/>
    <col collapsed="false" customWidth="true" hidden="false" outlineLevel="0" max="50" min="50" style="183" width="3.82"/>
    <col collapsed="false" customWidth="true" hidden="false" outlineLevel="0" max="51" min="51" style="184" width="3.82"/>
    <col collapsed="false" customWidth="true" hidden="false" outlineLevel="0" max="52" min="52" style="184" width="5.49"/>
    <col collapsed="false" customWidth="false" hidden="false" outlineLevel="0" max="257" min="53" style="184" width="9.32"/>
  </cols>
  <sheetData>
    <row r="1" customFormat="false" ht="14.1" hidden="false" customHeight="true" outlineLevel="0" collapsed="false">
      <c r="A1" s="185"/>
      <c r="B1" s="185"/>
      <c r="D1" s="185"/>
      <c r="F1" s="185"/>
      <c r="G1" s="185"/>
      <c r="I1" s="185"/>
      <c r="J1" s="185"/>
      <c r="K1" s="187" t="s">
        <v>0</v>
      </c>
      <c r="L1" s="185"/>
      <c r="M1" s="185"/>
      <c r="N1" s="185"/>
      <c r="O1" s="185"/>
      <c r="Q1" s="185"/>
      <c r="R1" s="185"/>
      <c r="S1" s="185"/>
      <c r="T1" s="185"/>
      <c r="V1" s="185"/>
      <c r="W1" s="185"/>
      <c r="AB1" s="185"/>
      <c r="AD1" s="185"/>
      <c r="AE1" s="185"/>
      <c r="AF1" s="185"/>
      <c r="AG1" s="185"/>
      <c r="AI1" s="185"/>
      <c r="AK1" s="185"/>
      <c r="AL1" s="185"/>
      <c r="AN1" s="288"/>
      <c r="AO1" s="325"/>
      <c r="AP1" s="188"/>
    </row>
    <row r="2" customFormat="false" ht="14.1" hidden="false" customHeight="true" outlineLevel="0" collapsed="false">
      <c r="A2" s="188" t="s">
        <v>1</v>
      </c>
      <c r="B2" s="185"/>
      <c r="D2" s="189" t="n">
        <v>1.9835</v>
      </c>
      <c r="F2" s="185"/>
      <c r="G2" s="185"/>
      <c r="I2" s="185"/>
      <c r="J2" s="185"/>
      <c r="K2" s="191" t="s">
        <v>120</v>
      </c>
      <c r="L2" s="191"/>
      <c r="M2" s="191"/>
      <c r="N2" s="191"/>
      <c r="O2" s="191"/>
      <c r="P2" s="191"/>
      <c r="Q2" s="191"/>
      <c r="R2" s="191"/>
      <c r="S2" s="191"/>
      <c r="T2" s="191"/>
      <c r="V2" s="192"/>
      <c r="W2" s="192"/>
      <c r="X2" s="84"/>
      <c r="Y2" s="84"/>
      <c r="Z2" s="84"/>
      <c r="AA2" s="84"/>
      <c r="AB2" s="192"/>
      <c r="AC2" s="194"/>
      <c r="AD2" s="192"/>
      <c r="AE2" s="185"/>
      <c r="AF2" s="185"/>
      <c r="AG2" s="185"/>
      <c r="AI2" s="185"/>
      <c r="AK2" s="185"/>
      <c r="AL2" s="185"/>
      <c r="AN2" s="288"/>
      <c r="AO2" s="325"/>
      <c r="AP2" s="188"/>
    </row>
    <row r="3" customFormat="false" ht="14.1" hidden="false" customHeight="true" outlineLevel="0" collapsed="false">
      <c r="A3" s="195"/>
      <c r="B3" s="195"/>
      <c r="C3" s="196"/>
      <c r="D3" s="197"/>
      <c r="E3" s="196"/>
      <c r="F3" s="195"/>
      <c r="G3" s="195"/>
      <c r="H3" s="204"/>
      <c r="I3" s="195"/>
      <c r="J3" s="195"/>
      <c r="K3" s="195"/>
      <c r="L3" s="195"/>
      <c r="M3" s="195"/>
      <c r="N3" s="195"/>
      <c r="O3" s="195"/>
      <c r="P3" s="199"/>
      <c r="Q3" s="195"/>
      <c r="R3" s="195"/>
      <c r="S3" s="195"/>
      <c r="T3" s="195"/>
      <c r="U3" s="326"/>
      <c r="V3" s="195"/>
      <c r="W3" s="195"/>
      <c r="X3" s="196"/>
      <c r="Y3" s="196"/>
      <c r="Z3" s="196"/>
      <c r="AA3" s="196"/>
      <c r="AB3" s="195"/>
      <c r="AC3" s="200"/>
      <c r="AD3" s="195"/>
      <c r="AE3" s="195"/>
      <c r="AF3" s="195"/>
      <c r="AG3" s="195"/>
      <c r="AH3" s="196"/>
      <c r="AI3" s="195"/>
      <c r="AJ3" s="327"/>
      <c r="AK3" s="195"/>
      <c r="AL3" s="195"/>
      <c r="AM3" s="199"/>
      <c r="AN3" s="291"/>
      <c r="AO3" s="327"/>
      <c r="AP3" s="201"/>
      <c r="AQ3" s="202"/>
      <c r="AV3" s="204"/>
      <c r="AW3" s="205"/>
      <c r="AX3" s="206"/>
    </row>
    <row r="4" s="1" customFormat="true" ht="14.1" hidden="false" customHeight="true" outlineLevel="0" collapsed="false">
      <c r="A4" s="31"/>
      <c r="B4" s="32"/>
      <c r="C4" s="33"/>
      <c r="D4" s="34" t="s">
        <v>3</v>
      </c>
      <c r="E4" s="33"/>
      <c r="F4" s="31"/>
      <c r="G4" s="35"/>
      <c r="H4" s="35"/>
      <c r="I4" s="36" t="s">
        <v>111</v>
      </c>
      <c r="J4" s="35"/>
      <c r="K4" s="35"/>
      <c r="L4" s="37"/>
      <c r="M4" s="35"/>
      <c r="N4" s="35"/>
      <c r="O4" s="35"/>
      <c r="P4" s="38"/>
      <c r="Q4" s="35"/>
      <c r="R4" s="35"/>
      <c r="S4" s="35"/>
      <c r="T4" s="35"/>
      <c r="U4" s="38"/>
      <c r="V4" s="35"/>
      <c r="W4" s="35"/>
      <c r="X4" s="39" t="s">
        <v>117</v>
      </c>
      <c r="Y4" s="39"/>
      <c r="Z4" s="39"/>
      <c r="AA4" s="39"/>
      <c r="AB4" s="40"/>
      <c r="AC4" s="41"/>
      <c r="AD4" s="41"/>
      <c r="AE4" s="35"/>
      <c r="AF4" s="35"/>
      <c r="AG4" s="35"/>
      <c r="AH4" s="33"/>
      <c r="AI4" s="35"/>
      <c r="AJ4" s="42"/>
      <c r="AK4" s="35"/>
      <c r="AL4" s="35"/>
      <c r="AM4" s="38"/>
      <c r="AN4" s="43"/>
      <c r="AO4" s="44"/>
      <c r="AP4" s="45" t="s">
        <v>6</v>
      </c>
      <c r="AQ4" s="46"/>
      <c r="AR4" s="47"/>
      <c r="AS4" s="48"/>
      <c r="AT4" s="49"/>
      <c r="AU4" s="49"/>
      <c r="AV4" s="51"/>
      <c r="AW4" s="52" t="s">
        <v>7</v>
      </c>
      <c r="AX4" s="53"/>
      <c r="AY4" s="293"/>
      <c r="AZ4" s="328"/>
    </row>
    <row r="5" customFormat="false" ht="12.95" hidden="false" customHeight="true" outlineLevel="0" collapsed="false">
      <c r="A5" s="55" t="s">
        <v>8</v>
      </c>
      <c r="B5" s="56" t="s">
        <v>9</v>
      </c>
      <c r="C5" s="57" t="s">
        <v>9</v>
      </c>
      <c r="D5" s="58" t="s">
        <v>10</v>
      </c>
      <c r="E5" s="57" t="s">
        <v>11</v>
      </c>
      <c r="F5" s="59" t="s">
        <v>12</v>
      </c>
      <c r="G5" s="55" t="s">
        <v>13</v>
      </c>
      <c r="H5" s="55" t="s">
        <v>14</v>
      </c>
      <c r="I5" s="55" t="s">
        <v>15</v>
      </c>
      <c r="J5" s="55" t="s">
        <v>16</v>
      </c>
      <c r="K5" s="55" t="s">
        <v>17</v>
      </c>
      <c r="L5" s="77" t="s">
        <v>16</v>
      </c>
      <c r="M5" s="209" t="s">
        <v>18</v>
      </c>
      <c r="N5" s="209"/>
      <c r="O5" s="209"/>
      <c r="P5" s="209"/>
      <c r="Q5" s="209"/>
      <c r="R5" s="209"/>
      <c r="S5" s="209"/>
      <c r="T5" s="209"/>
      <c r="U5" s="209"/>
      <c r="V5" s="55" t="s">
        <v>19</v>
      </c>
      <c r="W5" s="55" t="s">
        <v>20</v>
      </c>
      <c r="X5" s="55" t="s">
        <v>17</v>
      </c>
      <c r="Y5" s="55" t="s">
        <v>17</v>
      </c>
      <c r="Z5" s="61" t="s">
        <v>21</v>
      </c>
      <c r="AA5" s="55" t="s">
        <v>21</v>
      </c>
      <c r="AB5" s="61" t="s">
        <v>21</v>
      </c>
      <c r="AC5" s="62" t="s">
        <v>22</v>
      </c>
      <c r="AD5" s="62" t="s">
        <v>21</v>
      </c>
      <c r="AE5" s="55" t="s">
        <v>23</v>
      </c>
      <c r="AF5" s="63" t="s">
        <v>24</v>
      </c>
      <c r="AG5" s="64"/>
      <c r="AH5" s="55" t="s">
        <v>25</v>
      </c>
      <c r="AI5" s="65" t="s">
        <v>26</v>
      </c>
      <c r="AJ5" s="65" t="s">
        <v>27</v>
      </c>
      <c r="AK5" s="55" t="s">
        <v>15</v>
      </c>
      <c r="AL5" s="55" t="s">
        <v>16</v>
      </c>
      <c r="AM5" s="58" t="s">
        <v>17</v>
      </c>
      <c r="AN5" s="66" t="s">
        <v>28</v>
      </c>
      <c r="AO5" s="62" t="s">
        <v>21</v>
      </c>
      <c r="AP5" s="61" t="s">
        <v>29</v>
      </c>
      <c r="AQ5" s="67" t="s">
        <v>29</v>
      </c>
      <c r="AR5" s="62" t="s">
        <v>30</v>
      </c>
      <c r="AS5" s="68" t="s">
        <v>31</v>
      </c>
      <c r="AT5" s="68" t="s">
        <v>32</v>
      </c>
      <c r="AU5" s="210" t="s">
        <v>33</v>
      </c>
      <c r="AV5" s="70" t="s">
        <v>34</v>
      </c>
      <c r="AW5" s="71" t="s">
        <v>35</v>
      </c>
      <c r="AX5" s="71" t="s">
        <v>36</v>
      </c>
      <c r="AY5" s="294"/>
      <c r="AZ5" s="295" t="s">
        <v>17</v>
      </c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</row>
    <row r="6" customFormat="false" ht="12.95" hidden="false" customHeight="true" outlineLevel="0" collapsed="false">
      <c r="A6" s="73" t="s">
        <v>121</v>
      </c>
      <c r="B6" s="56" t="s">
        <v>38</v>
      </c>
      <c r="C6" s="57"/>
      <c r="D6" s="58" t="s">
        <v>39</v>
      </c>
      <c r="E6" s="57" t="s">
        <v>40</v>
      </c>
      <c r="F6" s="59" t="s">
        <v>41</v>
      </c>
      <c r="G6" s="55" t="s">
        <v>42</v>
      </c>
      <c r="H6" s="55" t="s">
        <v>43</v>
      </c>
      <c r="I6" s="55" t="s">
        <v>44</v>
      </c>
      <c r="J6" s="55" t="s">
        <v>44</v>
      </c>
      <c r="K6" s="55" t="s">
        <v>44</v>
      </c>
      <c r="L6" s="77" t="s">
        <v>45</v>
      </c>
      <c r="M6" s="58" t="s">
        <v>46</v>
      </c>
      <c r="N6" s="58" t="s">
        <v>47</v>
      </c>
      <c r="O6" s="58" t="s">
        <v>48</v>
      </c>
      <c r="P6" s="75" t="s">
        <v>49</v>
      </c>
      <c r="Q6" s="58" t="s">
        <v>50</v>
      </c>
      <c r="R6" s="58" t="s">
        <v>51</v>
      </c>
      <c r="S6" s="58"/>
      <c r="T6" s="58" t="s">
        <v>48</v>
      </c>
      <c r="U6" s="76" t="s">
        <v>52</v>
      </c>
      <c r="V6" s="55" t="s">
        <v>53</v>
      </c>
      <c r="W6" s="55" t="s">
        <v>54</v>
      </c>
      <c r="X6" s="55" t="s">
        <v>21</v>
      </c>
      <c r="Y6" s="55" t="s">
        <v>21</v>
      </c>
      <c r="Z6" s="61" t="s">
        <v>55</v>
      </c>
      <c r="AA6" s="55" t="s">
        <v>55</v>
      </c>
      <c r="AB6" s="61" t="s">
        <v>56</v>
      </c>
      <c r="AC6" s="62" t="s">
        <v>57</v>
      </c>
      <c r="AD6" s="62" t="s">
        <v>58</v>
      </c>
      <c r="AE6" s="55" t="s">
        <v>59</v>
      </c>
      <c r="AF6" s="74" t="s">
        <v>60</v>
      </c>
      <c r="AG6" s="77" t="s">
        <v>61</v>
      </c>
      <c r="AH6" s="55" t="s">
        <v>62</v>
      </c>
      <c r="AI6" s="65" t="s">
        <v>63</v>
      </c>
      <c r="AJ6" s="65"/>
      <c r="AK6" s="55" t="s">
        <v>64</v>
      </c>
      <c r="AL6" s="55" t="s">
        <v>64</v>
      </c>
      <c r="AM6" s="58" t="s">
        <v>64</v>
      </c>
      <c r="AN6" s="66" t="s">
        <v>65</v>
      </c>
      <c r="AO6" s="62" t="s">
        <v>66</v>
      </c>
      <c r="AP6" s="61" t="s">
        <v>67</v>
      </c>
      <c r="AQ6" s="67" t="s">
        <v>67</v>
      </c>
      <c r="AR6" s="62" t="s">
        <v>68</v>
      </c>
      <c r="AS6" s="68" t="s">
        <v>69</v>
      </c>
      <c r="AT6" s="68" t="s">
        <v>70</v>
      </c>
      <c r="AU6" s="210" t="s">
        <v>71</v>
      </c>
      <c r="AV6" s="78"/>
      <c r="AW6" s="71" t="s">
        <v>72</v>
      </c>
      <c r="AX6" s="71" t="s">
        <v>72</v>
      </c>
      <c r="AY6" s="294"/>
      <c r="AZ6" s="295" t="s">
        <v>73</v>
      </c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</row>
    <row r="7" customFormat="false" ht="12.95" hidden="false" customHeight="true" outlineLevel="0" collapsed="false">
      <c r="A7" s="55"/>
      <c r="B7" s="56"/>
      <c r="C7" s="57"/>
      <c r="D7" s="58"/>
      <c r="E7" s="57"/>
      <c r="F7" s="59"/>
      <c r="G7" s="55"/>
      <c r="H7" s="55"/>
      <c r="I7" s="55"/>
      <c r="J7" s="55"/>
      <c r="K7" s="55"/>
      <c r="L7" s="77"/>
      <c r="M7" s="58"/>
      <c r="N7" s="58" t="s">
        <v>74</v>
      </c>
      <c r="O7" s="58" t="s">
        <v>75</v>
      </c>
      <c r="P7" s="75"/>
      <c r="Q7" s="58" t="s">
        <v>76</v>
      </c>
      <c r="R7" s="58" t="s">
        <v>76</v>
      </c>
      <c r="S7" s="58" t="s">
        <v>61</v>
      </c>
      <c r="T7" s="58" t="s">
        <v>61</v>
      </c>
      <c r="U7" s="76" t="s">
        <v>77</v>
      </c>
      <c r="V7" s="55"/>
      <c r="W7" s="55"/>
      <c r="X7" s="65" t="s">
        <v>78</v>
      </c>
      <c r="Y7" s="57" t="s">
        <v>79</v>
      </c>
      <c r="Z7" s="61" t="s">
        <v>80</v>
      </c>
      <c r="AA7" s="55" t="s">
        <v>81</v>
      </c>
      <c r="AB7" s="61" t="s">
        <v>82</v>
      </c>
      <c r="AC7" s="62"/>
      <c r="AD7" s="62"/>
      <c r="AE7" s="77"/>
      <c r="AF7" s="79" t="n">
        <v>1.7</v>
      </c>
      <c r="AG7" s="79" t="n">
        <v>1.3</v>
      </c>
      <c r="AH7" s="74"/>
      <c r="AI7" s="80" t="n">
        <v>31798</v>
      </c>
      <c r="AJ7" s="65"/>
      <c r="AK7" s="55"/>
      <c r="AL7" s="55"/>
      <c r="AM7" s="58"/>
      <c r="AN7" s="66"/>
      <c r="AO7" s="62"/>
      <c r="AP7" s="61" t="s">
        <v>83</v>
      </c>
      <c r="AQ7" s="67" t="s">
        <v>84</v>
      </c>
      <c r="AR7" s="62" t="s">
        <v>85</v>
      </c>
      <c r="AS7" s="68" t="s">
        <v>86</v>
      </c>
      <c r="AT7" s="68" t="s">
        <v>87</v>
      </c>
      <c r="AU7" s="210" t="s">
        <v>88</v>
      </c>
      <c r="AV7" s="78"/>
      <c r="AW7" s="71"/>
      <c r="AX7" s="71"/>
      <c r="AY7" s="294"/>
      <c r="AZ7" s="295" t="s">
        <v>89</v>
      </c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</row>
    <row r="8" customFormat="false" ht="12.95" hidden="false" customHeight="true" outlineLevel="0" collapsed="false">
      <c r="A8" s="55"/>
      <c r="B8" s="56"/>
      <c r="C8" s="57"/>
      <c r="D8" s="58"/>
      <c r="E8" s="57"/>
      <c r="F8" s="59"/>
      <c r="G8" s="55"/>
      <c r="H8" s="55"/>
      <c r="I8" s="55"/>
      <c r="J8" s="55"/>
      <c r="K8" s="55"/>
      <c r="L8" s="77"/>
      <c r="M8" s="58"/>
      <c r="N8" s="58"/>
      <c r="O8" s="58"/>
      <c r="P8" s="75"/>
      <c r="Q8" s="58" t="s">
        <v>61</v>
      </c>
      <c r="R8" s="58" t="s">
        <v>61</v>
      </c>
      <c r="S8" s="58"/>
      <c r="T8" s="58"/>
      <c r="U8" s="76"/>
      <c r="V8" s="55"/>
      <c r="W8" s="55"/>
      <c r="X8" s="65" t="s">
        <v>90</v>
      </c>
      <c r="Y8" s="57" t="s">
        <v>78</v>
      </c>
      <c r="Z8" s="61"/>
      <c r="AA8" s="57" t="s">
        <v>91</v>
      </c>
      <c r="AB8" s="61" t="s">
        <v>92</v>
      </c>
      <c r="AC8" s="62"/>
      <c r="AD8" s="62"/>
      <c r="AE8" s="77"/>
      <c r="AF8" s="79"/>
      <c r="AG8" s="79"/>
      <c r="AH8" s="74"/>
      <c r="AI8" s="80"/>
      <c r="AJ8" s="65"/>
      <c r="AK8" s="55"/>
      <c r="AL8" s="55"/>
      <c r="AM8" s="58"/>
      <c r="AN8" s="66"/>
      <c r="AO8" s="62"/>
      <c r="AP8" s="61"/>
      <c r="AQ8" s="67"/>
      <c r="AR8" s="62"/>
      <c r="AS8" s="68"/>
      <c r="AT8" s="68"/>
      <c r="AU8" s="210"/>
      <c r="AV8" s="78"/>
      <c r="AW8" s="71"/>
      <c r="AX8" s="71"/>
      <c r="AY8" s="294"/>
      <c r="AZ8" s="295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</row>
    <row r="9" customFormat="false" ht="12.95" hidden="false" customHeight="true" outlineLevel="0" collapsed="false">
      <c r="A9" s="55"/>
      <c r="B9" s="56"/>
      <c r="C9" s="57"/>
      <c r="D9" s="58"/>
      <c r="E9" s="57"/>
      <c r="F9" s="59"/>
      <c r="G9" s="55"/>
      <c r="H9" s="55"/>
      <c r="I9" s="55"/>
      <c r="J9" s="55"/>
      <c r="K9" s="55"/>
      <c r="L9" s="77"/>
      <c r="M9" s="58"/>
      <c r="N9" s="58"/>
      <c r="O9" s="58"/>
      <c r="P9" s="75"/>
      <c r="Q9" s="58"/>
      <c r="R9" s="81" t="n">
        <v>4.2</v>
      </c>
      <c r="S9" s="58"/>
      <c r="T9" s="58"/>
      <c r="U9" s="76"/>
      <c r="V9" s="55"/>
      <c r="W9" s="55"/>
      <c r="X9" s="65"/>
      <c r="Y9" s="57" t="s">
        <v>90</v>
      </c>
      <c r="Z9" s="61"/>
      <c r="AA9" s="57" t="s">
        <v>90</v>
      </c>
      <c r="AB9" s="61" t="s">
        <v>93</v>
      </c>
      <c r="AC9" s="62"/>
      <c r="AD9" s="62"/>
      <c r="AE9" s="77"/>
      <c r="AF9" s="79"/>
      <c r="AG9" s="79"/>
      <c r="AH9" s="74"/>
      <c r="AI9" s="80"/>
      <c r="AJ9" s="65"/>
      <c r="AK9" s="55"/>
      <c r="AL9" s="55"/>
      <c r="AM9" s="58"/>
      <c r="AN9" s="66"/>
      <c r="AO9" s="62"/>
      <c r="AP9" s="61"/>
      <c r="AQ9" s="67"/>
      <c r="AR9" s="62"/>
      <c r="AS9" s="68"/>
      <c r="AT9" s="68"/>
      <c r="AU9" s="210"/>
      <c r="AV9" s="78"/>
      <c r="AW9" s="71"/>
      <c r="AX9" s="71"/>
      <c r="AY9" s="294"/>
      <c r="AZ9" s="295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</row>
    <row r="10" customFormat="false" ht="12.95" hidden="false" customHeight="true" outlineLevel="0" collapsed="false">
      <c r="A10" s="55"/>
      <c r="B10" s="56"/>
      <c r="C10" s="57" t="s">
        <v>94</v>
      </c>
      <c r="D10" s="58"/>
      <c r="E10" s="57" t="s">
        <v>95</v>
      </c>
      <c r="F10" s="59"/>
      <c r="G10" s="58" t="s">
        <v>41</v>
      </c>
      <c r="H10" s="58" t="s">
        <v>41</v>
      </c>
      <c r="I10" s="58" t="s">
        <v>41</v>
      </c>
      <c r="J10" s="58" t="s">
        <v>41</v>
      </c>
      <c r="K10" s="58" t="s">
        <v>41</v>
      </c>
      <c r="L10" s="77" t="s">
        <v>41</v>
      </c>
      <c r="M10" s="58" t="s">
        <v>41</v>
      </c>
      <c r="N10" s="58" t="s">
        <v>41</v>
      </c>
      <c r="O10" s="58" t="s">
        <v>41</v>
      </c>
      <c r="P10" s="58" t="s">
        <v>41</v>
      </c>
      <c r="Q10" s="58" t="s">
        <v>41</v>
      </c>
      <c r="R10" s="58" t="s">
        <v>41</v>
      </c>
      <c r="S10" s="58" t="s">
        <v>41</v>
      </c>
      <c r="T10" s="58" t="s">
        <v>41</v>
      </c>
      <c r="U10" s="77" t="s">
        <v>41</v>
      </c>
      <c r="V10" s="58" t="s">
        <v>41</v>
      </c>
      <c r="W10" s="58" t="s">
        <v>41</v>
      </c>
      <c r="X10" s="57" t="n">
        <v>153400</v>
      </c>
      <c r="Y10" s="57" t="n">
        <v>150400</v>
      </c>
      <c r="Z10" s="58"/>
      <c r="AA10" s="57"/>
      <c r="AB10" s="57" t="n">
        <v>72000</v>
      </c>
      <c r="AC10" s="296" t="s">
        <v>41</v>
      </c>
      <c r="AD10" s="58" t="s">
        <v>41</v>
      </c>
      <c r="AE10" s="77" t="s">
        <v>41</v>
      </c>
      <c r="AF10" s="58" t="s">
        <v>41</v>
      </c>
      <c r="AG10" s="58" t="s">
        <v>41</v>
      </c>
      <c r="AH10" s="74" t="s">
        <v>41</v>
      </c>
      <c r="AI10" s="58" t="s">
        <v>41</v>
      </c>
      <c r="AJ10" s="58" t="s">
        <v>41</v>
      </c>
      <c r="AK10" s="58" t="s">
        <v>41</v>
      </c>
      <c r="AL10" s="58" t="s">
        <v>41</v>
      </c>
      <c r="AM10" s="58" t="s">
        <v>41</v>
      </c>
      <c r="AN10" s="66" t="s">
        <v>95</v>
      </c>
      <c r="AO10" s="62" t="s">
        <v>41</v>
      </c>
      <c r="AP10" s="62" t="s">
        <v>41</v>
      </c>
      <c r="AQ10" s="67" t="s">
        <v>96</v>
      </c>
      <c r="AR10" s="62" t="s">
        <v>41</v>
      </c>
      <c r="AS10" s="62" t="s">
        <v>41</v>
      </c>
      <c r="AT10" s="62" t="s">
        <v>41</v>
      </c>
      <c r="AU10" s="62" t="s">
        <v>41</v>
      </c>
      <c r="AV10" s="78"/>
      <c r="AW10" s="71"/>
      <c r="AX10" s="71"/>
      <c r="AY10" s="294"/>
      <c r="AZ10" s="295" t="s">
        <v>97</v>
      </c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2.95" hidden="false" customHeight="true" outlineLevel="0" collapsed="false">
      <c r="A11" s="55"/>
      <c r="B11" s="56"/>
      <c r="C11" s="57"/>
      <c r="D11" s="58"/>
      <c r="E11" s="57"/>
      <c r="F11" s="59"/>
      <c r="G11" s="55"/>
      <c r="H11" s="55"/>
      <c r="I11" s="55"/>
      <c r="J11" s="55"/>
      <c r="K11" s="55"/>
      <c r="L11" s="77"/>
      <c r="M11" s="58"/>
      <c r="N11" s="46" t="n">
        <v>1.03</v>
      </c>
      <c r="O11" s="46" t="n">
        <v>1.05</v>
      </c>
      <c r="P11" s="46" t="n">
        <v>1.02</v>
      </c>
      <c r="Q11" s="82" t="n">
        <v>1.02</v>
      </c>
      <c r="R11" s="83" t="n">
        <v>1.04</v>
      </c>
      <c r="S11" s="58"/>
      <c r="T11" s="82" t="n">
        <v>1.04</v>
      </c>
      <c r="U11" s="76"/>
      <c r="V11" s="55"/>
      <c r="W11" s="55"/>
      <c r="X11" s="58" t="s">
        <v>41</v>
      </c>
      <c r="Y11" s="58" t="s">
        <v>41</v>
      </c>
      <c r="Z11" s="58" t="s">
        <v>41</v>
      </c>
      <c r="AA11" s="57" t="s">
        <v>41</v>
      </c>
      <c r="AB11" s="84" t="s">
        <v>98</v>
      </c>
      <c r="AC11" s="62"/>
      <c r="AD11" s="61"/>
      <c r="AE11" s="85"/>
      <c r="AF11" s="79"/>
      <c r="AG11" s="79"/>
      <c r="AH11" s="74"/>
      <c r="AI11" s="80"/>
      <c r="AJ11" s="86"/>
      <c r="AK11" s="55"/>
      <c r="AL11" s="55"/>
      <c r="AM11" s="58"/>
      <c r="AN11" s="66"/>
      <c r="AO11" s="62"/>
      <c r="AP11" s="61"/>
      <c r="AQ11" s="67"/>
      <c r="AR11" s="67"/>
      <c r="AS11" s="87"/>
      <c r="AT11" s="87"/>
      <c r="AU11" s="87"/>
      <c r="AV11" s="78"/>
      <c r="AW11" s="71"/>
      <c r="AX11" s="71"/>
      <c r="AY11" s="294"/>
      <c r="AZ11" s="295" t="s">
        <v>41</v>
      </c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2.95" hidden="false" customHeight="true" outlineLevel="0" collapsed="false">
      <c r="A12" s="188" t="s">
        <v>99</v>
      </c>
      <c r="B12" s="213"/>
      <c r="C12" s="107"/>
      <c r="D12" s="107"/>
      <c r="E12" s="107"/>
      <c r="F12" s="214"/>
      <c r="G12" s="107"/>
      <c r="H12" s="275"/>
      <c r="I12" s="107"/>
      <c r="J12" s="107"/>
      <c r="K12" s="107"/>
      <c r="L12" s="107"/>
      <c r="M12" s="216"/>
      <c r="N12" s="107"/>
      <c r="O12" s="107"/>
      <c r="P12" s="158"/>
      <c r="Q12" s="107"/>
      <c r="R12" s="107"/>
      <c r="S12" s="107"/>
      <c r="T12" s="107"/>
      <c r="U12" s="329"/>
      <c r="V12" s="107"/>
      <c r="W12" s="107"/>
      <c r="X12" s="107"/>
      <c r="Y12" s="107"/>
      <c r="Z12" s="107"/>
      <c r="AA12" s="107"/>
      <c r="AB12" s="107"/>
      <c r="AC12" s="136"/>
      <c r="AD12" s="107"/>
      <c r="AE12" s="107"/>
      <c r="AF12" s="216"/>
      <c r="AG12" s="218"/>
      <c r="AH12" s="107"/>
      <c r="AI12" s="107"/>
      <c r="AJ12" s="330"/>
      <c r="AK12" s="107"/>
      <c r="AL12" s="107"/>
      <c r="AM12" s="107"/>
      <c r="AN12" s="220"/>
      <c r="AO12" s="136"/>
      <c r="AP12" s="135"/>
      <c r="AQ12" s="221"/>
      <c r="AR12" s="221"/>
      <c r="AS12" s="221"/>
      <c r="AV12" s="222"/>
      <c r="AW12" s="215"/>
      <c r="AX12" s="215"/>
      <c r="AY12" s="299"/>
      <c r="AZ12" s="331"/>
    </row>
    <row r="13" s="230" customFormat="true" ht="12.95" hidden="false" customHeight="true" outlineLevel="0" collapsed="false">
      <c r="A13" s="225" t="s">
        <v>100</v>
      </c>
      <c r="B13" s="301" t="n">
        <f aca="false">FEB!B43</f>
        <v>6901.17</v>
      </c>
      <c r="C13" s="107" t="n">
        <f aca="false">FEB!C43</f>
        <v>287916</v>
      </c>
      <c r="D13" s="107" t="n">
        <f aca="false">FEB!D52</f>
        <v>-5769</v>
      </c>
      <c r="E13" s="107" t="n">
        <f aca="false">FEB!E52</f>
        <v>135842</v>
      </c>
      <c r="F13" s="214" t="n">
        <f aca="false">FEB!F51</f>
        <v>-2871.18729518528</v>
      </c>
      <c r="G13" s="107" t="n">
        <f aca="false">FEB!G51</f>
        <v>5343</v>
      </c>
      <c r="H13" s="332" t="n">
        <f aca="false">FEB!H51</f>
        <v>118.18</v>
      </c>
      <c r="I13" s="107" t="n">
        <f aca="false">FEB!I51</f>
        <v>5460.56</v>
      </c>
      <c r="J13" s="107" t="n">
        <f aca="false">FEB!J51</f>
        <v>1066.26608772372</v>
      </c>
      <c r="K13" s="107" t="n">
        <f aca="false">FEB!K51</f>
        <v>6526.82608772372</v>
      </c>
      <c r="L13" s="107" t="n">
        <f aca="false">FEB!L51</f>
        <v>486.452704814721</v>
      </c>
      <c r="M13" s="216" t="n">
        <f aca="false">FEB!M51</f>
        <v>534.7</v>
      </c>
      <c r="N13" s="107" t="n">
        <f aca="false">FEB!N51</f>
        <v>0</v>
      </c>
      <c r="O13" s="107" t="n">
        <f aca="false">FEB!O51</f>
        <v>0</v>
      </c>
      <c r="P13" s="107" t="n">
        <f aca="false">FEB!P51</f>
        <v>0</v>
      </c>
      <c r="Q13" s="107" t="n">
        <f aca="false">FEB!Q51</f>
        <v>184.164829707076</v>
      </c>
      <c r="R13" s="107" t="n">
        <f aca="false">FEB!R51</f>
        <v>191.90160496</v>
      </c>
      <c r="S13" s="107" t="n">
        <f aca="false">FEB!S51</f>
        <v>0</v>
      </c>
      <c r="T13" s="107" t="n">
        <f aca="false">FEB!T51</f>
        <v>61.13039504</v>
      </c>
      <c r="U13" s="316" t="n">
        <f aca="false">FEB!U51</f>
        <v>8.39733680371187</v>
      </c>
      <c r="V13" s="107" t="n">
        <f aca="false">FEB!V51</f>
        <v>4600</v>
      </c>
      <c r="W13" s="107" t="n">
        <f aca="false">FEB!W51</f>
        <v>59.5</v>
      </c>
      <c r="X13" s="107" t="n">
        <f aca="false">FEB!X51</f>
        <v>4748.60583348921</v>
      </c>
      <c r="Y13" s="107" t="n">
        <f aca="false">FEB!Y51</f>
        <v>4545.80876137068</v>
      </c>
      <c r="Z13" s="107"/>
      <c r="AA13" s="107"/>
      <c r="AB13" s="107"/>
      <c r="AC13" s="136" t="n">
        <f aca="false">FEB!AC51</f>
        <v>776.6</v>
      </c>
      <c r="AD13" s="107"/>
      <c r="AE13" s="107"/>
      <c r="AF13" s="216"/>
      <c r="AG13" s="218"/>
      <c r="AH13" s="266" t="n">
        <f aca="false">FEB!AH51</f>
        <v>3624</v>
      </c>
      <c r="AI13" s="107" t="n">
        <f aca="false">FEB!AI43</f>
        <v>1727</v>
      </c>
      <c r="AJ13" s="136" t="n">
        <f aca="false">FEB!AJ51</f>
        <v>0</v>
      </c>
      <c r="AK13" s="107" t="n">
        <f aca="false">FEB!AK51</f>
        <v>8818.2</v>
      </c>
      <c r="AL13" s="107" t="n">
        <f aca="false">FEB!AL51</f>
        <v>579.813382908999</v>
      </c>
      <c r="AM13" s="107" t="n">
        <f aca="false">FEB!AM51</f>
        <v>9398.013382909</v>
      </c>
      <c r="AN13" s="220" t="n">
        <f aca="false">FEB!AN51</f>
        <v>4545.8</v>
      </c>
      <c r="AO13" s="136" t="n">
        <f aca="false">FEB!AO51</f>
        <v>202.797072118535</v>
      </c>
      <c r="AP13" s="107"/>
      <c r="AQ13" s="135"/>
      <c r="AR13" s="135"/>
      <c r="AS13" s="107"/>
      <c r="AT13" s="84"/>
      <c r="AU13" s="177"/>
      <c r="AV13" s="222" t="n">
        <f aca="false">FEB!AV51</f>
        <v>2.25</v>
      </c>
      <c r="AW13" s="215"/>
      <c r="AX13" s="215"/>
      <c r="AY13" s="302"/>
      <c r="AZ13" s="229" t="n">
        <f aca="false">FEB!AZ51</f>
        <v>445.594166510788</v>
      </c>
    </row>
    <row r="14" customFormat="false" ht="3" hidden="false" customHeight="true" outlineLevel="0" collapsed="false">
      <c r="A14" s="231"/>
      <c r="B14" s="232"/>
      <c r="C14" s="233"/>
      <c r="D14" s="234"/>
      <c r="E14" s="233"/>
      <c r="F14" s="235"/>
      <c r="G14" s="234"/>
      <c r="H14" s="263"/>
      <c r="I14" s="234"/>
      <c r="J14" s="234"/>
      <c r="K14" s="234"/>
      <c r="L14" s="234"/>
      <c r="M14" s="237"/>
      <c r="N14" s="234"/>
      <c r="O14" s="234"/>
      <c r="P14" s="238"/>
      <c r="Q14" s="234"/>
      <c r="R14" s="234"/>
      <c r="S14" s="234"/>
      <c r="T14" s="234"/>
      <c r="U14" s="333"/>
      <c r="V14" s="234"/>
      <c r="W14" s="234"/>
      <c r="X14" s="234"/>
      <c r="Y14" s="234"/>
      <c r="Z14" s="234"/>
      <c r="AA14" s="234"/>
      <c r="AB14" s="233"/>
      <c r="AC14" s="240"/>
      <c r="AD14" s="233"/>
      <c r="AE14" s="234"/>
      <c r="AF14" s="237"/>
      <c r="AG14" s="241"/>
      <c r="AH14" s="234"/>
      <c r="AI14" s="233"/>
      <c r="AJ14" s="240"/>
      <c r="AK14" s="234"/>
      <c r="AL14" s="234"/>
      <c r="AM14" s="234"/>
      <c r="AN14" s="242"/>
      <c r="AO14" s="240"/>
      <c r="AP14" s="243"/>
      <c r="AQ14" s="243"/>
      <c r="AR14" s="243"/>
      <c r="AS14" s="243"/>
      <c r="AT14" s="334"/>
      <c r="AU14" s="334"/>
      <c r="AV14" s="245"/>
      <c r="AW14" s="243"/>
      <c r="AX14" s="243"/>
      <c r="AY14" s="254"/>
      <c r="AZ14" s="254"/>
    </row>
    <row r="15" customFormat="false" ht="12.95" hidden="false" customHeight="true" outlineLevel="0" collapsed="false">
      <c r="A15" s="183" t="n">
        <v>1</v>
      </c>
      <c r="B15" s="106" t="n">
        <v>6901.18</v>
      </c>
      <c r="C15" s="107" t="n">
        <v>287954</v>
      </c>
      <c r="D15" s="215" t="n">
        <f aca="false">C15-C13</f>
        <v>38</v>
      </c>
      <c r="E15" s="107" t="n">
        <f aca="false">C15-152000</f>
        <v>135954</v>
      </c>
      <c r="F15" s="246" t="n">
        <f aca="false">D15/$D$2</f>
        <v>19.1580539450466</v>
      </c>
      <c r="G15" s="135" t="n">
        <v>26</v>
      </c>
      <c r="H15" s="335" t="n">
        <v>1.7</v>
      </c>
      <c r="I15" s="135" t="n">
        <f aca="false">G15+H15</f>
        <v>27.7</v>
      </c>
      <c r="J15" s="136" t="n">
        <f aca="false">IF(L15&gt;0,L15,0)</f>
        <v>25.3580539450466</v>
      </c>
      <c r="K15" s="135" t="n">
        <f aca="false">I15+J15</f>
        <v>53.0580539450466</v>
      </c>
      <c r="L15" s="135" t="n">
        <f aca="false">F15-(I15-AK15)</f>
        <v>25.3580539450466</v>
      </c>
      <c r="M15" s="248" t="n">
        <v>3.9</v>
      </c>
      <c r="N15" s="135" t="n">
        <v>0</v>
      </c>
      <c r="O15" s="135" t="n">
        <v>0</v>
      </c>
      <c r="P15" s="158" t="n">
        <v>0</v>
      </c>
      <c r="Q15" s="336" t="n">
        <f aca="false">952400/325851/1.9835*1.02</f>
        <v>1.50303223743429</v>
      </c>
      <c r="R15" s="131" t="n">
        <f aca="false">((2)*1.04)-T15</f>
        <v>1.46089216</v>
      </c>
      <c r="S15" s="131" t="n">
        <v>0</v>
      </c>
      <c r="T15" s="131" t="n">
        <f aca="false">(0.5616*1.06)*1.04</f>
        <v>0.61910784</v>
      </c>
      <c r="U15" s="96" t="n">
        <f aca="false">M15-(Q15+R15+S15+T15)</f>
        <v>0.316967762565708</v>
      </c>
      <c r="V15" s="135" t="n">
        <v>0</v>
      </c>
      <c r="W15" s="135"/>
      <c r="X15" s="135" t="n">
        <f aca="false">M15-N15-O15-P15-Q15-R15-S15-T15-U15+V15+W15</f>
        <v>0</v>
      </c>
      <c r="Y15" s="135" t="n">
        <f aca="false">X15-AO15</f>
        <v>0</v>
      </c>
      <c r="Z15" s="135"/>
      <c r="AA15" s="135"/>
      <c r="AB15" s="107"/>
      <c r="AC15" s="136" t="n">
        <v>38.9</v>
      </c>
      <c r="AD15" s="107"/>
      <c r="AE15" s="135" t="n">
        <v>0</v>
      </c>
      <c r="AF15" s="248"/>
      <c r="AG15" s="249"/>
      <c r="AH15" s="135" t="n">
        <v>30</v>
      </c>
      <c r="AI15" s="107" t="n">
        <f aca="false">AI13-AH15</f>
        <v>1697</v>
      </c>
      <c r="AJ15" s="136"/>
      <c r="AK15" s="134" t="n">
        <f aca="false">N15+O15+P15+Q15+R15+S15+T15+U15+X15+AE15+AH15</f>
        <v>33.9</v>
      </c>
      <c r="AL15" s="135" t="n">
        <f aca="false">IF(L15&lt;0,L15*-1,0)</f>
        <v>0</v>
      </c>
      <c r="AM15" s="135" t="n">
        <f aca="false">AK15+AL15</f>
        <v>33.9</v>
      </c>
      <c r="AN15" s="220" t="n">
        <f aca="false">V15</f>
        <v>0</v>
      </c>
      <c r="AO15" s="136"/>
      <c r="AP15" s="221"/>
      <c r="AQ15" s="107"/>
      <c r="AR15" s="107"/>
      <c r="AS15" s="221"/>
      <c r="AU15" s="176"/>
      <c r="AV15" s="222" t="n">
        <v>0</v>
      </c>
      <c r="AW15" s="215" t="n">
        <v>38</v>
      </c>
      <c r="AX15" s="215" t="n">
        <v>17</v>
      </c>
      <c r="AY15" s="299"/>
      <c r="AZ15" s="250" t="n">
        <f aca="false">SUM(N15,P15:U15)</f>
        <v>3.9</v>
      </c>
    </row>
    <row r="16" customFormat="false" ht="12.95" hidden="false" customHeight="true" outlineLevel="0" collapsed="false">
      <c r="A16" s="183" t="n">
        <f aca="false">A15+1</f>
        <v>2</v>
      </c>
      <c r="B16" s="106" t="n">
        <v>6901.18</v>
      </c>
      <c r="C16" s="107" t="n">
        <v>287954</v>
      </c>
      <c r="D16" s="215" t="n">
        <f aca="false">C16-C15</f>
        <v>0</v>
      </c>
      <c r="E16" s="107" t="n">
        <f aca="false">C16-152000</f>
        <v>135954</v>
      </c>
      <c r="F16" s="246" t="n">
        <f aca="false">D16/$D$2</f>
        <v>0</v>
      </c>
      <c r="G16" s="135" t="n">
        <v>29</v>
      </c>
      <c r="H16" s="335" t="n">
        <v>1.7</v>
      </c>
      <c r="I16" s="135" t="n">
        <f aca="false">G16+H16</f>
        <v>30.7</v>
      </c>
      <c r="J16" s="136" t="n">
        <f aca="false">IF(L16&gt;0,L16,0)</f>
        <v>3.2</v>
      </c>
      <c r="K16" s="135" t="n">
        <f aca="false">I16+J16</f>
        <v>33.9</v>
      </c>
      <c r="L16" s="135" t="n">
        <f aca="false">F16-(I16-AK16)</f>
        <v>3.2</v>
      </c>
      <c r="M16" s="248" t="n">
        <v>3.9</v>
      </c>
      <c r="N16" s="135" t="n">
        <v>0</v>
      </c>
      <c r="O16" s="135" t="n">
        <v>0</v>
      </c>
      <c r="P16" s="158" t="n">
        <v>0</v>
      </c>
      <c r="Q16" s="336" t="n">
        <f aca="false">892700/325851/1.9835*1.02</f>
        <v>1.40881654594455</v>
      </c>
      <c r="R16" s="131" t="n">
        <f aca="false">((2)*1.04)-T16</f>
        <v>1.64389056</v>
      </c>
      <c r="S16" s="131" t="n">
        <v>0</v>
      </c>
      <c r="T16" s="131" t="n">
        <f aca="false">(0.3956*1.06)*1.04</f>
        <v>0.43610944</v>
      </c>
      <c r="U16" s="96" t="n">
        <f aca="false">M16-(Q16+R16+S16+T16)</f>
        <v>0.411183454055446</v>
      </c>
      <c r="V16" s="135" t="n">
        <v>0</v>
      </c>
      <c r="W16" s="135"/>
      <c r="X16" s="135" t="n">
        <f aca="false">M16-N16-O16-P16-Q16-R16-S16-T16-U16+V16+W16</f>
        <v>0</v>
      </c>
      <c r="Y16" s="135" t="n">
        <f aca="false">X16-AO16</f>
        <v>0</v>
      </c>
      <c r="Z16" s="135"/>
      <c r="AA16" s="135"/>
      <c r="AB16" s="107"/>
      <c r="AC16" s="136" t="n">
        <v>26.1</v>
      </c>
      <c r="AD16" s="107"/>
      <c r="AE16" s="135" t="n">
        <v>0</v>
      </c>
      <c r="AF16" s="248"/>
      <c r="AG16" s="249"/>
      <c r="AH16" s="135" t="n">
        <v>30</v>
      </c>
      <c r="AI16" s="107" t="n">
        <f aca="false">AI15-AH16</f>
        <v>1667</v>
      </c>
      <c r="AJ16" s="136"/>
      <c r="AK16" s="134" t="n">
        <f aca="false">N16+O16+P16+Q16+R16+S16+T16+U16+X16+AE16+AH16</f>
        <v>33.9</v>
      </c>
      <c r="AL16" s="135" t="n">
        <f aca="false">IF(L16&lt;0,L16*-1,0)</f>
        <v>0</v>
      </c>
      <c r="AM16" s="135" t="n">
        <f aca="false">AK16+AL16</f>
        <v>33.9</v>
      </c>
      <c r="AN16" s="220" t="n">
        <f aca="false">V16</f>
        <v>0</v>
      </c>
      <c r="AO16" s="136"/>
      <c r="AP16" s="221"/>
      <c r="AQ16" s="107"/>
      <c r="AR16" s="107"/>
      <c r="AS16" s="221"/>
      <c r="AU16" s="176"/>
      <c r="AV16" s="222" t="n">
        <v>0.04</v>
      </c>
      <c r="AW16" s="215" t="n">
        <v>30</v>
      </c>
      <c r="AX16" s="215" t="n">
        <v>8</v>
      </c>
      <c r="AY16" s="299"/>
      <c r="AZ16" s="250" t="n">
        <f aca="false">SUM(N16,P16:U16)</f>
        <v>3.9</v>
      </c>
    </row>
    <row r="17" customFormat="false" ht="12.95" hidden="false" customHeight="true" outlineLevel="0" collapsed="false">
      <c r="A17" s="183" t="n">
        <f aca="false">A16+1</f>
        <v>3</v>
      </c>
      <c r="B17" s="106" t="n">
        <v>6901.18</v>
      </c>
      <c r="C17" s="107" t="n">
        <v>287954</v>
      </c>
      <c r="D17" s="215" t="n">
        <f aca="false">C17-C16</f>
        <v>0</v>
      </c>
      <c r="E17" s="107" t="n">
        <f aca="false">C17-152000</f>
        <v>135954</v>
      </c>
      <c r="F17" s="246" t="n">
        <f aca="false">D17/$D$2</f>
        <v>0</v>
      </c>
      <c r="G17" s="135" t="n">
        <v>30</v>
      </c>
      <c r="H17" s="335" t="n">
        <v>1.8</v>
      </c>
      <c r="I17" s="135" t="n">
        <f aca="false">G17+H17</f>
        <v>31.8</v>
      </c>
      <c r="J17" s="136" t="n">
        <f aca="false">IF(L17&gt;0,L17,0)</f>
        <v>2.1</v>
      </c>
      <c r="K17" s="135" t="n">
        <f aca="false">I17+J17</f>
        <v>33.9</v>
      </c>
      <c r="L17" s="135" t="n">
        <f aca="false">F17-(I17-AK17)</f>
        <v>2.1</v>
      </c>
      <c r="M17" s="248" t="n">
        <v>3.9</v>
      </c>
      <c r="N17" s="135" t="n">
        <v>0</v>
      </c>
      <c r="O17" s="135" t="n">
        <v>0</v>
      </c>
      <c r="P17" s="158" t="n">
        <v>0</v>
      </c>
      <c r="Q17" s="336" t="n">
        <f aca="false">949300/325851/1.9835*1.02</f>
        <v>1.49813996534689</v>
      </c>
      <c r="R17" s="131" t="n">
        <f aca="false">((2)*1.04)-T17</f>
        <v>1.64389056</v>
      </c>
      <c r="S17" s="131" t="n">
        <v>0</v>
      </c>
      <c r="T17" s="131" t="n">
        <f aca="false">(0.3956*1.06)*1.04</f>
        <v>0.43610944</v>
      </c>
      <c r="U17" s="96" t="n">
        <f aca="false">M17-(Q17+R17+S17+T17)</f>
        <v>0.321860034653114</v>
      </c>
      <c r="V17" s="135" t="n">
        <v>0</v>
      </c>
      <c r="W17" s="135"/>
      <c r="X17" s="135" t="n">
        <f aca="false">M17-N17-O17-P17-Q17-R17-S17-T17-U17+V17+W17</f>
        <v>0</v>
      </c>
      <c r="Y17" s="135" t="n">
        <f aca="false">X17-AO17</f>
        <v>0</v>
      </c>
      <c r="Z17" s="135"/>
      <c r="AA17" s="135"/>
      <c r="AB17" s="107"/>
      <c r="AC17" s="136" t="n">
        <v>26.2</v>
      </c>
      <c r="AD17" s="107"/>
      <c r="AE17" s="135" t="n">
        <v>0</v>
      </c>
      <c r="AF17" s="248"/>
      <c r="AG17" s="249"/>
      <c r="AH17" s="135" t="n">
        <v>30</v>
      </c>
      <c r="AI17" s="107" t="n">
        <f aca="false">AI16-AH17</f>
        <v>1637</v>
      </c>
      <c r="AJ17" s="136"/>
      <c r="AK17" s="134" t="n">
        <f aca="false">N17+O17+P17+Q17+R17+S17+T17+U17+X17+AE17+AH17</f>
        <v>33.9</v>
      </c>
      <c r="AL17" s="135" t="n">
        <f aca="false">IF(L17&lt;0,L17*-1,0)</f>
        <v>0</v>
      </c>
      <c r="AM17" s="135" t="n">
        <f aca="false">AK17+AL17</f>
        <v>33.9</v>
      </c>
      <c r="AN17" s="220" t="n">
        <f aca="false">V17</f>
        <v>0</v>
      </c>
      <c r="AO17" s="136"/>
      <c r="AP17" s="221"/>
      <c r="AQ17" s="107"/>
      <c r="AR17" s="107"/>
      <c r="AS17" s="221"/>
      <c r="AU17" s="176"/>
      <c r="AV17" s="222" t="n">
        <v>0</v>
      </c>
      <c r="AW17" s="215" t="n">
        <v>37</v>
      </c>
      <c r="AX17" s="215" t="n">
        <v>6</v>
      </c>
      <c r="AY17" s="299"/>
      <c r="AZ17" s="250" t="n">
        <f aca="false">SUM(N17,P17:U17)</f>
        <v>3.9</v>
      </c>
    </row>
    <row r="18" customFormat="false" ht="12.95" hidden="false" customHeight="true" outlineLevel="0" collapsed="false">
      <c r="A18" s="183" t="n">
        <f aca="false">A17+1</f>
        <v>4</v>
      </c>
      <c r="B18" s="106" t="n">
        <v>6901.18</v>
      </c>
      <c r="C18" s="107" t="n">
        <v>287954</v>
      </c>
      <c r="D18" s="215" t="n">
        <f aca="false">C18-C17</f>
        <v>0</v>
      </c>
      <c r="E18" s="107" t="n">
        <f aca="false">C18-152000</f>
        <v>135954</v>
      </c>
      <c r="F18" s="246" t="n">
        <f aca="false">D18/$D$2</f>
        <v>0</v>
      </c>
      <c r="G18" s="135" t="n">
        <v>32</v>
      </c>
      <c r="H18" s="335" t="n">
        <v>1.9</v>
      </c>
      <c r="I18" s="135" t="n">
        <f aca="false">G18+H18</f>
        <v>33.9</v>
      </c>
      <c r="J18" s="136" t="n">
        <f aca="false">IF(L18&gt;0,L18,0)</f>
        <v>0</v>
      </c>
      <c r="K18" s="135" t="n">
        <f aca="false">I18+J18</f>
        <v>33.9</v>
      </c>
      <c r="L18" s="135" t="n">
        <f aca="false">F18-(I18-AK18)</f>
        <v>0</v>
      </c>
      <c r="M18" s="248" t="n">
        <v>3.9</v>
      </c>
      <c r="N18" s="135" t="n">
        <v>0</v>
      </c>
      <c r="O18" s="135" t="n">
        <v>0</v>
      </c>
      <c r="P18" s="158" t="n">
        <v>0</v>
      </c>
      <c r="Q18" s="336" t="n">
        <f aca="false">1212900/325851/1.9835*1.02</f>
        <v>1.9141409080051</v>
      </c>
      <c r="R18" s="131" t="n">
        <f aca="false">((2)*1.04)-T18</f>
        <v>1.64389056</v>
      </c>
      <c r="S18" s="131" t="n">
        <v>0</v>
      </c>
      <c r="T18" s="131" t="n">
        <f aca="false">(0.3956*1.06)*1.04</f>
        <v>0.43610944</v>
      </c>
      <c r="U18" s="96" t="n">
        <f aca="false">M18-(Q18+R18+S18+T18)</f>
        <v>-0.0941409080050959</v>
      </c>
      <c r="V18" s="135" t="n">
        <v>0</v>
      </c>
      <c r="W18" s="135"/>
      <c r="X18" s="135" t="n">
        <f aca="false">M18-N18-O18-P18-Q18-R18-S18-T18-U18+V18+W18</f>
        <v>0</v>
      </c>
      <c r="Y18" s="135" t="n">
        <f aca="false">X18-AO18</f>
        <v>0</v>
      </c>
      <c r="Z18" s="135"/>
      <c r="AA18" s="135"/>
      <c r="AB18" s="107"/>
      <c r="AC18" s="136" t="n">
        <v>26.2</v>
      </c>
      <c r="AD18" s="107"/>
      <c r="AE18" s="135" t="n">
        <v>0</v>
      </c>
      <c r="AF18" s="248"/>
      <c r="AG18" s="249"/>
      <c r="AH18" s="135" t="n">
        <v>30</v>
      </c>
      <c r="AI18" s="107" t="n">
        <f aca="false">AI17-AH18</f>
        <v>1607</v>
      </c>
      <c r="AJ18" s="136"/>
      <c r="AK18" s="134" t="n">
        <f aca="false">N18+O18+P18+Q18+R18+S18+T18+U18+X18+AE18+AH18</f>
        <v>33.9</v>
      </c>
      <c r="AL18" s="135" t="n">
        <f aca="false">IF(L18&lt;0,L18*-1,0)</f>
        <v>0</v>
      </c>
      <c r="AM18" s="135" t="n">
        <f aca="false">AK18+AL18</f>
        <v>33.9</v>
      </c>
      <c r="AN18" s="220" t="n">
        <f aca="false">V18</f>
        <v>0</v>
      </c>
      <c r="AO18" s="136"/>
      <c r="AP18" s="221"/>
      <c r="AQ18" s="107"/>
      <c r="AR18" s="107"/>
      <c r="AS18" s="221"/>
      <c r="AU18" s="176"/>
      <c r="AV18" s="222" t="n">
        <v>0</v>
      </c>
      <c r="AW18" s="215" t="n">
        <v>49</v>
      </c>
      <c r="AX18" s="215" t="n">
        <v>16</v>
      </c>
      <c r="AY18" s="299"/>
      <c r="AZ18" s="250" t="n">
        <f aca="false">SUM(N18,P18:U18)</f>
        <v>3.9</v>
      </c>
    </row>
    <row r="19" customFormat="false" ht="12.95" hidden="false" customHeight="true" outlineLevel="0" collapsed="false">
      <c r="A19" s="183" t="n">
        <f aca="false">A18+1</f>
        <v>5</v>
      </c>
      <c r="B19" s="106" t="n">
        <v>6901.2</v>
      </c>
      <c r="C19" s="107" t="n">
        <v>288028</v>
      </c>
      <c r="D19" s="215" t="n">
        <f aca="false">C19-C18</f>
        <v>74</v>
      </c>
      <c r="E19" s="107" t="n">
        <f aca="false">C19-152000</f>
        <v>136028</v>
      </c>
      <c r="F19" s="246" t="n">
        <f aca="false">D19/$D$2</f>
        <v>37.3077892614066</v>
      </c>
      <c r="G19" s="135" t="n">
        <v>39</v>
      </c>
      <c r="H19" s="335" t="n">
        <v>2</v>
      </c>
      <c r="I19" s="135" t="n">
        <f aca="false">G19+H19</f>
        <v>41</v>
      </c>
      <c r="J19" s="136" t="n">
        <f aca="false">IF(L19&gt;0,L19,0)</f>
        <v>29.6077892614066</v>
      </c>
      <c r="K19" s="135" t="n">
        <f aca="false">I19+J19</f>
        <v>70.6077892614066</v>
      </c>
      <c r="L19" s="135" t="n">
        <f aca="false">F19-(I19-AK19)</f>
        <v>29.6077892614066</v>
      </c>
      <c r="M19" s="248" t="n">
        <v>3.3</v>
      </c>
      <c r="N19" s="135" t="n">
        <v>0</v>
      </c>
      <c r="O19" s="135" t="n">
        <v>0</v>
      </c>
      <c r="P19" s="158" t="n">
        <v>0</v>
      </c>
      <c r="Q19" s="336" t="n">
        <f aca="false">934900/325851/1.9835*1.02</f>
        <v>1.47541457242474</v>
      </c>
      <c r="R19" s="131" t="n">
        <f aca="false">((2)*1.04)-T19</f>
        <v>1.64389056</v>
      </c>
      <c r="S19" s="131" t="n">
        <v>0</v>
      </c>
      <c r="T19" s="131" t="n">
        <f aca="false">(0.3956*1.06)*1.04</f>
        <v>0.43610944</v>
      </c>
      <c r="U19" s="96" t="n">
        <f aca="false">M19-(Q19+R19+S19+T19)</f>
        <v>-0.255414572424738</v>
      </c>
      <c r="V19" s="135" t="n">
        <v>0</v>
      </c>
      <c r="W19" s="135"/>
      <c r="X19" s="135" t="n">
        <f aca="false">M19-N19-O19-P19-Q19-R19-S19-T19-U19+V19+W19</f>
        <v>0</v>
      </c>
      <c r="Y19" s="135" t="n">
        <f aca="false">X19-AO19</f>
        <v>0</v>
      </c>
      <c r="Z19" s="135"/>
      <c r="AA19" s="135"/>
      <c r="AB19" s="107"/>
      <c r="AC19" s="136" t="n">
        <v>39.3</v>
      </c>
      <c r="AD19" s="107"/>
      <c r="AE19" s="135" t="n">
        <v>0</v>
      </c>
      <c r="AF19" s="248"/>
      <c r="AG19" s="249"/>
      <c r="AH19" s="135" t="n">
        <v>30</v>
      </c>
      <c r="AI19" s="107" t="n">
        <f aca="false">AI18-AH19</f>
        <v>1577</v>
      </c>
      <c r="AJ19" s="136"/>
      <c r="AK19" s="134" t="n">
        <f aca="false">N19+O19+P19+Q19+R19+S19+T19+U19+X19+AE19+AH19</f>
        <v>33.3</v>
      </c>
      <c r="AL19" s="135" t="n">
        <f aca="false">IF(L19&lt;0,L19*-1,0)</f>
        <v>0</v>
      </c>
      <c r="AM19" s="135" t="n">
        <f aca="false">AK19+AL19</f>
        <v>33.3</v>
      </c>
      <c r="AN19" s="220" t="n">
        <f aca="false">V19</f>
        <v>0</v>
      </c>
      <c r="AO19" s="136"/>
      <c r="AP19" s="221"/>
      <c r="AQ19" s="107"/>
      <c r="AR19" s="107"/>
      <c r="AS19" s="221"/>
      <c r="AU19" s="176"/>
      <c r="AV19" s="222" t="n">
        <v>0</v>
      </c>
      <c r="AW19" s="215" t="n">
        <v>54</v>
      </c>
      <c r="AX19" s="215" t="n">
        <v>24</v>
      </c>
      <c r="AY19" s="299"/>
      <c r="AZ19" s="250" t="n">
        <f aca="false">SUM(N19,P19:U19)</f>
        <v>3.3</v>
      </c>
    </row>
    <row r="20" customFormat="false" ht="12.95" hidden="false" customHeight="true" outlineLevel="0" collapsed="false">
      <c r="A20" s="183" t="n">
        <f aca="false">A19+1</f>
        <v>6</v>
      </c>
      <c r="B20" s="106" t="n">
        <v>6901.22</v>
      </c>
      <c r="C20" s="107" t="n">
        <v>288103</v>
      </c>
      <c r="D20" s="215" t="n">
        <f aca="false">C20-C19</f>
        <v>75</v>
      </c>
      <c r="E20" s="107" t="n">
        <f aca="false">C20-152000</f>
        <v>136103</v>
      </c>
      <c r="F20" s="246" t="n">
        <f aca="false">D20/$D$2</f>
        <v>37.8119485757499</v>
      </c>
      <c r="G20" s="135" t="n">
        <v>44</v>
      </c>
      <c r="H20" s="335" t="n">
        <v>2.2</v>
      </c>
      <c r="I20" s="135" t="n">
        <f aca="false">G20+H20</f>
        <v>46.2</v>
      </c>
      <c r="J20" s="136" t="n">
        <f aca="false">IF(L20&gt;0,L20,0)</f>
        <v>25.2119485757499</v>
      </c>
      <c r="K20" s="135" t="n">
        <f aca="false">I20+J20</f>
        <v>71.4119485757499</v>
      </c>
      <c r="L20" s="135" t="n">
        <f aca="false">F20-(I20-AK20)</f>
        <v>25.2119485757499</v>
      </c>
      <c r="M20" s="248" t="n">
        <v>3.6</v>
      </c>
      <c r="N20" s="135" t="n">
        <v>0</v>
      </c>
      <c r="O20" s="135" t="n">
        <v>0</v>
      </c>
      <c r="P20" s="158" t="n">
        <v>0</v>
      </c>
      <c r="Q20" s="336" t="n">
        <f aca="false">865500/325851/1.9835*1.02</f>
        <v>1.36589080375827</v>
      </c>
      <c r="R20" s="131" t="n">
        <f aca="false">((2)*1.04)-T20</f>
        <v>1.64389056</v>
      </c>
      <c r="S20" s="131" t="n">
        <v>0</v>
      </c>
      <c r="T20" s="131" t="n">
        <f aca="false">(0.3956*1.06)*1.04</f>
        <v>0.43610944</v>
      </c>
      <c r="U20" s="96" t="n">
        <f aca="false">M20-(Q20+R20+S20+T20)</f>
        <v>0.154109196241726</v>
      </c>
      <c r="V20" s="135" t="n">
        <v>0</v>
      </c>
      <c r="W20" s="135"/>
      <c r="X20" s="135" t="n">
        <f aca="false">M20-N20-O20-P20-Q20-R20-S20-T20-U20+V20+W20</f>
        <v>0</v>
      </c>
      <c r="Y20" s="135" t="n">
        <f aca="false">X20-AO20</f>
        <v>0</v>
      </c>
      <c r="Z20" s="135"/>
      <c r="AA20" s="135"/>
      <c r="AB20" s="107"/>
      <c r="AC20" s="136" t="n">
        <v>39.1</v>
      </c>
      <c r="AD20" s="107"/>
      <c r="AE20" s="135" t="n">
        <v>0</v>
      </c>
      <c r="AF20" s="248"/>
      <c r="AG20" s="249"/>
      <c r="AH20" s="135" t="n">
        <v>30</v>
      </c>
      <c r="AI20" s="107" t="n">
        <f aca="false">AI19-AH20</f>
        <v>1547</v>
      </c>
      <c r="AJ20" s="136"/>
      <c r="AK20" s="134" t="n">
        <f aca="false">N20+O20+P20+Q20+R20+S20+T20+U20+X20+AE20+AH20</f>
        <v>33.6</v>
      </c>
      <c r="AL20" s="135" t="n">
        <f aca="false">IF(L20&lt;0,L20*-1,0)</f>
        <v>0</v>
      </c>
      <c r="AM20" s="135" t="n">
        <f aca="false">AK20+AL20</f>
        <v>33.6</v>
      </c>
      <c r="AN20" s="220" t="n">
        <f aca="false">V20</f>
        <v>0</v>
      </c>
      <c r="AO20" s="136"/>
      <c r="AP20" s="135"/>
      <c r="AQ20" s="107"/>
      <c r="AR20" s="107"/>
      <c r="AS20" s="221"/>
      <c r="AU20" s="176"/>
      <c r="AV20" s="222" t="n">
        <v>0</v>
      </c>
      <c r="AW20" s="215" t="n">
        <v>53</v>
      </c>
      <c r="AX20" s="215" t="n">
        <v>32</v>
      </c>
      <c r="AY20" s="299"/>
      <c r="AZ20" s="250" t="n">
        <f aca="false">SUM(N20,P20:U20)</f>
        <v>3.6</v>
      </c>
    </row>
    <row r="21" customFormat="false" ht="12.95" hidden="false" customHeight="true" outlineLevel="0" collapsed="false">
      <c r="A21" s="183" t="n">
        <f aca="false">A20+1</f>
        <v>7</v>
      </c>
      <c r="B21" s="106" t="n">
        <v>6901.24</v>
      </c>
      <c r="C21" s="107" t="n">
        <v>288178</v>
      </c>
      <c r="D21" s="215" t="n">
        <f aca="false">C21-C20</f>
        <v>75</v>
      </c>
      <c r="E21" s="107" t="n">
        <f aca="false">C21-152000</f>
        <v>136178</v>
      </c>
      <c r="F21" s="246" t="n">
        <f aca="false">D21/$D$2</f>
        <v>37.8119485757499</v>
      </c>
      <c r="G21" s="135" t="n">
        <v>48</v>
      </c>
      <c r="H21" s="335" t="n">
        <v>2.1</v>
      </c>
      <c r="I21" s="135" t="n">
        <f aca="false">G21+H21</f>
        <v>50.1</v>
      </c>
      <c r="J21" s="136" t="n">
        <f aca="false">IF(L21&gt;0,L21,0)</f>
        <v>25.5119485757499</v>
      </c>
      <c r="K21" s="135" t="n">
        <f aca="false">I21+J21</f>
        <v>75.6119485757499</v>
      </c>
      <c r="L21" s="135" t="n">
        <f aca="false">F21-(I21-AK21)</f>
        <v>25.5119485757499</v>
      </c>
      <c r="M21" s="248" t="n">
        <v>3.8</v>
      </c>
      <c r="N21" s="135" t="n">
        <v>0</v>
      </c>
      <c r="O21" s="135" t="n">
        <v>0</v>
      </c>
      <c r="P21" s="158" t="n">
        <v>0</v>
      </c>
      <c r="Q21" s="336" t="n">
        <f aca="false">991100/325851/1.9835*1.02</f>
        <v>1.56410673091257</v>
      </c>
      <c r="R21" s="131" t="n">
        <f aca="false">((2)*1.04)-T21</f>
        <v>1.64389056</v>
      </c>
      <c r="S21" s="131" t="n">
        <v>0</v>
      </c>
      <c r="T21" s="131" t="n">
        <f aca="false">(0.3956*1.06)*1.04</f>
        <v>0.43610944</v>
      </c>
      <c r="U21" s="96" t="n">
        <f aca="false">M21-(Q21+R21+S21+T21)</f>
        <v>0.155893269087434</v>
      </c>
      <c r="V21" s="135" t="n">
        <v>0</v>
      </c>
      <c r="W21" s="135"/>
      <c r="X21" s="135" t="n">
        <f aca="false">M21-N21-O21-P21-Q21-R21-S21-T21-U21+V21+W21</f>
        <v>0</v>
      </c>
      <c r="Y21" s="135" t="n">
        <f aca="false">X21-AO21</f>
        <v>0</v>
      </c>
      <c r="Z21" s="135"/>
      <c r="AA21" s="135"/>
      <c r="AB21" s="107"/>
      <c r="AC21" s="136" t="n">
        <v>40.4</v>
      </c>
      <c r="AD21" s="107"/>
      <c r="AE21" s="135" t="n">
        <v>0</v>
      </c>
      <c r="AF21" s="248"/>
      <c r="AG21" s="249"/>
      <c r="AH21" s="135" t="n">
        <v>34</v>
      </c>
      <c r="AI21" s="107" t="n">
        <f aca="false">AI20-AH21</f>
        <v>1513</v>
      </c>
      <c r="AJ21" s="136"/>
      <c r="AK21" s="134" t="n">
        <f aca="false">N21+O21+P21+Q21+R21+S21+T21+U21+X21+AE21+AH21</f>
        <v>37.8</v>
      </c>
      <c r="AL21" s="135" t="n">
        <f aca="false">IF(L21&lt;0,L21*-1,0)</f>
        <v>0</v>
      </c>
      <c r="AM21" s="135" t="n">
        <f aca="false">AK21+AL21</f>
        <v>37.8</v>
      </c>
      <c r="AN21" s="220" t="n">
        <f aca="false">V21</f>
        <v>0</v>
      </c>
      <c r="AO21" s="136"/>
      <c r="AP21" s="135"/>
      <c r="AQ21" s="107"/>
      <c r="AR21" s="107"/>
      <c r="AS21" s="221"/>
      <c r="AU21" s="176"/>
      <c r="AV21" s="222" t="n">
        <v>0.07</v>
      </c>
      <c r="AW21" s="215" t="n">
        <v>42</v>
      </c>
      <c r="AX21" s="215" t="n">
        <v>21</v>
      </c>
      <c r="AY21" s="299"/>
      <c r="AZ21" s="250" t="n">
        <f aca="false">SUM(N21,P21:U21)</f>
        <v>3.8</v>
      </c>
    </row>
    <row r="22" customFormat="false" ht="12.95" hidden="false" customHeight="true" outlineLevel="0" collapsed="false">
      <c r="A22" s="183" t="n">
        <f aca="false">A21+1</f>
        <v>8</v>
      </c>
      <c r="B22" s="106" t="n">
        <v>6901.25</v>
      </c>
      <c r="C22" s="107" t="n">
        <v>288215</v>
      </c>
      <c r="D22" s="215" t="n">
        <f aca="false">C22-C21</f>
        <v>37</v>
      </c>
      <c r="E22" s="107" t="n">
        <f aca="false">C22-152000</f>
        <v>136215</v>
      </c>
      <c r="F22" s="246" t="n">
        <f aca="false">D22/$D$2</f>
        <v>18.6538946307033</v>
      </c>
      <c r="G22" s="135" t="n">
        <v>48</v>
      </c>
      <c r="H22" s="335" t="n">
        <v>2.1</v>
      </c>
      <c r="I22" s="135" t="n">
        <f aca="false">G22+H22</f>
        <v>50.1</v>
      </c>
      <c r="J22" s="136" t="n">
        <f aca="false">IF(L22&gt;0,L22,0)</f>
        <v>15.4538946307033</v>
      </c>
      <c r="K22" s="135" t="n">
        <f aca="false">I22+J22</f>
        <v>65.5538946307033</v>
      </c>
      <c r="L22" s="135" t="n">
        <f aca="false">F22-(I22-AK22)</f>
        <v>15.4538946307033</v>
      </c>
      <c r="M22" s="248" t="n">
        <v>3.9</v>
      </c>
      <c r="N22" s="135" t="n">
        <v>0</v>
      </c>
      <c r="O22" s="135" t="n">
        <v>0</v>
      </c>
      <c r="P22" s="158" t="n">
        <v>0</v>
      </c>
      <c r="Q22" s="336" t="n">
        <f aca="false">856700/325851/1.9835*1.02</f>
        <v>1.35200306363918</v>
      </c>
      <c r="R22" s="131" t="n">
        <f aca="false">((2)*1.04)-T22</f>
        <v>1.64389056</v>
      </c>
      <c r="S22" s="131" t="n">
        <v>0</v>
      </c>
      <c r="T22" s="131" t="n">
        <f aca="false">(0.3956*1.06)*1.04</f>
        <v>0.43610944</v>
      </c>
      <c r="U22" s="96" t="n">
        <f aca="false">M22-(Q22+R22+S22+T22)</f>
        <v>0.467996936360816</v>
      </c>
      <c r="V22" s="135" t="n">
        <v>0</v>
      </c>
      <c r="W22" s="135"/>
      <c r="X22" s="135" t="n">
        <f aca="false">M22-N22-O22-P22-Q22-R22-S22-T22-U22+V22+W22</f>
        <v>0</v>
      </c>
      <c r="Y22" s="135" t="n">
        <f aca="false">X22-AO22</f>
        <v>0</v>
      </c>
      <c r="Z22" s="135"/>
      <c r="AA22" s="135"/>
      <c r="AB22" s="107"/>
      <c r="AC22" s="136" t="n">
        <v>36</v>
      </c>
      <c r="AD22" s="107"/>
      <c r="AE22" s="135" t="n">
        <v>0</v>
      </c>
      <c r="AF22" s="248"/>
      <c r="AG22" s="249"/>
      <c r="AH22" s="135" t="n">
        <v>43</v>
      </c>
      <c r="AI22" s="107" t="n">
        <f aca="false">AI21-AH22</f>
        <v>1470</v>
      </c>
      <c r="AJ22" s="136"/>
      <c r="AK22" s="134" t="n">
        <f aca="false">N22+O22+P22+Q22+R22+S22+T22+U22+X22+AE22+AH22</f>
        <v>46.9</v>
      </c>
      <c r="AL22" s="135" t="n">
        <f aca="false">IF(L22&lt;0,L22*-1,0)</f>
        <v>0</v>
      </c>
      <c r="AM22" s="135" t="n">
        <f aca="false">AK22+AL22</f>
        <v>46.9</v>
      </c>
      <c r="AN22" s="220" t="n">
        <f aca="false">V22</f>
        <v>0</v>
      </c>
      <c r="AO22" s="136"/>
      <c r="AP22" s="135"/>
      <c r="AQ22" s="107"/>
      <c r="AR22" s="107"/>
      <c r="AS22" s="221"/>
      <c r="AU22" s="176"/>
      <c r="AV22" s="222" t="n">
        <v>0</v>
      </c>
      <c r="AW22" s="215" t="n">
        <v>47</v>
      </c>
      <c r="AX22" s="215" t="n">
        <v>22</v>
      </c>
      <c r="AY22" s="299"/>
      <c r="AZ22" s="250" t="n">
        <f aca="false">SUM(N22,P22:U22)</f>
        <v>3.9</v>
      </c>
    </row>
    <row r="23" customFormat="false" ht="12.95" hidden="false" customHeight="true" outlineLevel="0" collapsed="false">
      <c r="A23" s="183" t="n">
        <f aca="false">A22+1</f>
        <v>9</v>
      </c>
      <c r="B23" s="106" t="n">
        <v>6901.27</v>
      </c>
      <c r="C23" s="107" t="n">
        <v>288290</v>
      </c>
      <c r="D23" s="215" t="n">
        <f aca="false">C23-C22</f>
        <v>75</v>
      </c>
      <c r="E23" s="107" t="n">
        <f aca="false">C23-152000</f>
        <v>136290</v>
      </c>
      <c r="F23" s="246" t="n">
        <f aca="false">D23/$D$2</f>
        <v>37.8119485757499</v>
      </c>
      <c r="G23" s="135" t="n">
        <v>51</v>
      </c>
      <c r="H23" s="335" t="n">
        <v>2.4</v>
      </c>
      <c r="I23" s="135" t="n">
        <f aca="false">G23+H23</f>
        <v>53.4</v>
      </c>
      <c r="J23" s="136" t="n">
        <f aca="false">IF(L23&gt;0,L23,0)</f>
        <v>31.3119485757499</v>
      </c>
      <c r="K23" s="135" t="n">
        <f aca="false">I23+J23</f>
        <v>84.71194857575</v>
      </c>
      <c r="L23" s="135" t="n">
        <f aca="false">F23-(I23-AK23)</f>
        <v>31.3119485757499</v>
      </c>
      <c r="M23" s="248" t="n">
        <v>3.9</v>
      </c>
      <c r="N23" s="135" t="n">
        <v>0</v>
      </c>
      <c r="O23" s="135" t="n">
        <v>0</v>
      </c>
      <c r="P23" s="158" t="n">
        <v>0</v>
      </c>
      <c r="Q23" s="336" t="n">
        <f aca="false">1120000/325851/1.9835*1.02</f>
        <v>1.76753056061152</v>
      </c>
      <c r="R23" s="131" t="n">
        <f aca="false">((2)*1.04)-T23</f>
        <v>1.58369952</v>
      </c>
      <c r="S23" s="131" t="n">
        <v>0</v>
      </c>
      <c r="T23" s="131" t="n">
        <f aca="false">(0.4502*1.06)*1.04</f>
        <v>0.49630048</v>
      </c>
      <c r="U23" s="96" t="n">
        <f aca="false">M23-(Q23+R23+S23+T23)</f>
        <v>0.0524694393884841</v>
      </c>
      <c r="V23" s="135" t="n">
        <v>0</v>
      </c>
      <c r="W23" s="135"/>
      <c r="X23" s="135" t="n">
        <f aca="false">M23-N23-O23-P23-Q23-R23-S23-T23-U23+V23+W23</f>
        <v>0</v>
      </c>
      <c r="Y23" s="135" t="n">
        <f aca="false">X23-AO23</f>
        <v>0</v>
      </c>
      <c r="Z23" s="135"/>
      <c r="AA23" s="135"/>
      <c r="AB23" s="107"/>
      <c r="AC23" s="136" t="n">
        <v>41.1</v>
      </c>
      <c r="AD23" s="107"/>
      <c r="AE23" s="135" t="n">
        <v>0</v>
      </c>
      <c r="AF23" s="248"/>
      <c r="AG23" s="249"/>
      <c r="AH23" s="135" t="n">
        <v>43</v>
      </c>
      <c r="AI23" s="107" t="n">
        <f aca="false">AI22-AH23</f>
        <v>1427</v>
      </c>
      <c r="AJ23" s="136"/>
      <c r="AK23" s="134" t="n">
        <f aca="false">N23+O23+P23+Q23+R23+S23+T23+U23+X23+AE23+AH23</f>
        <v>46.9</v>
      </c>
      <c r="AL23" s="135" t="n">
        <f aca="false">IF(L23&lt;0,L23*-1,0)</f>
        <v>0</v>
      </c>
      <c r="AM23" s="135" t="n">
        <f aca="false">AK23+AL23</f>
        <v>46.9</v>
      </c>
      <c r="AN23" s="220" t="n">
        <f aca="false">V23</f>
        <v>0</v>
      </c>
      <c r="AO23" s="136"/>
      <c r="AP23" s="135"/>
      <c r="AQ23" s="107"/>
      <c r="AR23" s="107"/>
      <c r="AS23" s="221"/>
      <c r="AU23" s="176"/>
      <c r="AV23" s="222" t="n">
        <v>0</v>
      </c>
      <c r="AW23" s="221" t="n">
        <v>49</v>
      </c>
      <c r="AX23" s="215" t="n">
        <v>21</v>
      </c>
      <c r="AY23" s="299"/>
      <c r="AZ23" s="250" t="n">
        <f aca="false">SUM(N23,P23:U23)</f>
        <v>3.9</v>
      </c>
    </row>
    <row r="24" customFormat="false" ht="12.95" hidden="false" customHeight="true" outlineLevel="0" collapsed="false">
      <c r="A24" s="183" t="n">
        <f aca="false">A23+1</f>
        <v>10</v>
      </c>
      <c r="B24" s="106" t="n">
        <v>6901.29</v>
      </c>
      <c r="C24" s="107" t="n">
        <v>288364</v>
      </c>
      <c r="D24" s="215" t="n">
        <f aca="false">C24-C23</f>
        <v>74</v>
      </c>
      <c r="E24" s="107" t="n">
        <f aca="false">C24-152000</f>
        <v>136364</v>
      </c>
      <c r="F24" s="246" t="n">
        <f aca="false">D24/$D$2</f>
        <v>37.3077892614066</v>
      </c>
      <c r="G24" s="135" t="n">
        <v>62</v>
      </c>
      <c r="H24" s="335" t="n">
        <v>2.5</v>
      </c>
      <c r="I24" s="135" t="n">
        <f aca="false">G24+H24</f>
        <v>64.5</v>
      </c>
      <c r="J24" s="136" t="n">
        <f aca="false">IF(L24&gt;0,L24,0)</f>
        <v>19.7077892614066</v>
      </c>
      <c r="K24" s="135" t="n">
        <f aca="false">I24+J24</f>
        <v>84.2077892614066</v>
      </c>
      <c r="L24" s="135" t="n">
        <f aca="false">F24-(I24-AK24)</f>
        <v>19.7077892614066</v>
      </c>
      <c r="M24" s="248" t="n">
        <v>3.9</v>
      </c>
      <c r="N24" s="135" t="n">
        <v>0</v>
      </c>
      <c r="O24" s="135" t="n">
        <v>0</v>
      </c>
      <c r="P24" s="158" t="n">
        <v>0</v>
      </c>
      <c r="Q24" s="336" t="n">
        <f aca="false">1025700/325851/1.9835*1.02</f>
        <v>1.61871080001717</v>
      </c>
      <c r="R24" s="131" t="n">
        <f aca="false">((2)*1.04)-T24</f>
        <v>1.58369952</v>
      </c>
      <c r="S24" s="131" t="n">
        <v>0</v>
      </c>
      <c r="T24" s="131" t="n">
        <f aca="false">(0.4502*1.06)*1.04</f>
        <v>0.49630048</v>
      </c>
      <c r="U24" s="96" t="n">
        <f aca="false">M24-(Q24+R24+S24+T24)</f>
        <v>0.201289199982829</v>
      </c>
      <c r="V24" s="135" t="n">
        <v>0</v>
      </c>
      <c r="W24" s="135"/>
      <c r="X24" s="135" t="n">
        <f aca="false">M24-N24-O24-P24-Q24-R24-S24-T24-U24+V24+W24</f>
        <v>0</v>
      </c>
      <c r="Y24" s="135" t="n">
        <f aca="false">X24-AO24</f>
        <v>0</v>
      </c>
      <c r="Z24" s="135"/>
      <c r="AA24" s="135"/>
      <c r="AB24" s="107"/>
      <c r="AC24" s="136" t="n">
        <v>41.1</v>
      </c>
      <c r="AD24" s="107"/>
      <c r="AE24" s="135" t="n">
        <v>0</v>
      </c>
      <c r="AF24" s="248"/>
      <c r="AG24" s="249"/>
      <c r="AH24" s="135" t="n">
        <v>43</v>
      </c>
      <c r="AI24" s="107" t="n">
        <f aca="false">AI23-AH24</f>
        <v>1384</v>
      </c>
      <c r="AJ24" s="136"/>
      <c r="AK24" s="134" t="n">
        <f aca="false">N24+O24+P24+Q24+R24+S24+T24+U24+X24+AE24+AH24</f>
        <v>46.9</v>
      </c>
      <c r="AL24" s="135" t="n">
        <f aca="false">IF(L24&lt;0,L24*-1,0)</f>
        <v>0</v>
      </c>
      <c r="AM24" s="135" t="n">
        <f aca="false">AK24+AL24</f>
        <v>46.9</v>
      </c>
      <c r="AN24" s="220" t="n">
        <f aca="false">V24</f>
        <v>0</v>
      </c>
      <c r="AO24" s="136"/>
      <c r="AP24" s="135"/>
      <c r="AQ24" s="107"/>
      <c r="AR24" s="107"/>
      <c r="AS24" s="221"/>
      <c r="AU24" s="176"/>
      <c r="AV24" s="222" t="n">
        <v>0</v>
      </c>
      <c r="AW24" s="215" t="n">
        <v>51</v>
      </c>
      <c r="AX24" s="215" t="n">
        <v>24</v>
      </c>
      <c r="AY24" s="299"/>
      <c r="AZ24" s="250" t="n">
        <f aca="false">SUM(N24,P24:U24)</f>
        <v>3.9</v>
      </c>
    </row>
    <row r="25" customFormat="false" ht="12.95" hidden="false" customHeight="true" outlineLevel="0" collapsed="false">
      <c r="A25" s="183" t="n">
        <f aca="false">A24+1</f>
        <v>11</v>
      </c>
      <c r="B25" s="106" t="n">
        <v>6901.32</v>
      </c>
      <c r="C25" s="107" t="n">
        <v>288476</v>
      </c>
      <c r="D25" s="215" t="n">
        <f aca="false">C25-C24</f>
        <v>112</v>
      </c>
      <c r="E25" s="107" t="n">
        <f aca="false">C25-152000</f>
        <v>136476</v>
      </c>
      <c r="F25" s="246" t="n">
        <f aca="false">D25/$D$2</f>
        <v>56.4658432064532</v>
      </c>
      <c r="G25" s="135" t="n">
        <v>79</v>
      </c>
      <c r="H25" s="335" t="n">
        <v>2.6</v>
      </c>
      <c r="I25" s="135" t="n">
        <f aca="false">G25+H25</f>
        <v>81.6</v>
      </c>
      <c r="J25" s="136" t="n">
        <f aca="false">IF(L25&gt;0,L25,0)</f>
        <v>21.7658432064532</v>
      </c>
      <c r="K25" s="135" t="n">
        <f aca="false">I25+J25</f>
        <v>103.365843206453</v>
      </c>
      <c r="L25" s="135" t="n">
        <f aca="false">F25-(I25-AK25)</f>
        <v>21.7658432064532</v>
      </c>
      <c r="M25" s="248" t="n">
        <v>3.9</v>
      </c>
      <c r="N25" s="135" t="n">
        <v>0</v>
      </c>
      <c r="O25" s="135" t="n">
        <v>0</v>
      </c>
      <c r="P25" s="158" t="n">
        <v>0</v>
      </c>
      <c r="Q25" s="336" t="n">
        <f aca="false">1097700/325851/1.9835*1.02</f>
        <v>1.73233776462791</v>
      </c>
      <c r="R25" s="131" t="n">
        <f aca="false">((2)*1.04)-T25</f>
        <v>1.58369952</v>
      </c>
      <c r="S25" s="131" t="n">
        <v>0</v>
      </c>
      <c r="T25" s="131" t="n">
        <f aca="false">(0.4502*1.06)*1.04</f>
        <v>0.49630048</v>
      </c>
      <c r="U25" s="96" t="n">
        <f aca="false">M25-(Q25+R25+S25+T25)</f>
        <v>0.087662235372088</v>
      </c>
      <c r="V25" s="135" t="n">
        <v>0</v>
      </c>
      <c r="W25" s="135"/>
      <c r="X25" s="135" t="n">
        <f aca="false">M25-N25-O25-P25-Q25-R25-S25-T25-U25+V25+W25</f>
        <v>0</v>
      </c>
      <c r="Y25" s="135" t="n">
        <f aca="false">X25-AO25</f>
        <v>0</v>
      </c>
      <c r="Z25" s="135"/>
      <c r="AA25" s="135"/>
      <c r="AB25" s="107"/>
      <c r="AC25" s="136" t="n">
        <v>47.3</v>
      </c>
      <c r="AD25" s="107"/>
      <c r="AE25" s="135" t="n">
        <v>0</v>
      </c>
      <c r="AF25" s="248"/>
      <c r="AG25" s="249"/>
      <c r="AH25" s="135" t="n">
        <v>43</v>
      </c>
      <c r="AI25" s="107" t="n">
        <f aca="false">AI24-AH25</f>
        <v>1341</v>
      </c>
      <c r="AJ25" s="136"/>
      <c r="AK25" s="134" t="n">
        <f aca="false">N25+O25+P25+Q25+R25+S25+T25+U25+X25+AE25+AH25</f>
        <v>46.9</v>
      </c>
      <c r="AL25" s="135" t="n">
        <f aca="false">IF(L25&lt;0,L25*-1,0)</f>
        <v>0</v>
      </c>
      <c r="AM25" s="135" t="n">
        <f aca="false">AK25+AL25</f>
        <v>46.9</v>
      </c>
      <c r="AN25" s="220" t="n">
        <f aca="false">V25</f>
        <v>0</v>
      </c>
      <c r="AO25" s="136"/>
      <c r="AP25" s="135"/>
      <c r="AQ25" s="107"/>
      <c r="AR25" s="107"/>
      <c r="AS25" s="221"/>
      <c r="AU25" s="176"/>
      <c r="AV25" s="222" t="n">
        <v>0</v>
      </c>
      <c r="AW25" s="215" t="n">
        <v>54</v>
      </c>
      <c r="AX25" s="215" t="n">
        <v>24</v>
      </c>
      <c r="AY25" s="299"/>
      <c r="AZ25" s="250" t="n">
        <f aca="false">SUM(N25,P25:U25)</f>
        <v>3.9</v>
      </c>
    </row>
    <row r="26" customFormat="false" ht="12.95" hidden="false" customHeight="true" outlineLevel="0" collapsed="false">
      <c r="A26" s="183" t="n">
        <f aca="false">A25+1</f>
        <v>12</v>
      </c>
      <c r="B26" s="106" t="n">
        <v>6901.34</v>
      </c>
      <c r="C26" s="107" t="n">
        <v>288551</v>
      </c>
      <c r="D26" s="215" t="n">
        <f aca="false">C26-C25</f>
        <v>75</v>
      </c>
      <c r="E26" s="107" t="n">
        <f aca="false">C26-152000</f>
        <v>136551</v>
      </c>
      <c r="F26" s="246" t="n">
        <f aca="false">D26/$D$2</f>
        <v>37.8119485757499</v>
      </c>
      <c r="G26" s="135" t="n">
        <v>92</v>
      </c>
      <c r="H26" s="335" t="n">
        <v>2.7</v>
      </c>
      <c r="I26" s="135" t="n">
        <f aca="false">G26+H26</f>
        <v>94.7</v>
      </c>
      <c r="J26" s="136" t="n">
        <f aca="false">IF(L26&gt;0,L26,0)</f>
        <v>0</v>
      </c>
      <c r="K26" s="135" t="n">
        <f aca="false">I26+J26</f>
        <v>94.7</v>
      </c>
      <c r="L26" s="135" t="n">
        <f aca="false">F26-(I26-AK26)</f>
        <v>-7.98805142425007</v>
      </c>
      <c r="M26" s="248" t="n">
        <v>3.9</v>
      </c>
      <c r="N26" s="135" t="n">
        <v>0</v>
      </c>
      <c r="O26" s="135" t="n">
        <v>0</v>
      </c>
      <c r="P26" s="158" t="n">
        <v>0</v>
      </c>
      <c r="Q26" s="336" t="n">
        <f aca="false">1120400/325851/1.9835*1.02</f>
        <v>1.76816182152602</v>
      </c>
      <c r="R26" s="131" t="n">
        <f aca="false">((2)*1.04)-T26</f>
        <v>1.58369952</v>
      </c>
      <c r="S26" s="131" t="n">
        <v>0</v>
      </c>
      <c r="T26" s="131" t="n">
        <f aca="false">(0.4502*1.06)*1.04</f>
        <v>0.49630048</v>
      </c>
      <c r="U26" s="96" t="n">
        <f aca="false">M26-(Q26+R26+S26+T26)</f>
        <v>0.0518381784739796</v>
      </c>
      <c r="V26" s="135" t="n">
        <v>0</v>
      </c>
      <c r="W26" s="135"/>
      <c r="X26" s="135" t="n">
        <f aca="false">M26-N26-O26-P26-Q26-R26-S26-T26-U26+V26+W26</f>
        <v>0</v>
      </c>
      <c r="Y26" s="135" t="n">
        <f aca="false">X26-AO26</f>
        <v>0</v>
      </c>
      <c r="Z26" s="135"/>
      <c r="AA26" s="135"/>
      <c r="AB26" s="107"/>
      <c r="AC26" s="136" t="n">
        <v>49.4</v>
      </c>
      <c r="AD26" s="107"/>
      <c r="AE26" s="135" t="n">
        <v>0</v>
      </c>
      <c r="AF26" s="248"/>
      <c r="AG26" s="249"/>
      <c r="AH26" s="135" t="n">
        <v>45</v>
      </c>
      <c r="AI26" s="107" t="n">
        <f aca="false">AI25-AH26</f>
        <v>1296</v>
      </c>
      <c r="AJ26" s="136"/>
      <c r="AK26" s="134" t="n">
        <f aca="false">N26+O26+P26+Q26+R26+S26+T26+U26+X26+AE26+AH26</f>
        <v>48.9</v>
      </c>
      <c r="AL26" s="135" t="n">
        <f aca="false">IF(L26&lt;0,L26*-1,0)</f>
        <v>7.98805142425007</v>
      </c>
      <c r="AM26" s="135" t="n">
        <f aca="false">AK26+AL26</f>
        <v>56.8880514242501</v>
      </c>
      <c r="AN26" s="220" t="n">
        <f aca="false">V26</f>
        <v>0</v>
      </c>
      <c r="AO26" s="136"/>
      <c r="AP26" s="135"/>
      <c r="AQ26" s="107"/>
      <c r="AR26" s="107"/>
      <c r="AS26" s="221"/>
      <c r="AU26" s="176"/>
      <c r="AV26" s="222" t="n">
        <v>0</v>
      </c>
      <c r="AW26" s="215" t="n">
        <v>55</v>
      </c>
      <c r="AX26" s="215" t="n">
        <v>26</v>
      </c>
      <c r="AY26" s="299"/>
      <c r="AZ26" s="250" t="n">
        <f aca="false">SUM(N26,P26:U26)</f>
        <v>3.9</v>
      </c>
    </row>
    <row r="27" customFormat="false" ht="12.95" hidden="false" customHeight="true" outlineLevel="0" collapsed="false">
      <c r="A27" s="183" t="n">
        <f aca="false">A26+1</f>
        <v>13</v>
      </c>
      <c r="B27" s="106" t="n">
        <v>6901.4</v>
      </c>
      <c r="C27" s="107" t="n">
        <v>288775</v>
      </c>
      <c r="D27" s="215" t="n">
        <f aca="false">C27-C26</f>
        <v>224</v>
      </c>
      <c r="E27" s="107" t="n">
        <f aca="false">C27-152000</f>
        <v>136775</v>
      </c>
      <c r="F27" s="246" t="n">
        <f aca="false">D27/$D$2</f>
        <v>112.931686412906</v>
      </c>
      <c r="G27" s="135" t="n">
        <v>109</v>
      </c>
      <c r="H27" s="335" t="n">
        <v>3.1</v>
      </c>
      <c r="I27" s="135" t="n">
        <f aca="false">G27+H27</f>
        <v>112.1</v>
      </c>
      <c r="J27" s="136" t="n">
        <f aca="false">IF(L27&gt;0,L27,0)</f>
        <v>50.8316864129065</v>
      </c>
      <c r="K27" s="135" t="n">
        <f aca="false">I27+J27</f>
        <v>162.931686412906</v>
      </c>
      <c r="L27" s="135" t="n">
        <f aca="false">F27-(I27-AK27)</f>
        <v>50.8316864129065</v>
      </c>
      <c r="M27" s="248" t="n">
        <v>4</v>
      </c>
      <c r="N27" s="135" t="n">
        <v>0</v>
      </c>
      <c r="O27" s="135" t="n">
        <v>0</v>
      </c>
      <c r="P27" s="158" t="n">
        <v>0</v>
      </c>
      <c r="Q27" s="336" t="n">
        <f aca="false">773300/325851/1.9835*1.02</f>
        <v>1.22038516296508</v>
      </c>
      <c r="R27" s="131" t="n">
        <f aca="false">((2)*1.04)-T27</f>
        <v>1.58369952</v>
      </c>
      <c r="S27" s="131" t="n">
        <v>0</v>
      </c>
      <c r="T27" s="131" t="n">
        <f aca="false">(0.4502*1.06)*1.04</f>
        <v>0.49630048</v>
      </c>
      <c r="U27" s="96" t="n">
        <f aca="false">M27-(Q27+R27+S27+T27)</f>
        <v>0.699614837034924</v>
      </c>
      <c r="V27" s="135" t="n">
        <v>0</v>
      </c>
      <c r="W27" s="135"/>
      <c r="X27" s="135" t="n">
        <f aca="false">M27-N27-O27-P27-Q27-R27-S27-T27-U27+V27+W27</f>
        <v>0</v>
      </c>
      <c r="Y27" s="135" t="n">
        <f aca="false">X27-AO27</f>
        <v>0</v>
      </c>
      <c r="Z27" s="135"/>
      <c r="AA27" s="135"/>
      <c r="AB27" s="107"/>
      <c r="AC27" s="136" t="n">
        <v>56</v>
      </c>
      <c r="AD27" s="107"/>
      <c r="AE27" s="135" t="n">
        <v>0</v>
      </c>
      <c r="AF27" s="248"/>
      <c r="AG27" s="249"/>
      <c r="AH27" s="135" t="n">
        <v>46</v>
      </c>
      <c r="AI27" s="107" t="n">
        <f aca="false">AI26-AH27</f>
        <v>1250</v>
      </c>
      <c r="AJ27" s="136"/>
      <c r="AK27" s="134" t="n">
        <f aca="false">N27+O27+P27+Q27+R27+S27+T27+U27+X27+AE27+AH27</f>
        <v>50</v>
      </c>
      <c r="AL27" s="135" t="n">
        <f aca="false">IF(L27&lt;0,L27*-1,0)</f>
        <v>0</v>
      </c>
      <c r="AM27" s="135" t="n">
        <f aca="false">AK27+AL27</f>
        <v>50</v>
      </c>
      <c r="AN27" s="220" t="n">
        <f aca="false">V27</f>
        <v>0</v>
      </c>
      <c r="AO27" s="136"/>
      <c r="AP27" s="135"/>
      <c r="AQ27" s="107"/>
      <c r="AR27" s="107"/>
      <c r="AS27" s="221"/>
      <c r="AU27" s="176"/>
      <c r="AV27" s="222" t="n">
        <v>0</v>
      </c>
      <c r="AW27" s="215" t="n">
        <v>59</v>
      </c>
      <c r="AX27" s="215" t="n">
        <v>31</v>
      </c>
      <c r="AY27" s="299"/>
      <c r="AZ27" s="250" t="n">
        <f aca="false">SUM(N27,P27:U27)</f>
        <v>4</v>
      </c>
    </row>
    <row r="28" customFormat="false" ht="12.95" hidden="false" customHeight="true" outlineLevel="0" collapsed="false">
      <c r="A28" s="183" t="n">
        <f aca="false">A27+1</f>
        <v>14</v>
      </c>
      <c r="B28" s="106" t="n">
        <v>6901.45</v>
      </c>
      <c r="C28" s="107" t="n">
        <v>288962</v>
      </c>
      <c r="D28" s="215" t="n">
        <f aca="false">C28-C27</f>
        <v>187</v>
      </c>
      <c r="E28" s="107" t="n">
        <f aca="false">C28-152000</f>
        <v>136962</v>
      </c>
      <c r="F28" s="246" t="n">
        <f aca="false">D28/$D$2</f>
        <v>94.2777917822032</v>
      </c>
      <c r="G28" s="135" t="n">
        <v>122</v>
      </c>
      <c r="H28" s="335" t="n">
        <v>3.1</v>
      </c>
      <c r="I28" s="135" t="n">
        <f aca="false">G28+H28</f>
        <v>125.1</v>
      </c>
      <c r="J28" s="136" t="n">
        <f aca="false">IF(L28&gt;0,L28,0)</f>
        <v>40.0777917822032</v>
      </c>
      <c r="K28" s="135" t="n">
        <f aca="false">I28+J28</f>
        <v>165.177791782203</v>
      </c>
      <c r="L28" s="135" t="n">
        <f aca="false">F28-(I28-AK28)</f>
        <v>40.0777917822032</v>
      </c>
      <c r="M28" s="248" t="n">
        <v>3.9</v>
      </c>
      <c r="N28" s="135" t="n">
        <v>0</v>
      </c>
      <c r="O28" s="135" t="n">
        <v>0</v>
      </c>
      <c r="P28" s="158" t="n">
        <v>0</v>
      </c>
      <c r="Q28" s="336" t="n">
        <f aca="false">1176700/325851/1.9835*1.02</f>
        <v>1.85701179524247</v>
      </c>
      <c r="R28" s="131" t="n">
        <f aca="false">((2)*1.04)-T28</f>
        <v>1.58369952</v>
      </c>
      <c r="S28" s="131" t="n">
        <v>0</v>
      </c>
      <c r="T28" s="131" t="n">
        <f aca="false">(0.4502*1.06)*1.04</f>
        <v>0.49630048</v>
      </c>
      <c r="U28" s="96" t="n">
        <f aca="false">M28-(Q28+R28+S28+T28)</f>
        <v>-0.0370117952424742</v>
      </c>
      <c r="V28" s="135" t="n">
        <v>21</v>
      </c>
      <c r="W28" s="135"/>
      <c r="X28" s="135" t="n">
        <f aca="false">M28-N28-O28-P28-Q28-R28-S28-T28-U28+V28+W28</f>
        <v>21</v>
      </c>
      <c r="Y28" s="135" t="n">
        <f aca="false">X28-AO28</f>
        <v>21</v>
      </c>
      <c r="Z28" s="135"/>
      <c r="AA28" s="135"/>
      <c r="AB28" s="107"/>
      <c r="AC28" s="136" t="n">
        <v>47.7</v>
      </c>
      <c r="AD28" s="107"/>
      <c r="AE28" s="135" t="n">
        <v>0</v>
      </c>
      <c r="AF28" s="248"/>
      <c r="AG28" s="249"/>
      <c r="AH28" s="135" t="n">
        <v>46</v>
      </c>
      <c r="AI28" s="107" t="n">
        <f aca="false">AI27-AH28</f>
        <v>1204</v>
      </c>
      <c r="AJ28" s="136"/>
      <c r="AK28" s="134" t="n">
        <f aca="false">N28+O28+P28+Q28+R28+S28+T28+U28+X28+AE28+AH28</f>
        <v>70.9</v>
      </c>
      <c r="AL28" s="135" t="n">
        <f aca="false">IF(L28&lt;0,L28*-1,0)</f>
        <v>0</v>
      </c>
      <c r="AM28" s="135" t="n">
        <f aca="false">AK28+AL28</f>
        <v>70.9</v>
      </c>
      <c r="AN28" s="220" t="n">
        <f aca="false">V28</f>
        <v>21</v>
      </c>
      <c r="AO28" s="136"/>
      <c r="AP28" s="135"/>
      <c r="AQ28" s="107"/>
      <c r="AR28" s="107"/>
      <c r="AS28" s="221"/>
      <c r="AU28" s="176"/>
      <c r="AV28" s="222" t="n">
        <v>0</v>
      </c>
      <c r="AW28" s="221" t="n">
        <v>60</v>
      </c>
      <c r="AX28" s="215" t="n">
        <v>28</v>
      </c>
      <c r="AY28" s="299"/>
      <c r="AZ28" s="250" t="n">
        <f aca="false">SUM(N28,P28:U28)</f>
        <v>3.9</v>
      </c>
    </row>
    <row r="29" customFormat="false" ht="12.95" hidden="false" customHeight="true" outlineLevel="0" collapsed="false">
      <c r="A29" s="183" t="n">
        <f aca="false">A28+1</f>
        <v>15</v>
      </c>
      <c r="B29" s="106" t="n">
        <v>6901.52</v>
      </c>
      <c r="C29" s="107" t="n">
        <v>289223</v>
      </c>
      <c r="D29" s="215" t="n">
        <f aca="false">C29-C28</f>
        <v>261</v>
      </c>
      <c r="E29" s="107" t="n">
        <f aca="false">C29-152000</f>
        <v>137223</v>
      </c>
      <c r="F29" s="246" t="n">
        <f aca="false">D29/$D$2</f>
        <v>131.58558104361</v>
      </c>
      <c r="G29" s="135" t="n">
        <v>143</v>
      </c>
      <c r="H29" s="335" t="n">
        <v>3.5</v>
      </c>
      <c r="I29" s="135" t="n">
        <f aca="false">G29+H29</f>
        <v>146.5</v>
      </c>
      <c r="J29" s="136" t="n">
        <f aca="false">IF(L29&gt;0,L29,0)</f>
        <v>106.28558104361</v>
      </c>
      <c r="K29" s="135" t="n">
        <f aca="false">I29+J29</f>
        <v>252.78558104361</v>
      </c>
      <c r="L29" s="135" t="n">
        <f aca="false">F29-(I29-AK29)</f>
        <v>106.28558104361</v>
      </c>
      <c r="M29" s="248" t="n">
        <v>4.2</v>
      </c>
      <c r="N29" s="135" t="n">
        <v>0</v>
      </c>
      <c r="O29" s="135" t="n">
        <v>0</v>
      </c>
      <c r="P29" s="158" t="n">
        <v>0</v>
      </c>
      <c r="Q29" s="336" t="n">
        <f aca="false">1131400/325851/1.9835*1.02</f>
        <v>1.78552149667488</v>
      </c>
      <c r="R29" s="131" t="n">
        <f aca="false">((2.3)*1.04)-T29</f>
        <v>1.89569952</v>
      </c>
      <c r="S29" s="131" t="n">
        <v>0</v>
      </c>
      <c r="T29" s="131" t="n">
        <f aca="false">(0.4502*1.06)*1.04</f>
        <v>0.49630048</v>
      </c>
      <c r="U29" s="96" t="n">
        <f aca="false">M29-(Q29+R29+S29+T29)</f>
        <v>0.0224785033251171</v>
      </c>
      <c r="V29" s="135" t="n">
        <v>71</v>
      </c>
      <c r="W29" s="135"/>
      <c r="X29" s="135" t="n">
        <f aca="false">M29-N29-O29-P29-Q29-R29-S29-T29-U29+V29+W29</f>
        <v>71</v>
      </c>
      <c r="Y29" s="135" t="n">
        <f aca="false">X29-AO29</f>
        <v>71</v>
      </c>
      <c r="Z29" s="135"/>
      <c r="AA29" s="135"/>
      <c r="AB29" s="107"/>
      <c r="AC29" s="136" t="n">
        <v>41.5</v>
      </c>
      <c r="AD29" s="107"/>
      <c r="AE29" s="135" t="n">
        <v>0</v>
      </c>
      <c r="AF29" s="248"/>
      <c r="AG29" s="249"/>
      <c r="AH29" s="135" t="n">
        <v>46</v>
      </c>
      <c r="AI29" s="107" t="n">
        <f aca="false">AI28-AH29</f>
        <v>1158</v>
      </c>
      <c r="AJ29" s="136"/>
      <c r="AK29" s="134" t="n">
        <f aca="false">N29+O29+P29+Q29+R29+S29+T29+U29+X29+AE29+AH29</f>
        <v>121.2</v>
      </c>
      <c r="AL29" s="135" t="n">
        <f aca="false">IF(L29&lt;0,L29*-1,0)</f>
        <v>0</v>
      </c>
      <c r="AM29" s="135" t="n">
        <f aca="false">AK29+AL29</f>
        <v>121.2</v>
      </c>
      <c r="AN29" s="220" t="n">
        <f aca="false">V29</f>
        <v>71</v>
      </c>
      <c r="AO29" s="136"/>
      <c r="AP29" s="135"/>
      <c r="AQ29" s="107"/>
      <c r="AR29" s="107"/>
      <c r="AS29" s="221"/>
      <c r="AU29" s="176"/>
      <c r="AV29" s="222" t="n">
        <v>0</v>
      </c>
      <c r="AW29" s="221" t="n">
        <v>62</v>
      </c>
      <c r="AX29" s="215" t="n">
        <v>31</v>
      </c>
      <c r="AY29" s="299"/>
      <c r="AZ29" s="250" t="n">
        <f aca="false">SUM(N29,P29:U29)</f>
        <v>4.2</v>
      </c>
    </row>
    <row r="30" customFormat="false" ht="12.95" hidden="false" customHeight="true" outlineLevel="0" collapsed="false">
      <c r="A30" s="183" t="n">
        <f aca="false">A29+1</f>
        <v>16</v>
      </c>
      <c r="B30" s="106" t="n">
        <v>6901.65</v>
      </c>
      <c r="C30" s="107" t="n">
        <v>289708</v>
      </c>
      <c r="D30" s="215" t="n">
        <f aca="false">C30-C29</f>
        <v>485</v>
      </c>
      <c r="E30" s="107" t="n">
        <f aca="false">C30-152000</f>
        <v>137708</v>
      </c>
      <c r="F30" s="246" t="n">
        <f aca="false">D30/$D$2</f>
        <v>244.517267456516</v>
      </c>
      <c r="G30" s="135" t="n">
        <v>163</v>
      </c>
      <c r="H30" s="335" t="n">
        <v>3.7</v>
      </c>
      <c r="I30" s="135" t="n">
        <f aca="false">G30+H30</f>
        <v>166.7</v>
      </c>
      <c r="J30" s="136" t="n">
        <f aca="false">IF(L30&gt;0,L30,0)</f>
        <v>199.017267456516</v>
      </c>
      <c r="K30" s="135" t="n">
        <f aca="false">I30+J30</f>
        <v>365.717267456516</v>
      </c>
      <c r="L30" s="135" t="n">
        <f aca="false">F30-(I30-AK30)</f>
        <v>199.017267456516</v>
      </c>
      <c r="M30" s="248" t="n">
        <v>4.2</v>
      </c>
      <c r="N30" s="135" t="n">
        <v>0</v>
      </c>
      <c r="O30" s="135" t="n">
        <v>0</v>
      </c>
      <c r="P30" s="158" t="n">
        <v>0</v>
      </c>
      <c r="Q30" s="336" t="n">
        <f aca="false">998100/325851/1.9835*1.02</f>
        <v>1.57515379691639</v>
      </c>
      <c r="R30" s="131" t="n">
        <f aca="false">((2.3)*1.04)-T30</f>
        <v>1.96713504</v>
      </c>
      <c r="S30" s="131" t="n">
        <v>0</v>
      </c>
      <c r="T30" s="131" t="n">
        <f aca="false">(0.3854*1.06)*1.04</f>
        <v>0.42486496</v>
      </c>
      <c r="U30" s="96" t="n">
        <f aca="false">M30-(Q30+R30+S30+T30)</f>
        <v>0.232846203083613</v>
      </c>
      <c r="V30" s="135" t="n">
        <v>71</v>
      </c>
      <c r="W30" s="135"/>
      <c r="X30" s="135" t="n">
        <f aca="false">M30-N30-O30-P30-Q30-R30-S30-T30-U30+V30+W30</f>
        <v>71</v>
      </c>
      <c r="Y30" s="135" t="n">
        <f aca="false">X30-AO30</f>
        <v>71</v>
      </c>
      <c r="Z30" s="135"/>
      <c r="AA30" s="135"/>
      <c r="AB30" s="107"/>
      <c r="AC30" s="136" t="n">
        <v>97.8</v>
      </c>
      <c r="AD30" s="107"/>
      <c r="AE30" s="135" t="n">
        <v>0</v>
      </c>
      <c r="AF30" s="248"/>
      <c r="AG30" s="249"/>
      <c r="AH30" s="135" t="n">
        <v>46</v>
      </c>
      <c r="AI30" s="107" t="n">
        <f aca="false">AI29-AH30</f>
        <v>1112</v>
      </c>
      <c r="AJ30" s="136"/>
      <c r="AK30" s="134" t="n">
        <f aca="false">N30+O30+P30+Q30+R30+S30+T30+U30+X30+AE30+AH30</f>
        <v>121.2</v>
      </c>
      <c r="AL30" s="135" t="n">
        <f aca="false">IF(L30&lt;0,L30*-1,0)</f>
        <v>0</v>
      </c>
      <c r="AM30" s="135" t="n">
        <f aca="false">AK30+AL30</f>
        <v>121.2</v>
      </c>
      <c r="AN30" s="220" t="n">
        <f aca="false">V30</f>
        <v>71</v>
      </c>
      <c r="AO30" s="136"/>
      <c r="AP30" s="135"/>
      <c r="AQ30" s="101"/>
      <c r="AR30" s="101"/>
      <c r="AS30" s="221"/>
      <c r="AU30" s="176"/>
      <c r="AV30" s="222" t="n">
        <v>0</v>
      </c>
      <c r="AW30" s="221" t="n">
        <v>64</v>
      </c>
      <c r="AX30" s="215" t="n">
        <v>33</v>
      </c>
      <c r="AY30" s="299"/>
      <c r="AZ30" s="250" t="n">
        <f aca="false">SUM(N30,P30:U30)</f>
        <v>4.2</v>
      </c>
    </row>
    <row r="31" customFormat="false" ht="12.95" hidden="false" customHeight="true" outlineLevel="0" collapsed="false">
      <c r="A31" s="183" t="n">
        <v>17</v>
      </c>
      <c r="B31" s="106" t="n">
        <v>6901.79</v>
      </c>
      <c r="C31" s="107" t="n">
        <v>290231</v>
      </c>
      <c r="D31" s="215" t="n">
        <f aca="false">C31-C30</f>
        <v>523</v>
      </c>
      <c r="E31" s="107" t="n">
        <f aca="false">C31-152000</f>
        <v>138231</v>
      </c>
      <c r="F31" s="246" t="n">
        <f aca="false">D31/$D$2</f>
        <v>263.675321401563</v>
      </c>
      <c r="G31" s="135" t="n">
        <v>203</v>
      </c>
      <c r="H31" s="335" t="n">
        <v>4.5</v>
      </c>
      <c r="I31" s="135" t="n">
        <f aca="false">G31+H31</f>
        <v>207.5</v>
      </c>
      <c r="J31" s="136" t="n">
        <f aca="false">IF(L31&gt;0,L31,0)</f>
        <v>177.475321401563</v>
      </c>
      <c r="K31" s="135" t="n">
        <f aca="false">I31+J31</f>
        <v>384.975321401563</v>
      </c>
      <c r="L31" s="135" t="n">
        <f aca="false">F31-(I31-AK31)</f>
        <v>177.475321401563</v>
      </c>
      <c r="M31" s="248" t="n">
        <v>4.3</v>
      </c>
      <c r="N31" s="135" t="n">
        <v>0</v>
      </c>
      <c r="O31" s="135" t="n">
        <v>0</v>
      </c>
      <c r="P31" s="158" t="n">
        <v>0</v>
      </c>
      <c r="Q31" s="336" t="n">
        <f aca="false">1010200/325851/1.9835*1.02</f>
        <v>1.59424943958014</v>
      </c>
      <c r="R31" s="131" t="n">
        <f aca="false">((2.3)*1.04)-T31</f>
        <v>1.96713504</v>
      </c>
      <c r="S31" s="131" t="n">
        <v>0</v>
      </c>
      <c r="T31" s="131" t="n">
        <f aca="false">(0.3854*1.06)*1.04</f>
        <v>0.42486496</v>
      </c>
      <c r="U31" s="96" t="n">
        <f aca="false">M31-(Q31+R31+S31+T31)</f>
        <v>0.313750560419863</v>
      </c>
      <c r="V31" s="135" t="n">
        <v>71</v>
      </c>
      <c r="W31" s="135"/>
      <c r="X31" s="135" t="n">
        <f aca="false">M31-N31-O31-P31-Q31-R31-S31-T31-U31+V31+W31</f>
        <v>71</v>
      </c>
      <c r="Y31" s="135" t="n">
        <f aca="false">X31-AO31</f>
        <v>71</v>
      </c>
      <c r="Z31" s="135"/>
      <c r="AA31" s="135"/>
      <c r="AB31" s="107"/>
      <c r="AC31" s="136" t="n">
        <v>108.2</v>
      </c>
      <c r="AD31" s="107"/>
      <c r="AE31" s="135" t="n">
        <v>0</v>
      </c>
      <c r="AF31" s="248"/>
      <c r="AG31" s="249"/>
      <c r="AH31" s="135" t="n">
        <v>46</v>
      </c>
      <c r="AI31" s="107" t="n">
        <f aca="false">AI30-AH31</f>
        <v>1066</v>
      </c>
      <c r="AJ31" s="136"/>
      <c r="AK31" s="134" t="n">
        <f aca="false">N31+O31+P31+Q31+R31+S31+T31+U31+X31+AE31+AH31</f>
        <v>121.3</v>
      </c>
      <c r="AL31" s="135" t="n">
        <f aca="false">IF(L31&lt;0,L31*-1,0)</f>
        <v>0</v>
      </c>
      <c r="AM31" s="135" t="n">
        <f aca="false">AK31+AL31</f>
        <v>121.3</v>
      </c>
      <c r="AN31" s="220" t="n">
        <f aca="false">V31</f>
        <v>71</v>
      </c>
      <c r="AO31" s="136"/>
      <c r="AP31" s="135"/>
      <c r="AQ31" s="107"/>
      <c r="AR31" s="107"/>
      <c r="AS31" s="221"/>
      <c r="AU31" s="176"/>
      <c r="AV31" s="222" t="n">
        <v>0</v>
      </c>
      <c r="AW31" s="221" t="n">
        <v>60</v>
      </c>
      <c r="AX31" s="215" t="n">
        <v>36</v>
      </c>
      <c r="AY31" s="299"/>
      <c r="AZ31" s="250" t="n">
        <f aca="false">SUM(N31,P31:U31)</f>
        <v>4.3</v>
      </c>
    </row>
    <row r="32" customFormat="false" ht="12.95" hidden="false" customHeight="true" outlineLevel="0" collapsed="false">
      <c r="A32" s="183" t="n">
        <f aca="false">A31+1</f>
        <v>18</v>
      </c>
      <c r="B32" s="106" t="n">
        <v>6901.96</v>
      </c>
      <c r="C32" s="107" t="n">
        <v>290865</v>
      </c>
      <c r="D32" s="215" t="n">
        <f aca="false">C32-C31</f>
        <v>634</v>
      </c>
      <c r="E32" s="107" t="n">
        <f aca="false">C32-152000</f>
        <v>138865</v>
      </c>
      <c r="F32" s="246" t="n">
        <f aca="false">D32/$D$2</f>
        <v>319.637005293673</v>
      </c>
      <c r="G32" s="135" t="n">
        <v>215</v>
      </c>
      <c r="H32" s="335" t="n">
        <v>4.4</v>
      </c>
      <c r="I32" s="135" t="n">
        <f aca="false">G32+H32</f>
        <v>219.4</v>
      </c>
      <c r="J32" s="136" t="n">
        <f aca="false">IF(L32&gt;0,L32,0)</f>
        <v>221.337005293673</v>
      </c>
      <c r="K32" s="135" t="n">
        <f aca="false">I32+J32</f>
        <v>440.737005293673</v>
      </c>
      <c r="L32" s="135" t="n">
        <f aca="false">F32-(I32-AK32)</f>
        <v>221.337005293673</v>
      </c>
      <c r="M32" s="248" t="n">
        <v>4.1</v>
      </c>
      <c r="N32" s="135" t="n">
        <v>0</v>
      </c>
      <c r="O32" s="135" t="n">
        <v>0</v>
      </c>
      <c r="P32" s="158" t="n">
        <v>0</v>
      </c>
      <c r="Q32" s="336" t="n">
        <f aca="false">1056800/325851/1.9835*1.02</f>
        <v>1.66779133611987</v>
      </c>
      <c r="R32" s="131" t="n">
        <f aca="false">((2.3)*1.04)-T32</f>
        <v>1.96713504</v>
      </c>
      <c r="S32" s="131" t="n">
        <v>0</v>
      </c>
      <c r="T32" s="131" t="n">
        <f aca="false">(0.3854*1.06)*1.04</f>
        <v>0.42486496</v>
      </c>
      <c r="U32" s="96" t="n">
        <f aca="false">M32-(Q32+R32+S32+T32)</f>
        <v>0.0402086638801338</v>
      </c>
      <c r="V32" s="135" t="n">
        <v>71</v>
      </c>
      <c r="W32" s="135"/>
      <c r="X32" s="135" t="n">
        <f aca="false">M32-N32-O32-P32-Q32-R32-S32-T32-U32+V32+W32</f>
        <v>71</v>
      </c>
      <c r="Y32" s="135" t="n">
        <f aca="false">X32-AO32</f>
        <v>71</v>
      </c>
      <c r="Z32" s="135"/>
      <c r="AA32" s="135"/>
      <c r="AB32" s="107"/>
      <c r="AC32" s="136" t="n">
        <v>128.3</v>
      </c>
      <c r="AD32" s="107"/>
      <c r="AE32" s="135" t="n">
        <v>0</v>
      </c>
      <c r="AF32" s="248"/>
      <c r="AG32" s="249"/>
      <c r="AH32" s="135" t="n">
        <v>46</v>
      </c>
      <c r="AI32" s="107" t="n">
        <f aca="false">AI31-AH32</f>
        <v>1020</v>
      </c>
      <c r="AJ32" s="136"/>
      <c r="AK32" s="134" t="n">
        <f aca="false">N32+O32+P32+Q32+R32+S32+T32+U32+X32+AE32+AH32</f>
        <v>121.1</v>
      </c>
      <c r="AL32" s="135" t="n">
        <f aca="false">IF(L32&lt;0,L32*-1,0)</f>
        <v>0</v>
      </c>
      <c r="AM32" s="135" t="n">
        <f aca="false">AK32+AL32</f>
        <v>121.1</v>
      </c>
      <c r="AN32" s="220" t="n">
        <f aca="false">V32</f>
        <v>71</v>
      </c>
      <c r="AO32" s="136"/>
      <c r="AP32" s="135"/>
      <c r="AQ32" s="107"/>
      <c r="AR32" s="107"/>
      <c r="AS32" s="221"/>
      <c r="AU32" s="176"/>
      <c r="AV32" s="222" t="n">
        <v>0.01</v>
      </c>
      <c r="AW32" s="221" t="n">
        <v>49</v>
      </c>
      <c r="AX32" s="215" t="n">
        <v>24</v>
      </c>
      <c r="AY32" s="299"/>
      <c r="AZ32" s="250" t="n">
        <f aca="false">SUM(N32,P32:U32)</f>
        <v>4.1</v>
      </c>
    </row>
    <row r="33" customFormat="false" ht="12.95" hidden="false" customHeight="true" outlineLevel="0" collapsed="false">
      <c r="A33" s="183" t="n">
        <f aca="false">A32+1</f>
        <v>19</v>
      </c>
      <c r="B33" s="106" t="n">
        <v>6901.96</v>
      </c>
      <c r="C33" s="308" t="n">
        <v>290865</v>
      </c>
      <c r="D33" s="215" t="n">
        <f aca="false">C33-C32</f>
        <v>0</v>
      </c>
      <c r="E33" s="107" t="n">
        <f aca="false">C33-152000</f>
        <v>138865</v>
      </c>
      <c r="F33" s="246" t="n">
        <f aca="false">D33/$D$2</f>
        <v>0</v>
      </c>
      <c r="G33" s="135" t="n">
        <v>160</v>
      </c>
      <c r="H33" s="335" t="n">
        <v>3.5</v>
      </c>
      <c r="I33" s="135" t="n">
        <f aca="false">G33+H33</f>
        <v>163.5</v>
      </c>
      <c r="J33" s="136" t="n">
        <f aca="false">IF(L33&gt;0,L33,0)</f>
        <v>0</v>
      </c>
      <c r="K33" s="135" t="n">
        <f aca="false">I33+J33</f>
        <v>163.5</v>
      </c>
      <c r="L33" s="135" t="n">
        <f aca="false">F33-(I33-AK33)</f>
        <v>-8.90000000000001</v>
      </c>
      <c r="M33" s="248" t="n">
        <v>3.6</v>
      </c>
      <c r="N33" s="135" t="n">
        <v>0</v>
      </c>
      <c r="O33" s="135" t="n">
        <v>0</v>
      </c>
      <c r="P33" s="158" t="n">
        <v>0</v>
      </c>
      <c r="Q33" s="336" t="n">
        <f aca="false">1035300/325851/1.9835*1.02</f>
        <v>1.63386106196527</v>
      </c>
      <c r="R33" s="131" t="n">
        <f aca="false">((2.3)*1.04)-T33</f>
        <v>1.96713504</v>
      </c>
      <c r="S33" s="131" t="n">
        <v>0</v>
      </c>
      <c r="T33" s="131" t="n">
        <f aca="false">(0.3854*1.06)*1.04</f>
        <v>0.42486496</v>
      </c>
      <c r="U33" s="96" t="n">
        <f aca="false">M33-(Q33+R33+S33+T33)</f>
        <v>-0.42586106196527</v>
      </c>
      <c r="V33" s="135" t="n">
        <v>90</v>
      </c>
      <c r="W33" s="135"/>
      <c r="X33" s="135" t="n">
        <f aca="false">M33-N33-O33-P33-Q33-R33-S33-T33-U33+V33+W33</f>
        <v>90</v>
      </c>
      <c r="Y33" s="135" t="n">
        <f aca="false">X33-AO33</f>
        <v>90</v>
      </c>
      <c r="Z33" s="135"/>
      <c r="AA33" s="135"/>
      <c r="AB33" s="107"/>
      <c r="AC33" s="136" t="n">
        <v>6.95</v>
      </c>
      <c r="AD33" s="107"/>
      <c r="AE33" s="135" t="n">
        <v>0</v>
      </c>
      <c r="AF33" s="248"/>
      <c r="AG33" s="249"/>
      <c r="AH33" s="135" t="n">
        <v>61</v>
      </c>
      <c r="AI33" s="107" t="n">
        <f aca="false">AI32-AH33</f>
        <v>959</v>
      </c>
      <c r="AJ33" s="136"/>
      <c r="AK33" s="134" t="n">
        <f aca="false">N33+O33+P33+Q33+R33+S33+T33+U33+X33+AE33+AH33</f>
        <v>154.6</v>
      </c>
      <c r="AL33" s="135" t="n">
        <f aca="false">IF(L33&lt;0,L33*-1,0)</f>
        <v>8.90000000000001</v>
      </c>
      <c r="AM33" s="135" t="n">
        <f aca="false">AK33+AL33</f>
        <v>163.5</v>
      </c>
      <c r="AN33" s="220" t="n">
        <f aca="false">V33</f>
        <v>90</v>
      </c>
      <c r="AO33" s="136"/>
      <c r="AP33" s="135"/>
      <c r="AQ33" s="107"/>
      <c r="AR33" s="107"/>
      <c r="AS33" s="221"/>
      <c r="AU33" s="176"/>
      <c r="AV33" s="222" t="n">
        <v>0.05</v>
      </c>
      <c r="AW33" s="221" t="n">
        <v>30</v>
      </c>
      <c r="AX33" s="215" t="n">
        <v>22</v>
      </c>
      <c r="AY33" s="299"/>
      <c r="AZ33" s="250" t="n">
        <f aca="false">SUM(N33,P33:U33)</f>
        <v>3.6</v>
      </c>
    </row>
    <row r="34" customFormat="false" ht="12.95" hidden="false" customHeight="true" outlineLevel="0" collapsed="false">
      <c r="A34" s="183" t="n">
        <f aca="false">A33+1</f>
        <v>20</v>
      </c>
      <c r="B34" s="106" t="n">
        <v>6901.97</v>
      </c>
      <c r="C34" s="107" t="n">
        <v>290902</v>
      </c>
      <c r="D34" s="215" t="n">
        <f aca="false">C34-C33</f>
        <v>37</v>
      </c>
      <c r="E34" s="107" t="n">
        <f aca="false">C34-152000</f>
        <v>138902</v>
      </c>
      <c r="F34" s="246" t="n">
        <f aca="false">D34/$D$2</f>
        <v>18.6538946307033</v>
      </c>
      <c r="G34" s="135" t="n">
        <v>123</v>
      </c>
      <c r="H34" s="335" t="n">
        <v>3.6</v>
      </c>
      <c r="I34" s="135" t="n">
        <f aca="false">G34+H34</f>
        <v>126.6</v>
      </c>
      <c r="J34" s="136" t="n">
        <f aca="false">IF(L34&gt;0,L34,0)</f>
        <v>75.3538946307033</v>
      </c>
      <c r="K34" s="135" t="n">
        <f aca="false">I34+J34</f>
        <v>201.953894630703</v>
      </c>
      <c r="L34" s="135" t="n">
        <f aca="false">F34-(I34-AK34)</f>
        <v>75.3538946307033</v>
      </c>
      <c r="M34" s="248" t="n">
        <v>4.3</v>
      </c>
      <c r="N34" s="135" t="n">
        <v>0</v>
      </c>
      <c r="O34" s="135" t="n">
        <v>0</v>
      </c>
      <c r="P34" s="158" t="n">
        <v>0</v>
      </c>
      <c r="Q34" s="336" t="n">
        <f aca="false">916400/325851/1.9835*1.02</f>
        <v>1.44621875512892</v>
      </c>
      <c r="R34" s="131" t="n">
        <f aca="false">((2.3)*1.04)-T34</f>
        <v>1.96713504</v>
      </c>
      <c r="S34" s="131" t="n">
        <v>0</v>
      </c>
      <c r="T34" s="131" t="n">
        <f aca="false">(0.3854*1.06)*1.04</f>
        <v>0.42486496</v>
      </c>
      <c r="U34" s="96" t="n">
        <f aca="false">M34-(Q34+R34+S34+T34)</f>
        <v>0.461781244871077</v>
      </c>
      <c r="V34" s="135" t="n">
        <v>102</v>
      </c>
      <c r="W34" s="135"/>
      <c r="X34" s="135" t="n">
        <f aca="false">M34-N34-O34-P34-Q34-R34-S34-T34-U34+V34+W34</f>
        <v>102</v>
      </c>
      <c r="Y34" s="135" t="n">
        <f aca="false">X34-AO34</f>
        <v>102</v>
      </c>
      <c r="Z34" s="135"/>
      <c r="AA34" s="135"/>
      <c r="AB34" s="107"/>
      <c r="AC34" s="136"/>
      <c r="AD34" s="107"/>
      <c r="AE34" s="135" t="n">
        <v>0</v>
      </c>
      <c r="AF34" s="248"/>
      <c r="AG34" s="249"/>
      <c r="AH34" s="135" t="n">
        <v>77</v>
      </c>
      <c r="AI34" s="107" t="n">
        <f aca="false">AI33-AH34</f>
        <v>882</v>
      </c>
      <c r="AJ34" s="136"/>
      <c r="AK34" s="134" t="n">
        <f aca="false">N34+O34+P34+Q34+R34+S34+T34+U34+X34+AE34+AH34</f>
        <v>183.3</v>
      </c>
      <c r="AL34" s="135" t="n">
        <f aca="false">IF(L34&lt;0,L34*-1,0)</f>
        <v>0</v>
      </c>
      <c r="AM34" s="135" t="n">
        <f aca="false">AK34+AL34</f>
        <v>183.3</v>
      </c>
      <c r="AN34" s="220" t="n">
        <f aca="false">V34</f>
        <v>102</v>
      </c>
      <c r="AO34" s="136"/>
      <c r="AP34" s="135"/>
      <c r="AQ34" s="107"/>
      <c r="AR34" s="107"/>
      <c r="AS34" s="221"/>
      <c r="AU34" s="176"/>
      <c r="AV34" s="222" t="n">
        <v>0.01</v>
      </c>
      <c r="AW34" s="221" t="n">
        <v>42</v>
      </c>
      <c r="AX34" s="215" t="n">
        <v>17</v>
      </c>
      <c r="AY34" s="299"/>
      <c r="AZ34" s="250" t="n">
        <f aca="false">SUM(N34,P34:U34)</f>
        <v>4.3</v>
      </c>
    </row>
    <row r="35" customFormat="false" ht="12.95" hidden="false" customHeight="true" outlineLevel="0" collapsed="false">
      <c r="A35" s="183" t="n">
        <f aca="false">A34+1</f>
        <v>21</v>
      </c>
      <c r="B35" s="106" t="n">
        <v>6901.98</v>
      </c>
      <c r="C35" s="107" t="n">
        <v>290940</v>
      </c>
      <c r="D35" s="215" t="n">
        <f aca="false">C35-C34</f>
        <v>38</v>
      </c>
      <c r="E35" s="107" t="n">
        <f aca="false">C35-152000</f>
        <v>138940</v>
      </c>
      <c r="F35" s="246" t="n">
        <f aca="false">D35/$D$2</f>
        <v>19.1580539450466</v>
      </c>
      <c r="G35" s="337" t="n">
        <v>130</v>
      </c>
      <c r="H35" s="335" t="n">
        <v>3.7</v>
      </c>
      <c r="I35" s="135" t="n">
        <f aca="false">G35+H35</f>
        <v>133.7</v>
      </c>
      <c r="J35" s="136" t="n">
        <f aca="false">IF(L35&gt;0,L35,0)</f>
        <v>71.9580539450466</v>
      </c>
      <c r="K35" s="135" t="n">
        <f aca="false">I35+J35</f>
        <v>205.658053945047</v>
      </c>
      <c r="L35" s="135" t="n">
        <f aca="false">F35-(I35-AK35)</f>
        <v>71.9580539450466</v>
      </c>
      <c r="M35" s="248" t="n">
        <v>4.5</v>
      </c>
      <c r="N35" s="135" t="n">
        <v>0</v>
      </c>
      <c r="O35" s="135" t="n">
        <v>0</v>
      </c>
      <c r="P35" s="158" t="n">
        <v>0</v>
      </c>
      <c r="Q35" s="336" t="n">
        <f aca="false">973500/325851/1.9835*1.02</f>
        <v>1.53633125067438</v>
      </c>
      <c r="R35" s="131" t="n">
        <f aca="false">((2.3)*1.04)-T35</f>
        <v>1.96713504</v>
      </c>
      <c r="S35" s="131" t="n">
        <v>0</v>
      </c>
      <c r="T35" s="131" t="n">
        <f aca="false">(0.3854*1.06)*1.04</f>
        <v>0.42486496</v>
      </c>
      <c r="U35" s="96" t="n">
        <f aca="false">M35-(Q35+R35+S35+T35)</f>
        <v>0.571668749325616</v>
      </c>
      <c r="V35" s="135" t="n">
        <v>102</v>
      </c>
      <c r="W35" s="135"/>
      <c r="X35" s="135" t="n">
        <f aca="false">M35-N35-O35-P35-Q35-R35-S35-T35-U35+V35+W35</f>
        <v>102</v>
      </c>
      <c r="Y35" s="135" t="n">
        <f aca="false">X35-AO35</f>
        <v>102</v>
      </c>
      <c r="Z35" s="135"/>
      <c r="AA35" s="135"/>
      <c r="AB35" s="107"/>
      <c r="AC35" s="136"/>
      <c r="AD35" s="107"/>
      <c r="AE35" s="135" t="n">
        <v>0</v>
      </c>
      <c r="AF35" s="248"/>
      <c r="AG35" s="249"/>
      <c r="AH35" s="135" t="n">
        <v>80</v>
      </c>
      <c r="AI35" s="107" t="n">
        <f aca="false">AI34-AH35</f>
        <v>802</v>
      </c>
      <c r="AJ35" s="136"/>
      <c r="AK35" s="134" t="n">
        <f aca="false">N35+O35+P35+Q35+R35+S35+T35+U35+X35+AE35+AH35</f>
        <v>186.5</v>
      </c>
      <c r="AL35" s="135" t="n">
        <f aca="false">IF(L35&lt;0,L35*-1,0)</f>
        <v>0</v>
      </c>
      <c r="AM35" s="135" t="n">
        <f aca="false">AK35+AL35</f>
        <v>186.5</v>
      </c>
      <c r="AN35" s="220" t="n">
        <f aca="false">V35</f>
        <v>102</v>
      </c>
      <c r="AO35" s="136"/>
      <c r="AP35" s="135"/>
      <c r="AQ35" s="107"/>
      <c r="AR35" s="107"/>
      <c r="AS35" s="221"/>
      <c r="AU35" s="176"/>
      <c r="AV35" s="222" t="n">
        <v>0</v>
      </c>
      <c r="AW35" s="215" t="n">
        <v>54</v>
      </c>
      <c r="AX35" s="215" t="n">
        <v>28</v>
      </c>
      <c r="AY35" s="299"/>
      <c r="AZ35" s="250" t="n">
        <f aca="false">SUM(N35,P35:U35)</f>
        <v>4.5</v>
      </c>
    </row>
    <row r="36" customFormat="false" ht="12.95" hidden="false" customHeight="true" outlineLevel="0" collapsed="false">
      <c r="A36" s="183" t="n">
        <f aca="false">A35+1</f>
        <v>22</v>
      </c>
      <c r="B36" s="106" t="n">
        <v>6902.04</v>
      </c>
      <c r="C36" s="107" t="n">
        <v>291165</v>
      </c>
      <c r="D36" s="215" t="n">
        <f aca="false">C36-C35</f>
        <v>225</v>
      </c>
      <c r="E36" s="107" t="n">
        <f aca="false">C36-152000</f>
        <v>139165</v>
      </c>
      <c r="F36" s="246" t="n">
        <f aca="false">D36/$D$2</f>
        <v>113.43584572725</v>
      </c>
      <c r="G36" s="135" t="n">
        <v>149</v>
      </c>
      <c r="H36" s="335" t="n">
        <v>3.8</v>
      </c>
      <c r="I36" s="135" t="n">
        <f aca="false">G36+H36</f>
        <v>152.8</v>
      </c>
      <c r="J36" s="136" t="n">
        <f aca="false">IF(L36&gt;0,L36,0)</f>
        <v>147.83584572725</v>
      </c>
      <c r="K36" s="135" t="n">
        <f aca="false">I36+J36</f>
        <v>300.63584572725</v>
      </c>
      <c r="L36" s="135" t="n">
        <f aca="false">F36-(I36-AK36)</f>
        <v>147.83584572725</v>
      </c>
      <c r="M36" s="248" t="n">
        <v>6.2</v>
      </c>
      <c r="N36" s="135" t="n">
        <v>0</v>
      </c>
      <c r="O36" s="135" t="n">
        <v>0</v>
      </c>
      <c r="P36" s="158" t="n">
        <v>0</v>
      </c>
      <c r="Q36" s="336" t="n">
        <f aca="false">1049900/325851/1.9835*1.02</f>
        <v>1.65690208534467</v>
      </c>
      <c r="R36" s="131" t="n">
        <f aca="false">((2.3)*1.04)-T36</f>
        <v>1.96713504</v>
      </c>
      <c r="S36" s="131" t="n">
        <v>0</v>
      </c>
      <c r="T36" s="131" t="n">
        <f aca="false">(0.3854*1.06)*1.04</f>
        <v>0.42486496</v>
      </c>
      <c r="U36" s="96" t="n">
        <f aca="false">M36-(Q36+R36+S36+T36)</f>
        <v>2.15109791465533</v>
      </c>
      <c r="V36" s="135" t="n">
        <v>101</v>
      </c>
      <c r="W36" s="135"/>
      <c r="X36" s="135" t="n">
        <f aca="false">M36-N36-O36-P36-Q36-R36-S36-T36-U36+V36+W36</f>
        <v>101</v>
      </c>
      <c r="Y36" s="135" t="n">
        <f aca="false">X36-AO36</f>
        <v>101</v>
      </c>
      <c r="Z36" s="135"/>
      <c r="AA36" s="135"/>
      <c r="AB36" s="107"/>
      <c r="AC36" s="136"/>
      <c r="AD36" s="107"/>
      <c r="AE36" s="135" t="n">
        <v>0</v>
      </c>
      <c r="AF36" s="248"/>
      <c r="AG36" s="249"/>
      <c r="AH36" s="135" t="n">
        <v>80</v>
      </c>
      <c r="AI36" s="107" t="n">
        <f aca="false">AI35-AH36</f>
        <v>722</v>
      </c>
      <c r="AJ36" s="136"/>
      <c r="AK36" s="134" t="n">
        <f aca="false">N36+O36+P36+Q36+R36+S36+T36+U36+X36+AE36+AH36</f>
        <v>187.2</v>
      </c>
      <c r="AL36" s="135" t="n">
        <f aca="false">IF(L36&lt;0,L36*-1,0)</f>
        <v>0</v>
      </c>
      <c r="AM36" s="135" t="n">
        <f aca="false">AK36+AL36</f>
        <v>187.2</v>
      </c>
      <c r="AN36" s="220" t="n">
        <f aca="false">V36</f>
        <v>101</v>
      </c>
      <c r="AO36" s="136"/>
      <c r="AP36" s="135"/>
      <c r="AQ36" s="107"/>
      <c r="AR36" s="107"/>
      <c r="AS36" s="221"/>
      <c r="AU36" s="176"/>
      <c r="AV36" s="222" t="n">
        <v>0</v>
      </c>
      <c r="AW36" s="215" t="n">
        <v>65</v>
      </c>
      <c r="AX36" s="215" t="n">
        <v>23</v>
      </c>
      <c r="AY36" s="299"/>
      <c r="AZ36" s="250" t="n">
        <f aca="false">SUM(N36,P36:U36)</f>
        <v>6.2</v>
      </c>
    </row>
    <row r="37" customFormat="false" ht="12.95" hidden="false" customHeight="true" outlineLevel="0" collapsed="false">
      <c r="A37" s="183" t="n">
        <f aca="false">A36+1</f>
        <v>23</v>
      </c>
      <c r="B37" s="106" t="n">
        <v>6902.22</v>
      </c>
      <c r="C37" s="107" t="n">
        <v>291842</v>
      </c>
      <c r="D37" s="215" t="n">
        <f aca="false">C37-C36</f>
        <v>677</v>
      </c>
      <c r="E37" s="107" t="n">
        <f aca="false">C37-152000</f>
        <v>139842</v>
      </c>
      <c r="F37" s="246" t="n">
        <f aca="false">D37/$D$2</f>
        <v>341.315855810436</v>
      </c>
      <c r="G37" s="135" t="n">
        <v>185</v>
      </c>
      <c r="H37" s="335" t="n">
        <v>3.8</v>
      </c>
      <c r="I37" s="135" t="n">
        <f aca="false">G37+H37</f>
        <v>188.8</v>
      </c>
      <c r="J37" s="136" t="n">
        <f aca="false">IF(L37&gt;0,L37,0)</f>
        <v>338.415855810436</v>
      </c>
      <c r="K37" s="135" t="n">
        <f aca="false">I37+J37</f>
        <v>527.215855810436</v>
      </c>
      <c r="L37" s="135" t="n">
        <f aca="false">F37-(I37-AK37)</f>
        <v>338.415855810436</v>
      </c>
      <c r="M37" s="248" t="n">
        <v>5.9</v>
      </c>
      <c r="N37" s="135" t="n">
        <v>0</v>
      </c>
      <c r="O37" s="135" t="n">
        <v>0</v>
      </c>
      <c r="P37" s="158" t="n">
        <v>0</v>
      </c>
      <c r="Q37" s="336" t="n">
        <f aca="false">1016200/325851/1.9835*1.02</f>
        <v>1.6037183532977</v>
      </c>
      <c r="R37" s="131" t="n">
        <f aca="false">((2.3)*1.04)-T37</f>
        <v>1.96713504</v>
      </c>
      <c r="S37" s="131" t="n">
        <v>0</v>
      </c>
      <c r="T37" s="131" t="n">
        <f aca="false">(0.3854*1.06)*1.04</f>
        <v>0.42486496</v>
      </c>
      <c r="U37" s="96" t="n">
        <f aca="false">M37-(Q37+R37+S37+T37)</f>
        <v>1.9042816467023</v>
      </c>
      <c r="V37" s="135" t="n">
        <v>100</v>
      </c>
      <c r="W37" s="135"/>
      <c r="X37" s="135" t="n">
        <f aca="false">M37-N37-O37-P37-Q37-R37-S37-T37-U37+V37+W37</f>
        <v>100</v>
      </c>
      <c r="Y37" s="135" t="n">
        <f aca="false">X37-AO37</f>
        <v>100</v>
      </c>
      <c r="Z37" s="135"/>
      <c r="AA37" s="135"/>
      <c r="AB37" s="107"/>
      <c r="AC37" s="136"/>
      <c r="AD37" s="107"/>
      <c r="AE37" s="135" t="n">
        <v>0</v>
      </c>
      <c r="AF37" s="248"/>
      <c r="AG37" s="249"/>
      <c r="AH37" s="135" t="n">
        <v>80</v>
      </c>
      <c r="AI37" s="107" t="n">
        <f aca="false">AI36-AH37</f>
        <v>642</v>
      </c>
      <c r="AJ37" s="136"/>
      <c r="AK37" s="134" t="n">
        <f aca="false">N37+O37+P37+Q37+R37+S37+T37+U37+X37+AE37+AH37</f>
        <v>185.9</v>
      </c>
      <c r="AL37" s="135" t="n">
        <f aca="false">IF(L37&lt;0,L37*-1,0)</f>
        <v>0</v>
      </c>
      <c r="AM37" s="135" t="n">
        <f aca="false">AK37+AL37</f>
        <v>185.9</v>
      </c>
      <c r="AN37" s="220" t="n">
        <f aca="false">V37</f>
        <v>100</v>
      </c>
      <c r="AO37" s="136"/>
      <c r="AP37" s="135"/>
      <c r="AQ37" s="107"/>
      <c r="AR37" s="107"/>
      <c r="AS37" s="221"/>
      <c r="AU37" s="176"/>
      <c r="AV37" s="222" t="n">
        <v>0</v>
      </c>
      <c r="AW37" s="215" t="n">
        <v>67</v>
      </c>
      <c r="AX37" s="221" t="n">
        <v>32</v>
      </c>
      <c r="AY37" s="299"/>
      <c r="AZ37" s="250" t="n">
        <f aca="false">SUM(N37,P37:U37)</f>
        <v>5.9</v>
      </c>
    </row>
    <row r="38" customFormat="false" ht="12.95" hidden="false" customHeight="true" outlineLevel="0" collapsed="false">
      <c r="A38" s="183" t="n">
        <f aca="false">A37+1</f>
        <v>24</v>
      </c>
      <c r="B38" s="106" t="n">
        <v>6902.44</v>
      </c>
      <c r="C38" s="107" t="n">
        <v>292670</v>
      </c>
      <c r="D38" s="215" t="n">
        <f aca="false">C38-C37</f>
        <v>828</v>
      </c>
      <c r="E38" s="107" t="n">
        <f aca="false">C38-152000</f>
        <v>140670</v>
      </c>
      <c r="F38" s="246" t="n">
        <f aca="false">D38/$D$2</f>
        <v>417.443912276279</v>
      </c>
      <c r="G38" s="135" t="n">
        <v>273</v>
      </c>
      <c r="H38" s="297" t="n">
        <v>5.3</v>
      </c>
      <c r="I38" s="135" t="n">
        <f aca="false">G38+H38</f>
        <v>278.3</v>
      </c>
      <c r="J38" s="136" t="n">
        <f aca="false">IF(L38&gt;0,L38,0)</f>
        <v>324.743912276279</v>
      </c>
      <c r="K38" s="135" t="n">
        <f aca="false">I38+J38</f>
        <v>603.043912276279</v>
      </c>
      <c r="L38" s="135" t="n">
        <f aca="false">F38-(I38-AK38)</f>
        <v>324.743912276279</v>
      </c>
      <c r="M38" s="248" t="n">
        <v>5.6</v>
      </c>
      <c r="N38" s="135" t="n">
        <v>0</v>
      </c>
      <c r="O38" s="135" t="n">
        <v>0</v>
      </c>
      <c r="P38" s="158" t="n">
        <v>0</v>
      </c>
      <c r="Q38" s="336" t="n">
        <f aca="false">1066500/325851/1.9835*1.02</f>
        <v>1.68309941329659</v>
      </c>
      <c r="R38" s="131" t="n">
        <f aca="false">((2)*1.04)-T38</f>
        <v>1.40169328</v>
      </c>
      <c r="S38" s="131" t="n">
        <v>0</v>
      </c>
      <c r="T38" s="131" t="n">
        <f aca="false">(0.6153*1.06)*1.04</f>
        <v>0.67830672</v>
      </c>
      <c r="U38" s="96" t="n">
        <f aca="false">M38-(Q38+R38+S38+T38)</f>
        <v>1.83690058670341</v>
      </c>
      <c r="V38" s="135" t="n">
        <v>100</v>
      </c>
      <c r="W38" s="135"/>
      <c r="X38" s="135" t="n">
        <f aca="false">M38-N38-O38-P38-Q38-R38-S38-T38-U38+V38+W38</f>
        <v>100</v>
      </c>
      <c r="Y38" s="135" t="n">
        <f aca="false">X38-AO38</f>
        <v>100</v>
      </c>
      <c r="Z38" s="135"/>
      <c r="AA38" s="135"/>
      <c r="AB38" s="107"/>
      <c r="AC38" s="136"/>
      <c r="AD38" s="107"/>
      <c r="AE38" s="135" t="n">
        <v>0</v>
      </c>
      <c r="AF38" s="248"/>
      <c r="AG38" s="249"/>
      <c r="AH38" s="135" t="n">
        <v>80</v>
      </c>
      <c r="AI38" s="107" t="n">
        <f aca="false">AI37-AH38</f>
        <v>562</v>
      </c>
      <c r="AJ38" s="136"/>
      <c r="AK38" s="134" t="n">
        <f aca="false">N38+O38+P38+Q38+R38+S38+T38+U38+X38+AE38+AH38</f>
        <v>185.6</v>
      </c>
      <c r="AL38" s="135" t="n">
        <f aca="false">IF(L38&lt;0,L38*-1,0)</f>
        <v>0</v>
      </c>
      <c r="AM38" s="135" t="n">
        <f aca="false">AK38+AL38</f>
        <v>185.6</v>
      </c>
      <c r="AN38" s="220" t="n">
        <f aca="false">V38</f>
        <v>100</v>
      </c>
      <c r="AO38" s="136"/>
      <c r="AP38" s="135"/>
      <c r="AQ38" s="107"/>
      <c r="AR38" s="107"/>
      <c r="AS38" s="221"/>
      <c r="AU38" s="176"/>
      <c r="AV38" s="222" t="n">
        <v>0</v>
      </c>
      <c r="AW38" s="215" t="n">
        <v>68</v>
      </c>
      <c r="AX38" s="221" t="n">
        <v>34</v>
      </c>
      <c r="AY38" s="299"/>
      <c r="AZ38" s="250" t="n">
        <f aca="false">SUM(N38,P38:U38)</f>
        <v>5.6</v>
      </c>
    </row>
    <row r="39" customFormat="false" ht="12.95" hidden="false" customHeight="true" outlineLevel="0" collapsed="false">
      <c r="A39" s="183" t="n">
        <f aca="false">A38+1</f>
        <v>25</v>
      </c>
      <c r="B39" s="106" t="n">
        <v>6902.8</v>
      </c>
      <c r="C39" s="107" t="n">
        <v>294025</v>
      </c>
      <c r="D39" s="215" t="n">
        <f aca="false">C39-C38</f>
        <v>1355</v>
      </c>
      <c r="E39" s="107" t="n">
        <f aca="false">C39-152000</f>
        <v>142025</v>
      </c>
      <c r="F39" s="246" t="n">
        <f aca="false">D39/$D$2</f>
        <v>683.135870935216</v>
      </c>
      <c r="G39" s="135" t="n">
        <v>359</v>
      </c>
      <c r="H39" s="297" t="n">
        <v>5.2</v>
      </c>
      <c r="I39" s="135" t="n">
        <f aca="false">G39+H39</f>
        <v>364.2</v>
      </c>
      <c r="J39" s="136" t="n">
        <f aca="false">IF(L39&gt;0,L39,0)</f>
        <v>505.135870935216</v>
      </c>
      <c r="K39" s="135" t="n">
        <f aca="false">I39+J39</f>
        <v>869.335870935216</v>
      </c>
      <c r="L39" s="135" t="n">
        <f aca="false">F39-(I39-AK39)</f>
        <v>505.135870935216</v>
      </c>
      <c r="M39" s="248" t="n">
        <v>6.2</v>
      </c>
      <c r="N39" s="135" t="n">
        <v>0</v>
      </c>
      <c r="O39" s="135" t="n">
        <v>0</v>
      </c>
      <c r="P39" s="158" t="n">
        <v>0</v>
      </c>
      <c r="Q39" s="336" t="n">
        <f aca="false">1161700/325851/1.9835*1.02</f>
        <v>1.83333951094857</v>
      </c>
      <c r="R39" s="131" t="n">
        <f aca="false">((1.7)*1.04)-T39</f>
        <v>1.08969328</v>
      </c>
      <c r="S39" s="131" t="n">
        <v>0</v>
      </c>
      <c r="T39" s="131" t="n">
        <f aca="false">(0.6153*1.06)*1.04</f>
        <v>0.67830672</v>
      </c>
      <c r="U39" s="96" t="n">
        <f aca="false">M39-(Q39+R39+S39+T39)</f>
        <v>2.59866048905143</v>
      </c>
      <c r="V39" s="135" t="n">
        <v>100</v>
      </c>
      <c r="W39" s="135"/>
      <c r="X39" s="135" t="n">
        <f aca="false">M39-N39-O39-P39-Q39-R39-S39-T39-U39+V39+W39</f>
        <v>100</v>
      </c>
      <c r="Y39" s="135" t="n">
        <f aca="false">X39-AO39</f>
        <v>100</v>
      </c>
      <c r="Z39" s="135"/>
      <c r="AA39" s="135"/>
      <c r="AB39" s="107"/>
      <c r="AC39" s="136"/>
      <c r="AD39" s="107"/>
      <c r="AE39" s="135" t="n">
        <v>0</v>
      </c>
      <c r="AF39" s="248"/>
      <c r="AG39" s="249"/>
      <c r="AH39" s="135" t="n">
        <v>80</v>
      </c>
      <c r="AI39" s="107" t="n">
        <f aca="false">AI38-AH39</f>
        <v>482</v>
      </c>
      <c r="AJ39" s="136"/>
      <c r="AK39" s="134" t="n">
        <f aca="false">N39+O39+P39+Q39+R39+S39+T39+U39+X39+AE39+AH39</f>
        <v>186.2</v>
      </c>
      <c r="AL39" s="135" t="n">
        <f aca="false">IF(L39&lt;0,L39*-1,0)</f>
        <v>0</v>
      </c>
      <c r="AM39" s="135" t="n">
        <f aca="false">AK39+AL39</f>
        <v>186.2</v>
      </c>
      <c r="AN39" s="220" t="n">
        <f aca="false">V39</f>
        <v>100</v>
      </c>
      <c r="AO39" s="136"/>
      <c r="AP39" s="135"/>
      <c r="AQ39" s="107"/>
      <c r="AR39" s="107"/>
      <c r="AS39" s="221"/>
      <c r="AU39" s="176"/>
      <c r="AV39" s="222" t="n">
        <v>0</v>
      </c>
      <c r="AW39" s="215" t="n">
        <v>69</v>
      </c>
      <c r="AX39" s="221" t="n">
        <v>37</v>
      </c>
      <c r="AY39" s="299"/>
      <c r="AZ39" s="250" t="n">
        <f aca="false">SUM(N39,P39:U39)</f>
        <v>6.2</v>
      </c>
    </row>
    <row r="40" customFormat="false" ht="12.95" hidden="false" customHeight="true" outlineLevel="0" collapsed="false">
      <c r="A40" s="183" t="n">
        <f aca="false">A39+1</f>
        <v>26</v>
      </c>
      <c r="B40" s="106" t="n">
        <v>6903.08</v>
      </c>
      <c r="C40" s="107" t="n">
        <v>295081</v>
      </c>
      <c r="D40" s="215" t="n">
        <f aca="false">C40-C39</f>
        <v>1056</v>
      </c>
      <c r="E40" s="107" t="n">
        <f aca="false">C40-152000</f>
        <v>143081</v>
      </c>
      <c r="F40" s="246" t="n">
        <f aca="false">D40/$D$2</f>
        <v>532.392235946559</v>
      </c>
      <c r="G40" s="135" t="n">
        <v>414</v>
      </c>
      <c r="H40" s="297" t="n">
        <v>10</v>
      </c>
      <c r="I40" s="135" t="n">
        <f aca="false">G40+H40</f>
        <v>424</v>
      </c>
      <c r="J40" s="136" t="n">
        <f aca="false">IF(L40&gt;0,L40,0)</f>
        <v>332.392235946559</v>
      </c>
      <c r="K40" s="135" t="n">
        <f aca="false">I40+J40</f>
        <v>756.392235946559</v>
      </c>
      <c r="L40" s="135" t="n">
        <f aca="false">F40-(I40-AK40)</f>
        <v>332.392235946559</v>
      </c>
      <c r="M40" s="248" t="n">
        <v>44</v>
      </c>
      <c r="N40" s="135" t="n">
        <v>0</v>
      </c>
      <c r="O40" s="135" t="n">
        <f aca="false">(2.1*1.05)</f>
        <v>2.205</v>
      </c>
      <c r="P40" s="158" t="n">
        <v>0</v>
      </c>
      <c r="Q40" s="336" t="n">
        <f aca="false">1060700/325851/1.9835*1.02</f>
        <v>1.67394613003628</v>
      </c>
      <c r="R40" s="131" t="n">
        <f aca="false">((1.9)*1.04)-T40</f>
        <v>1.29769328</v>
      </c>
      <c r="S40" s="131" t="n">
        <v>0</v>
      </c>
      <c r="T40" s="131" t="n">
        <f aca="false">(0.6153*1.06)*1.04</f>
        <v>0.67830672</v>
      </c>
      <c r="U40" s="96" t="n">
        <v>0</v>
      </c>
      <c r="V40" s="135" t="n">
        <v>100</v>
      </c>
      <c r="W40" s="135"/>
      <c r="X40" s="135" t="n">
        <f aca="false">M40-N40-O40-P40-Q40-R40-S40-T40-U40+V40+W40</f>
        <v>138.145053869964</v>
      </c>
      <c r="Y40" s="135" t="n">
        <f aca="false">X40-AO40</f>
        <v>138.145053869964</v>
      </c>
      <c r="Z40" s="135"/>
      <c r="AA40" s="135"/>
      <c r="AB40" s="107"/>
      <c r="AC40" s="136"/>
      <c r="AD40" s="107"/>
      <c r="AE40" s="135" t="n">
        <v>0</v>
      </c>
      <c r="AF40" s="248"/>
      <c r="AG40" s="249"/>
      <c r="AH40" s="135" t="n">
        <v>80</v>
      </c>
      <c r="AI40" s="107" t="n">
        <f aca="false">AI39-AH40</f>
        <v>402</v>
      </c>
      <c r="AJ40" s="136"/>
      <c r="AK40" s="134" t="n">
        <f aca="false">N40+O40+P40+Q40+R40+S40+T40+U40+X40+AE40+AH40</f>
        <v>224</v>
      </c>
      <c r="AL40" s="135" t="n">
        <f aca="false">IF(L40&lt;0,L40*-1,0)</f>
        <v>0</v>
      </c>
      <c r="AM40" s="135" t="n">
        <f aca="false">AK40+AL40</f>
        <v>224</v>
      </c>
      <c r="AN40" s="220" t="n">
        <f aca="false">V40</f>
        <v>100</v>
      </c>
      <c r="AO40" s="136"/>
      <c r="AP40" s="135"/>
      <c r="AQ40" s="107"/>
      <c r="AR40" s="107"/>
      <c r="AS40" s="221"/>
      <c r="AU40" s="176"/>
      <c r="AV40" s="222" t="n">
        <v>0</v>
      </c>
      <c r="AW40" s="215" t="n">
        <v>63</v>
      </c>
      <c r="AX40" s="215" t="n">
        <v>34</v>
      </c>
      <c r="AY40" s="299"/>
      <c r="AZ40" s="250" t="n">
        <f aca="false">SUM(N40,P40:U40)</f>
        <v>3.64994613003628</v>
      </c>
    </row>
    <row r="41" customFormat="false" ht="12.95" hidden="false" customHeight="true" outlineLevel="0" collapsed="false">
      <c r="A41" s="183" t="n">
        <f aca="false">A40+1</f>
        <v>27</v>
      </c>
      <c r="B41" s="106" t="n">
        <v>6903.39</v>
      </c>
      <c r="C41" s="107" t="n">
        <v>296257</v>
      </c>
      <c r="D41" s="215" t="n">
        <f aca="false">C41-C40</f>
        <v>1176</v>
      </c>
      <c r="E41" s="107" t="n">
        <f aca="false">C41-152000</f>
        <v>144257</v>
      </c>
      <c r="F41" s="246" t="n">
        <f aca="false">D41/$D$2</f>
        <v>592.891353667759</v>
      </c>
      <c r="G41" s="135" t="n">
        <v>471</v>
      </c>
      <c r="H41" s="297" t="n">
        <v>20</v>
      </c>
      <c r="I41" s="135" t="n">
        <f aca="false">G41+H41</f>
        <v>491</v>
      </c>
      <c r="J41" s="136" t="n">
        <f aca="false">IF(L41&gt;0,L41,0)</f>
        <v>308.891353667759</v>
      </c>
      <c r="K41" s="135" t="n">
        <f aca="false">I41+J41</f>
        <v>799.891353667759</v>
      </c>
      <c r="L41" s="135" t="n">
        <f aca="false">F41-(I41-AK41)</f>
        <v>308.891353667759</v>
      </c>
      <c r="M41" s="248" t="n">
        <v>27</v>
      </c>
      <c r="N41" s="135" t="n">
        <v>0</v>
      </c>
      <c r="O41" s="135" t="n">
        <f aca="false">9*1.05</f>
        <v>9.45</v>
      </c>
      <c r="P41" s="158" t="n">
        <v>0</v>
      </c>
      <c r="Q41" s="336" t="n">
        <f aca="false">1036300/325851/1.9835*1.02</f>
        <v>1.63543921425153</v>
      </c>
      <c r="R41" s="131" t="n">
        <f aca="false">((1.9)*1.04)-T41</f>
        <v>1.29769328</v>
      </c>
      <c r="S41" s="131" t="n">
        <v>0</v>
      </c>
      <c r="T41" s="131" t="n">
        <f aca="false">(0.6153*1.06)*1.04</f>
        <v>0.67830672</v>
      </c>
      <c r="U41" s="96" t="n">
        <v>0</v>
      </c>
      <c r="V41" s="135" t="n">
        <v>100</v>
      </c>
      <c r="W41" s="135"/>
      <c r="X41" s="135" t="n">
        <f aca="false">M41-N41-O41-P41-Q41-R41-S41-T41-U41+V41+W41</f>
        <v>113.938560785748</v>
      </c>
      <c r="Y41" s="135" t="n">
        <f aca="false">X41-AO41</f>
        <v>113.938560785748</v>
      </c>
      <c r="Z41" s="135"/>
      <c r="AA41" s="135"/>
      <c r="AB41" s="107"/>
      <c r="AC41" s="136"/>
      <c r="AD41" s="107"/>
      <c r="AE41" s="135" t="n">
        <v>0</v>
      </c>
      <c r="AF41" s="248"/>
      <c r="AG41" s="249"/>
      <c r="AH41" s="135" t="n">
        <v>80</v>
      </c>
      <c r="AI41" s="107" t="n">
        <f aca="false">AI40-AH41</f>
        <v>322</v>
      </c>
      <c r="AJ41" s="136"/>
      <c r="AK41" s="134" t="n">
        <f aca="false">N41+O41+P41+Q41+R41+S41+T41+U41+X41+AE41+AH41</f>
        <v>207</v>
      </c>
      <c r="AL41" s="135" t="n">
        <f aca="false">IF(L41&lt;0,L41*-1,0)</f>
        <v>0</v>
      </c>
      <c r="AM41" s="135" t="n">
        <f aca="false">AK41+AL41</f>
        <v>207</v>
      </c>
      <c r="AN41" s="220" t="n">
        <f aca="false">V41</f>
        <v>100</v>
      </c>
      <c r="AO41" s="136"/>
      <c r="AP41" s="135"/>
      <c r="AQ41" s="107"/>
      <c r="AR41" s="107"/>
      <c r="AS41" s="221"/>
      <c r="AU41" s="176"/>
      <c r="AV41" s="222" t="n">
        <v>0</v>
      </c>
      <c r="AW41" s="215" t="n">
        <v>63</v>
      </c>
      <c r="AX41" s="215" t="n">
        <v>31</v>
      </c>
      <c r="AY41" s="299"/>
      <c r="AZ41" s="250" t="n">
        <f aca="false">SUM(N41,P41:U41)</f>
        <v>3.61143921425153</v>
      </c>
    </row>
    <row r="42" customFormat="false" ht="12.95" hidden="false" customHeight="true" outlineLevel="0" collapsed="false">
      <c r="A42" s="183" t="n">
        <f aca="false">A41+1</f>
        <v>28</v>
      </c>
      <c r="B42" s="106" t="n">
        <v>6903.75</v>
      </c>
      <c r="C42" s="107" t="n">
        <v>297623</v>
      </c>
      <c r="D42" s="215" t="n">
        <f aca="false">C42-C41</f>
        <v>1366</v>
      </c>
      <c r="E42" s="107" t="n">
        <f aca="false">C42-152000</f>
        <v>145623</v>
      </c>
      <c r="F42" s="246" t="n">
        <f aca="false">D42/$D$2</f>
        <v>688.681623392992</v>
      </c>
      <c r="G42" s="135" t="n">
        <v>581</v>
      </c>
      <c r="H42" s="297" t="n">
        <v>33</v>
      </c>
      <c r="I42" s="135" t="n">
        <f aca="false">G42+H42</f>
        <v>614</v>
      </c>
      <c r="J42" s="136" t="n">
        <f aca="false">IF(L42&gt;0,L42,0)</f>
        <v>229.681623392992</v>
      </c>
      <c r="K42" s="135" t="n">
        <f aca="false">I42+J42</f>
        <v>843.681623392992</v>
      </c>
      <c r="L42" s="135" t="n">
        <f aca="false">F42-(I42-AK42)</f>
        <v>229.681623392992</v>
      </c>
      <c r="M42" s="248" t="n">
        <v>28</v>
      </c>
      <c r="N42" s="135" t="n">
        <v>0</v>
      </c>
      <c r="O42" s="135" t="n">
        <f aca="false">15*1.05</f>
        <v>15.75</v>
      </c>
      <c r="P42" s="158" t="n">
        <v>0</v>
      </c>
      <c r="Q42" s="336" t="n">
        <f aca="false">1093800/325851/1.9835*1.02</f>
        <v>1.7261829707115</v>
      </c>
      <c r="R42" s="131" t="n">
        <f aca="false">((2)*1.04)-T42</f>
        <v>1.40169328</v>
      </c>
      <c r="S42" s="131" t="n">
        <v>0</v>
      </c>
      <c r="T42" s="131" t="n">
        <f aca="false">(0.6153*1.06)*1.04</f>
        <v>0.67830672</v>
      </c>
      <c r="U42" s="96" t="n">
        <v>0</v>
      </c>
      <c r="V42" s="135" t="n">
        <v>47</v>
      </c>
      <c r="W42" s="135"/>
      <c r="X42" s="135" t="n">
        <f aca="false">M42-N42-O42-P42-Q42-R42-S42-T42-U42+V42+W42</f>
        <v>55.4438170292885</v>
      </c>
      <c r="Y42" s="135" t="n">
        <f aca="false">X42-AO42</f>
        <v>55.4438170292885</v>
      </c>
      <c r="Z42" s="135"/>
      <c r="AA42" s="135"/>
      <c r="AB42" s="107"/>
      <c r="AC42" s="136"/>
      <c r="AD42" s="107"/>
      <c r="AE42" s="135" t="n">
        <v>0</v>
      </c>
      <c r="AF42" s="248"/>
      <c r="AG42" s="249"/>
      <c r="AH42" s="135" t="n">
        <v>80</v>
      </c>
      <c r="AI42" s="107" t="n">
        <f aca="false">AI41-AH42</f>
        <v>242</v>
      </c>
      <c r="AJ42" s="136"/>
      <c r="AK42" s="134" t="n">
        <f aca="false">N42+O42+P42+Q42+R42+S42+T42+U42+X42+AE42+AH42</f>
        <v>155</v>
      </c>
      <c r="AL42" s="135" t="n">
        <f aca="false">IF(L42&lt;0,L42*-1,0)</f>
        <v>0</v>
      </c>
      <c r="AM42" s="135" t="n">
        <f aca="false">AK42+AL42</f>
        <v>155</v>
      </c>
      <c r="AN42" s="220" t="n">
        <f aca="false">V42</f>
        <v>47</v>
      </c>
      <c r="AO42" s="136"/>
      <c r="AP42" s="135"/>
      <c r="AQ42" s="107"/>
      <c r="AR42" s="107"/>
      <c r="AS42" s="221"/>
      <c r="AU42" s="176"/>
      <c r="AV42" s="222" t="n">
        <v>0</v>
      </c>
      <c r="AW42" s="215" t="n">
        <v>67</v>
      </c>
      <c r="AX42" s="215" t="n">
        <v>33</v>
      </c>
      <c r="AY42" s="299"/>
      <c r="AZ42" s="250" t="n">
        <f aca="false">SUM(N42,P42:U42)</f>
        <v>3.8061829707115</v>
      </c>
    </row>
    <row r="43" customFormat="false" ht="12.95" hidden="false" customHeight="true" outlineLevel="0" collapsed="false">
      <c r="A43" s="183" t="n">
        <f aca="false">A42+1</f>
        <v>29</v>
      </c>
      <c r="B43" s="106" t="n">
        <v>6904.17</v>
      </c>
      <c r="C43" s="107" t="n">
        <v>299221</v>
      </c>
      <c r="D43" s="215" t="n">
        <f aca="false">C43-C42</f>
        <v>1598</v>
      </c>
      <c r="E43" s="107" t="n">
        <f aca="false">C43-152000</f>
        <v>147221</v>
      </c>
      <c r="F43" s="246" t="n">
        <f aca="false">D43/$D$2</f>
        <v>805.646584320645</v>
      </c>
      <c r="G43" s="135" t="n">
        <v>668</v>
      </c>
      <c r="H43" s="297" t="n">
        <v>57</v>
      </c>
      <c r="I43" s="135" t="n">
        <f aca="false">G43+H43</f>
        <v>725</v>
      </c>
      <c r="J43" s="136" t="n">
        <f aca="false">IF(L43&gt;0,L43,0)</f>
        <v>191.646584320645</v>
      </c>
      <c r="K43" s="135" t="n">
        <f aca="false">I43+J43</f>
        <v>916.646584320645</v>
      </c>
      <c r="L43" s="135" t="n">
        <f aca="false">F43-(I43-AK43)</f>
        <v>191.646584320645</v>
      </c>
      <c r="M43" s="248" t="n">
        <v>36</v>
      </c>
      <c r="N43" s="135" t="n">
        <v>0</v>
      </c>
      <c r="O43" s="135" t="n">
        <f aca="false">16*1.05</f>
        <v>16.8</v>
      </c>
      <c r="P43" s="158" t="n">
        <v>0</v>
      </c>
      <c r="Q43" s="336" t="n">
        <f aca="false">1022600/325851/1.9835*1.02</f>
        <v>1.61381852792976</v>
      </c>
      <c r="R43" s="131" t="n">
        <f aca="false">((2)*1.04)-T43</f>
        <v>1.40169328</v>
      </c>
      <c r="S43" s="131" t="n">
        <v>0</v>
      </c>
      <c r="T43" s="131" t="n">
        <f aca="false">(0.6153*1.06)*1.04</f>
        <v>0.67830672</v>
      </c>
      <c r="U43" s="96" t="n">
        <v>0</v>
      </c>
      <c r="V43" s="135" t="n">
        <v>0</v>
      </c>
      <c r="W43" s="135"/>
      <c r="X43" s="135" t="n">
        <f aca="false">M43-N43-O43-P43-Q43-R43-S43-T43-U43+V43+W43</f>
        <v>15.5061814720702</v>
      </c>
      <c r="Y43" s="135" t="n">
        <f aca="false">X43-AO43</f>
        <v>15.5061814720702</v>
      </c>
      <c r="Z43" s="135"/>
      <c r="AA43" s="135"/>
      <c r="AB43" s="107"/>
      <c r="AC43" s="136"/>
      <c r="AD43" s="107"/>
      <c r="AE43" s="135" t="n">
        <v>0</v>
      </c>
      <c r="AF43" s="248"/>
      <c r="AG43" s="249"/>
      <c r="AH43" s="135" t="n">
        <v>75</v>
      </c>
      <c r="AI43" s="107" t="n">
        <f aca="false">AI42-AH43</f>
        <v>167</v>
      </c>
      <c r="AJ43" s="136"/>
      <c r="AK43" s="134" t="n">
        <f aca="false">N43+O43+P43+Q43+R43+S43+T43+U43+X43+AE43+AH43</f>
        <v>111</v>
      </c>
      <c r="AL43" s="135" t="n">
        <f aca="false">IF(L43&lt;0,L43*-1,0)</f>
        <v>0</v>
      </c>
      <c r="AM43" s="135" t="n">
        <f aca="false">AK43+AL43</f>
        <v>111</v>
      </c>
      <c r="AN43" s="220" t="n">
        <f aca="false">V43</f>
        <v>0</v>
      </c>
      <c r="AO43" s="136"/>
      <c r="AP43" s="135"/>
      <c r="AQ43" s="107"/>
      <c r="AR43" s="107"/>
      <c r="AS43" s="221"/>
      <c r="AU43" s="176"/>
      <c r="AV43" s="222" t="n">
        <v>0</v>
      </c>
      <c r="AW43" s="221" t="n">
        <v>66</v>
      </c>
      <c r="AX43" s="215" t="n">
        <v>34</v>
      </c>
      <c r="AY43" s="299"/>
      <c r="AZ43" s="250" t="n">
        <f aca="false">SUM(N43,P43:U43)</f>
        <v>3.69381852792976</v>
      </c>
    </row>
    <row r="44" customFormat="false" ht="12.95" hidden="false" customHeight="true" outlineLevel="0" collapsed="false">
      <c r="A44" s="183" t="n">
        <v>30</v>
      </c>
      <c r="B44" s="106" t="n">
        <v>6904.66</v>
      </c>
      <c r="C44" s="107" t="n">
        <v>301095</v>
      </c>
      <c r="D44" s="215" t="n">
        <f aca="false">C44-C43</f>
        <v>1874</v>
      </c>
      <c r="E44" s="107" t="n">
        <f aca="false">C44-152000</f>
        <v>149095</v>
      </c>
      <c r="F44" s="246" t="n">
        <f aca="false">D44/$D$2</f>
        <v>944.794555079405</v>
      </c>
      <c r="G44" s="135" t="n">
        <v>774</v>
      </c>
      <c r="H44" s="297" t="n">
        <v>84</v>
      </c>
      <c r="I44" s="135" t="n">
        <f aca="false">G44+H44</f>
        <v>858</v>
      </c>
      <c r="J44" s="136" t="n">
        <f aca="false">IF(L44&gt;0,L44,0)</f>
        <v>166.194555079405</v>
      </c>
      <c r="K44" s="135" t="n">
        <f aca="false">I44+J44</f>
        <v>1024.19455507941</v>
      </c>
      <c r="L44" s="135" t="n">
        <f aca="false">F44-(I44-AK44)</f>
        <v>166.194555079405</v>
      </c>
      <c r="M44" s="248" t="n">
        <v>6.4</v>
      </c>
      <c r="N44" s="135" t="n">
        <v>0</v>
      </c>
      <c r="O44" s="135" t="n">
        <f aca="false">0.01*1.05</f>
        <v>0.0105</v>
      </c>
      <c r="P44" s="158" t="n">
        <v>0</v>
      </c>
      <c r="Q44" s="336" t="n">
        <f aca="false">1116700/325851/1.9835*1.02</f>
        <v>1.76232265806686</v>
      </c>
      <c r="R44" s="131" t="n">
        <f aca="false">((2)*1.04)-T44</f>
        <v>1.53166624</v>
      </c>
      <c r="S44" s="131" t="n">
        <v>0</v>
      </c>
      <c r="T44" s="131" t="n">
        <f aca="false">(0.4974*1.06)*1.04</f>
        <v>0.54833376</v>
      </c>
      <c r="U44" s="96" t="n">
        <f aca="false">M44-(Q44+R44+S44+T44)</f>
        <v>2.55767734193314</v>
      </c>
      <c r="V44" s="135" t="n">
        <v>0</v>
      </c>
      <c r="W44" s="135"/>
      <c r="X44" s="135" t="n">
        <f aca="false">M44-N44-O44-P44-Q44-R44-S44-T44-U44+V44+W44</f>
        <v>-0.0105000000000008</v>
      </c>
      <c r="Y44" s="135" t="n">
        <f aca="false">X44-AO44</f>
        <v>-0.0105000000000008</v>
      </c>
      <c r="Z44" s="135"/>
      <c r="AA44" s="135"/>
      <c r="AB44" s="107"/>
      <c r="AC44" s="136"/>
      <c r="AD44" s="107"/>
      <c r="AE44" s="135" t="n">
        <v>0</v>
      </c>
      <c r="AF44" s="248"/>
      <c r="AG44" s="249"/>
      <c r="AH44" s="135" t="n">
        <v>73</v>
      </c>
      <c r="AI44" s="107" t="n">
        <f aca="false">AI43-AH44</f>
        <v>94</v>
      </c>
      <c r="AJ44" s="136"/>
      <c r="AK44" s="134" t="n">
        <f aca="false">N44+O44+P44+Q44+R44+S44+T44+U44+X44+AE44+AH44</f>
        <v>79.4</v>
      </c>
      <c r="AL44" s="135" t="n">
        <f aca="false">IF(L44&lt;0,L44*-1,0)</f>
        <v>0</v>
      </c>
      <c r="AM44" s="135" t="n">
        <f aca="false">AK44+AL44</f>
        <v>79.4</v>
      </c>
      <c r="AN44" s="220" t="n">
        <f aca="false">V44</f>
        <v>0</v>
      </c>
      <c r="AO44" s="136"/>
      <c r="AP44" s="135"/>
      <c r="AQ44" s="107"/>
      <c r="AR44" s="107"/>
      <c r="AS44" s="221"/>
      <c r="AU44" s="176"/>
      <c r="AV44" s="222" t="n">
        <v>0</v>
      </c>
      <c r="AW44" s="221" t="n">
        <v>69</v>
      </c>
      <c r="AX44" s="215" t="n">
        <v>27</v>
      </c>
      <c r="AY44" s="299"/>
      <c r="AZ44" s="250" t="n">
        <f aca="false">SUM(N44,P44:U44)</f>
        <v>6.4</v>
      </c>
    </row>
    <row r="45" customFormat="false" ht="12.95" hidden="false" customHeight="true" outlineLevel="0" collapsed="false">
      <c r="A45" s="183" t="n">
        <v>31</v>
      </c>
      <c r="B45" s="106" t="n">
        <v>6905.2</v>
      </c>
      <c r="C45" s="107" t="n">
        <v>303167</v>
      </c>
      <c r="D45" s="215" t="n">
        <f aca="false">C45-C44</f>
        <v>2072</v>
      </c>
      <c r="E45" s="107" t="n">
        <f aca="false">C45-152000</f>
        <v>151167</v>
      </c>
      <c r="F45" s="246" t="n">
        <f aca="false">D45/$D$2</f>
        <v>1044.61809931939</v>
      </c>
      <c r="G45" s="135" t="n">
        <v>899</v>
      </c>
      <c r="H45" s="297" t="n">
        <v>83</v>
      </c>
      <c r="I45" s="135" t="n">
        <f aca="false">G45+H45</f>
        <v>982</v>
      </c>
      <c r="J45" s="136" t="n">
        <f aca="false">IF(L45&gt;0,L45,0)</f>
        <v>141.418099319385</v>
      </c>
      <c r="K45" s="135" t="n">
        <f aca="false">I45+J45</f>
        <v>1123.41809931939</v>
      </c>
      <c r="L45" s="135" t="n">
        <f aca="false">F45-(I45-AK45)</f>
        <v>141.418099319385</v>
      </c>
      <c r="M45" s="248" t="n">
        <v>5.8</v>
      </c>
      <c r="N45" s="135" t="n">
        <v>0</v>
      </c>
      <c r="O45" s="135" t="n">
        <v>0</v>
      </c>
      <c r="P45" s="158" t="n">
        <v>0</v>
      </c>
      <c r="Q45" s="336" t="n">
        <f aca="false">1194400/325851/1.9835*1.02</f>
        <v>1.88494509070928</v>
      </c>
      <c r="R45" s="131" t="n">
        <f aca="false">((2)*1.04)-T45</f>
        <v>1.53166624</v>
      </c>
      <c r="S45" s="131" t="n">
        <v>0</v>
      </c>
      <c r="T45" s="131" t="n">
        <f aca="false">(0.4974*1.06)*1.04</f>
        <v>0.54833376</v>
      </c>
      <c r="U45" s="96" t="n">
        <f aca="false">M45-(Q45+R45+S45+T45)</f>
        <v>1.83505490929072</v>
      </c>
      <c r="V45" s="135" t="n">
        <v>0</v>
      </c>
      <c r="W45" s="135"/>
      <c r="X45" s="135" t="n">
        <f aca="false">M45-N45-O45-P45-Q45-R45-S45-T45-U45+V45+W45</f>
        <v>0</v>
      </c>
      <c r="Y45" s="135" t="n">
        <f aca="false">X45-AO45</f>
        <v>0</v>
      </c>
      <c r="Z45" s="135"/>
      <c r="AA45" s="135"/>
      <c r="AB45" s="107"/>
      <c r="AC45" s="136"/>
      <c r="AD45" s="107"/>
      <c r="AE45" s="135" t="n">
        <v>0</v>
      </c>
      <c r="AF45" s="248"/>
      <c r="AG45" s="249"/>
      <c r="AH45" s="135" t="n">
        <v>73</v>
      </c>
      <c r="AI45" s="107" t="n">
        <f aca="false">AI44-AH45</f>
        <v>21</v>
      </c>
      <c r="AJ45" s="136"/>
      <c r="AK45" s="134" t="n">
        <f aca="false">N45+O45+P45+Q45+R45+S45+T45+U45+X45+AE45+AH45</f>
        <v>78.8</v>
      </c>
      <c r="AL45" s="135" t="n">
        <f aca="false">IF(L45&lt;0,L45*-1,0)</f>
        <v>0</v>
      </c>
      <c r="AM45" s="246" t="n">
        <f aca="false">AK45+AL45</f>
        <v>78.8</v>
      </c>
      <c r="AN45" s="215" t="n">
        <f aca="false">V45</f>
        <v>0</v>
      </c>
      <c r="AO45" s="136"/>
      <c r="AP45" s="135"/>
      <c r="AQ45" s="135"/>
      <c r="AR45" s="135"/>
      <c r="AS45" s="221"/>
      <c r="AU45" s="176"/>
      <c r="AV45" s="222" t="n">
        <v>0</v>
      </c>
      <c r="AW45" s="221" t="n">
        <v>72</v>
      </c>
      <c r="AX45" s="215" t="n">
        <v>33</v>
      </c>
      <c r="AY45" s="299"/>
      <c r="AZ45" s="250" t="n">
        <f aca="false">SUM(N45,P45:U45)</f>
        <v>5.8</v>
      </c>
    </row>
    <row r="46" customFormat="false" ht="3" hidden="false" customHeight="true" outlineLevel="0" collapsed="false">
      <c r="A46" s="231"/>
      <c r="B46" s="252"/>
      <c r="C46" s="233"/>
      <c r="D46" s="234"/>
      <c r="E46" s="233"/>
      <c r="F46" s="235"/>
      <c r="G46" s="234"/>
      <c r="H46" s="263"/>
      <c r="I46" s="234"/>
      <c r="J46" s="234"/>
      <c r="K46" s="234"/>
      <c r="L46" s="234"/>
      <c r="M46" s="237"/>
      <c r="N46" s="234"/>
      <c r="O46" s="234"/>
      <c r="P46" s="238"/>
      <c r="Q46" s="234"/>
      <c r="R46" s="234"/>
      <c r="S46" s="234"/>
      <c r="T46" s="234"/>
      <c r="U46" s="333"/>
      <c r="V46" s="234"/>
      <c r="W46" s="234"/>
      <c r="X46" s="234"/>
      <c r="Y46" s="234"/>
      <c r="Z46" s="234"/>
      <c r="AA46" s="234"/>
      <c r="AB46" s="233"/>
      <c r="AC46" s="240"/>
      <c r="AD46" s="233"/>
      <c r="AE46" s="234"/>
      <c r="AF46" s="237"/>
      <c r="AG46" s="241"/>
      <c r="AH46" s="234"/>
      <c r="AI46" s="234"/>
      <c r="AJ46" s="240"/>
      <c r="AK46" s="234"/>
      <c r="AL46" s="234"/>
      <c r="AM46" s="235"/>
      <c r="AN46" s="243"/>
      <c r="AO46" s="240"/>
      <c r="AP46" s="243"/>
      <c r="AQ46" s="243"/>
      <c r="AR46" s="243"/>
      <c r="AS46" s="243"/>
      <c r="AT46" s="334"/>
      <c r="AU46" s="334"/>
      <c r="AV46" s="245"/>
      <c r="AW46" s="243"/>
      <c r="AX46" s="243"/>
      <c r="AY46" s="254"/>
      <c r="AZ46" s="255"/>
    </row>
    <row r="47" customFormat="false" ht="12.95" hidden="false" customHeight="true" outlineLevel="0" collapsed="false">
      <c r="A47" s="185" t="s">
        <v>101</v>
      </c>
      <c r="B47" s="213"/>
      <c r="C47" s="107"/>
      <c r="D47" s="107"/>
      <c r="E47" s="107"/>
      <c r="F47" s="214" t="n">
        <f aca="false">SUM(F15:F45)</f>
        <v>7688.93370305016</v>
      </c>
      <c r="G47" s="107" t="n">
        <f aca="false">SUM(G15:G45)</f>
        <v>6721</v>
      </c>
      <c r="H47" s="332" t="n">
        <f aca="false">SUM(H15:H45)</f>
        <v>363.9</v>
      </c>
      <c r="I47" s="107" t="n">
        <f aca="false">SUM(I15:I45)</f>
        <v>7084.9</v>
      </c>
      <c r="J47" s="107" t="n">
        <f aca="false">SUM(J15:J45)</f>
        <v>3827.92175447441</v>
      </c>
      <c r="K47" s="107" t="n">
        <f aca="false">SUM(K15:K45)</f>
        <v>10912.8217544744</v>
      </c>
      <c r="L47" s="107" t="n">
        <f aca="false">SUM(L15:L45)</f>
        <v>3811.03370305016</v>
      </c>
      <c r="M47" s="216" t="n">
        <f aca="false">SUM(M15:M45)</f>
        <v>254</v>
      </c>
      <c r="N47" s="107" t="n">
        <f aca="false">SUM(N15:N45)</f>
        <v>0</v>
      </c>
      <c r="O47" s="107" t="n">
        <f aca="false">SUM(O15:O45)</f>
        <v>44.2155</v>
      </c>
      <c r="P47" s="158"/>
      <c r="Q47" s="107" t="n">
        <f aca="false">SUM(Q15:Q45)</f>
        <v>50.3585238241084</v>
      </c>
      <c r="R47" s="107" t="n">
        <f aca="false">SUM(R15:R45)</f>
        <v>51.0565952</v>
      </c>
      <c r="S47" s="107" t="n">
        <f aca="false">SUM(S15:S45)</f>
        <v>0</v>
      </c>
      <c r="T47" s="107" t="n">
        <f aca="false">SUM(T15:T45)</f>
        <v>15.7114048</v>
      </c>
      <c r="U47" s="316" t="n">
        <f aca="false">SUM(U15:U45)</f>
        <v>16.6348630188207</v>
      </c>
      <c r="V47" s="107" t="n">
        <f aca="false">SUM(V15:V45)</f>
        <v>1247</v>
      </c>
      <c r="W47" s="107" t="n">
        <f aca="false">SUM(W15:W45)</f>
        <v>0</v>
      </c>
      <c r="X47" s="107" t="n">
        <f aca="false">SUM(X15:X45)</f>
        <v>1323.02311315707</v>
      </c>
      <c r="Y47" s="107" t="n">
        <f aca="false">SUM(Y15:Y45)</f>
        <v>1323.02311315707</v>
      </c>
      <c r="Z47" s="107"/>
      <c r="AA47" s="107"/>
      <c r="AB47" s="107"/>
      <c r="AC47" s="136" t="n">
        <f aca="false">SUM(AC15:AC45)</f>
        <v>937.55</v>
      </c>
      <c r="AD47" s="107"/>
      <c r="AE47" s="107"/>
      <c r="AF47" s="216"/>
      <c r="AG47" s="218"/>
      <c r="AH47" s="107" t="n">
        <f aca="false">SUM(AH15:AH45)</f>
        <v>1706</v>
      </c>
      <c r="AI47" s="107"/>
      <c r="AJ47" s="136" t="n">
        <f aca="false">SUM(AJ15:AJ45)</f>
        <v>0</v>
      </c>
      <c r="AK47" s="107" t="n">
        <f aca="false">SUM(AK15:AK45)</f>
        <v>3207</v>
      </c>
      <c r="AL47" s="107" t="n">
        <f aca="false">SUM(AL15:AL45)</f>
        <v>16.8880514242501</v>
      </c>
      <c r="AM47" s="214" t="n">
        <f aca="false">SUM(AM15:AM45)</f>
        <v>3223.88805142425</v>
      </c>
      <c r="AN47" s="136" t="n">
        <f aca="false">SUM(AN15:AN45)</f>
        <v>1247</v>
      </c>
      <c r="AO47" s="136" t="n">
        <f aca="false">SUM(AO15:AO45)</f>
        <v>0</v>
      </c>
      <c r="AP47" s="135"/>
      <c r="AQ47" s="135"/>
      <c r="AR47" s="135"/>
      <c r="AS47" s="221"/>
      <c r="AT47" s="84" t="s">
        <v>114</v>
      </c>
      <c r="AU47" s="176"/>
      <c r="AV47" s="222" t="n">
        <f aca="false">SUM(AV15:AV45)</f>
        <v>0.18</v>
      </c>
      <c r="AW47" s="215" t="n">
        <f aca="false">AVERAGE(AW15:AW45)</f>
        <v>55.0967741935484</v>
      </c>
      <c r="AX47" s="215" t="n">
        <f aca="false">AVERAGE(AX15:AX45)</f>
        <v>26.0967741935484</v>
      </c>
      <c r="AY47" s="223" t="s">
        <v>119</v>
      </c>
      <c r="AZ47" s="338" t="n">
        <f aca="false">SUM(AZ15:AZ45)</f>
        <v>133.761386842929</v>
      </c>
    </row>
    <row r="48" customFormat="false" ht="12.95" hidden="false" customHeight="true" outlineLevel="0" collapsed="false">
      <c r="A48" s="185" t="s">
        <v>103</v>
      </c>
      <c r="B48" s="213"/>
      <c r="C48" s="107"/>
      <c r="D48" s="107" t="n">
        <f aca="false">SUM(D15:D45)</f>
        <v>15251</v>
      </c>
      <c r="E48" s="107"/>
      <c r="F48" s="214" t="n">
        <f aca="false">F47*$D$2</f>
        <v>15251</v>
      </c>
      <c r="G48" s="107" t="n">
        <f aca="false">G47*$D$2</f>
        <v>13331.1035</v>
      </c>
      <c r="H48" s="332" t="n">
        <f aca="false">H47*$D$2</f>
        <v>721.79565</v>
      </c>
      <c r="I48" s="107" t="n">
        <f aca="false">I47*$D$2</f>
        <v>14052.89915</v>
      </c>
      <c r="J48" s="107" t="n">
        <f aca="false">J47*$D$2</f>
        <v>7592.6828</v>
      </c>
      <c r="K48" s="107" t="n">
        <f aca="false">K47*$D$2</f>
        <v>21645.58195</v>
      </c>
      <c r="L48" s="107" t="n">
        <f aca="false">L47*$D$2</f>
        <v>7559.18535</v>
      </c>
      <c r="M48" s="216" t="n">
        <f aca="false">M47*$D$2</f>
        <v>503.809</v>
      </c>
      <c r="N48" s="107" t="n">
        <f aca="false">N47*$D$2</f>
        <v>0</v>
      </c>
      <c r="O48" s="107" t="n">
        <f aca="false">O47*$D$2</f>
        <v>87.70144425</v>
      </c>
      <c r="P48" s="158"/>
      <c r="Q48" s="107" t="n">
        <f aca="false">Q47*$D$2</f>
        <v>99.8861320051189</v>
      </c>
      <c r="R48" s="107" t="n">
        <f aca="false">R47*$D$2</f>
        <v>101.2707565792</v>
      </c>
      <c r="S48" s="107" t="n">
        <f aca="false">S47*$D$2</f>
        <v>0</v>
      </c>
      <c r="T48" s="107" t="n">
        <f aca="false">T47*$D$2</f>
        <v>31.1635714208</v>
      </c>
      <c r="U48" s="316" t="n">
        <f aca="false">U47*$D$2</f>
        <v>32.9952507978309</v>
      </c>
      <c r="V48" s="107" t="n">
        <f aca="false">V47*$D$2</f>
        <v>2473.4245</v>
      </c>
      <c r="W48" s="107" t="n">
        <f aca="false">W47*$D$2</f>
        <v>0</v>
      </c>
      <c r="X48" s="107" t="n">
        <f aca="false">X47*$D$2</f>
        <v>2624.21634494705</v>
      </c>
      <c r="Y48" s="107" t="n">
        <f aca="false">Y47*$D$2</f>
        <v>2624.21634494705</v>
      </c>
      <c r="Z48" s="107"/>
      <c r="AA48" s="107"/>
      <c r="AB48" s="107"/>
      <c r="AC48" s="136" t="n">
        <f aca="false">AC47*$D$2</f>
        <v>1859.630425</v>
      </c>
      <c r="AD48" s="107"/>
      <c r="AE48" s="107"/>
      <c r="AF48" s="216"/>
      <c r="AG48" s="218"/>
      <c r="AH48" s="107" t="n">
        <f aca="false">AH47*$D$2</f>
        <v>3383.851</v>
      </c>
      <c r="AI48" s="107"/>
      <c r="AJ48" s="136" t="n">
        <f aca="false">AJ47*$D$2</f>
        <v>0</v>
      </c>
      <c r="AK48" s="107" t="n">
        <f aca="false">AK47*$D$2</f>
        <v>6361.0845</v>
      </c>
      <c r="AL48" s="107" t="n">
        <f aca="false">AL47*$D$2</f>
        <v>33.49745</v>
      </c>
      <c r="AM48" s="214" t="n">
        <f aca="false">AM47*$D$2</f>
        <v>6394.58195</v>
      </c>
      <c r="AN48" s="136" t="n">
        <f aca="false">AN47*$D$2</f>
        <v>2473.4245</v>
      </c>
      <c r="AO48" s="136" t="n">
        <f aca="false">AO47*$D$2</f>
        <v>0</v>
      </c>
      <c r="AP48" s="135"/>
      <c r="AQ48" s="135"/>
      <c r="AR48" s="135"/>
      <c r="AS48" s="221"/>
      <c r="AT48" s="84"/>
      <c r="AU48" s="176"/>
      <c r="AV48" s="222"/>
      <c r="AW48" s="215" t="n">
        <f aca="false">MAX(AW15:AW45)</f>
        <v>72</v>
      </c>
      <c r="AX48" s="215" t="n">
        <f aca="false">MAX(AX15:AX45)</f>
        <v>37</v>
      </c>
      <c r="AY48" s="223" t="s">
        <v>104</v>
      </c>
      <c r="AZ48" s="338" t="n">
        <f aca="false">AZ47*$D$2</f>
        <v>265.31571080295</v>
      </c>
    </row>
    <row r="49" customFormat="false" ht="3" hidden="false" customHeight="true" outlineLevel="0" collapsed="false">
      <c r="A49" s="231"/>
      <c r="B49" s="252"/>
      <c r="C49" s="233"/>
      <c r="D49" s="233"/>
      <c r="E49" s="233"/>
      <c r="F49" s="257"/>
      <c r="G49" s="233"/>
      <c r="H49" s="339"/>
      <c r="I49" s="233"/>
      <c r="J49" s="233"/>
      <c r="K49" s="233"/>
      <c r="L49" s="233"/>
      <c r="M49" s="258"/>
      <c r="N49" s="233"/>
      <c r="O49" s="233"/>
      <c r="P49" s="238"/>
      <c r="Q49" s="233"/>
      <c r="R49" s="233"/>
      <c r="S49" s="233"/>
      <c r="T49" s="233"/>
      <c r="U49" s="340"/>
      <c r="V49" s="233"/>
      <c r="W49" s="233"/>
      <c r="X49" s="233"/>
      <c r="Y49" s="233"/>
      <c r="Z49" s="233"/>
      <c r="AA49" s="233"/>
      <c r="AB49" s="233"/>
      <c r="AC49" s="240"/>
      <c r="AD49" s="233"/>
      <c r="AE49" s="233"/>
      <c r="AF49" s="258"/>
      <c r="AG49" s="259"/>
      <c r="AH49" s="233"/>
      <c r="AI49" s="234"/>
      <c r="AJ49" s="240"/>
      <c r="AK49" s="233"/>
      <c r="AL49" s="233"/>
      <c r="AM49" s="257"/>
      <c r="AN49" s="240"/>
      <c r="AO49" s="240"/>
      <c r="AP49" s="233"/>
      <c r="AQ49" s="233"/>
      <c r="AR49" s="233"/>
      <c r="AS49" s="233"/>
      <c r="AT49" s="341"/>
      <c r="AU49" s="334"/>
      <c r="AV49" s="261"/>
      <c r="AW49" s="233"/>
      <c r="AX49" s="233"/>
      <c r="AY49" s="254"/>
      <c r="AZ49" s="317"/>
    </row>
    <row r="50" customFormat="false" ht="12.95" hidden="false" customHeight="true" outlineLevel="0" collapsed="false">
      <c r="A50" s="185" t="s">
        <v>105</v>
      </c>
      <c r="B50" s="213"/>
      <c r="C50" s="107"/>
      <c r="D50" s="107"/>
      <c r="E50" s="107"/>
      <c r="F50" s="214"/>
      <c r="G50" s="107"/>
      <c r="H50" s="332"/>
      <c r="I50" s="107"/>
      <c r="J50" s="107"/>
      <c r="K50" s="107"/>
      <c r="L50" s="107"/>
      <c r="M50" s="216"/>
      <c r="N50" s="107"/>
      <c r="O50" s="107" t="n">
        <f aca="false">O47</f>
        <v>44.2155</v>
      </c>
      <c r="P50" s="158"/>
      <c r="Q50" s="107"/>
      <c r="R50" s="107"/>
      <c r="S50" s="107"/>
      <c r="T50" s="107"/>
      <c r="U50" s="342"/>
      <c r="V50" s="107"/>
      <c r="W50" s="107"/>
      <c r="X50" s="107"/>
      <c r="Y50" s="107"/>
      <c r="Z50" s="107"/>
      <c r="AA50" s="107"/>
      <c r="AB50" s="107"/>
      <c r="AC50" s="136"/>
      <c r="AD50" s="107"/>
      <c r="AE50" s="107"/>
      <c r="AF50" s="216"/>
      <c r="AG50" s="218"/>
      <c r="AH50" s="107"/>
      <c r="AI50" s="107"/>
      <c r="AJ50" s="136"/>
      <c r="AK50" s="107"/>
      <c r="AL50" s="107"/>
      <c r="AM50" s="214"/>
      <c r="AN50" s="136"/>
      <c r="AO50" s="136"/>
      <c r="AP50" s="135"/>
      <c r="AQ50" s="135"/>
      <c r="AR50" s="135"/>
      <c r="AS50" s="221"/>
      <c r="AT50" s="84"/>
      <c r="AU50" s="176"/>
      <c r="AV50" s="222"/>
      <c r="AW50" s="215" t="n">
        <f aca="false">MIN(AW15:AW45)</f>
        <v>30</v>
      </c>
      <c r="AX50" s="215" t="n">
        <f aca="false">MIN(AX15:AX45)</f>
        <v>6</v>
      </c>
      <c r="AY50" s="223" t="s">
        <v>106</v>
      </c>
      <c r="AZ50" s="338"/>
    </row>
    <row r="51" customFormat="false" ht="12.95" hidden="false" customHeight="true" outlineLevel="0" collapsed="false">
      <c r="A51" s="185" t="s">
        <v>107</v>
      </c>
      <c r="B51" s="213"/>
      <c r="C51" s="107"/>
      <c r="D51" s="107"/>
      <c r="E51" s="107"/>
      <c r="F51" s="214"/>
      <c r="G51" s="107"/>
      <c r="H51" s="332"/>
      <c r="I51" s="107"/>
      <c r="J51" s="107"/>
      <c r="K51" s="107"/>
      <c r="L51" s="107"/>
      <c r="M51" s="216"/>
      <c r="N51" s="107"/>
      <c r="O51" s="107" t="n">
        <f aca="false">O50*D2</f>
        <v>87.70144425</v>
      </c>
      <c r="P51" s="158"/>
      <c r="Q51" s="107"/>
      <c r="R51" s="107"/>
      <c r="S51" s="107"/>
      <c r="T51" s="107"/>
      <c r="U51" s="342"/>
      <c r="V51" s="107"/>
      <c r="W51" s="107"/>
      <c r="X51" s="107"/>
      <c r="Y51" s="107"/>
      <c r="Z51" s="107"/>
      <c r="AA51" s="107"/>
      <c r="AB51" s="107"/>
      <c r="AC51" s="136"/>
      <c r="AD51" s="107"/>
      <c r="AE51" s="107"/>
      <c r="AF51" s="216"/>
      <c r="AG51" s="218"/>
      <c r="AH51" s="107"/>
      <c r="AI51" s="107"/>
      <c r="AJ51" s="136"/>
      <c r="AK51" s="107"/>
      <c r="AL51" s="107"/>
      <c r="AM51" s="214"/>
      <c r="AN51" s="136"/>
      <c r="AO51" s="136"/>
      <c r="AP51" s="135"/>
      <c r="AQ51" s="135"/>
      <c r="AR51" s="135"/>
      <c r="AS51" s="221"/>
      <c r="AT51" s="84"/>
      <c r="AU51" s="176"/>
      <c r="AV51" s="222"/>
      <c r="AW51" s="215"/>
      <c r="AX51" s="215"/>
      <c r="AY51" s="299"/>
      <c r="AZ51" s="338"/>
    </row>
    <row r="52" customFormat="false" ht="3" hidden="false" customHeight="true" outlineLevel="0" collapsed="false">
      <c r="A52" s="231"/>
      <c r="B52" s="252"/>
      <c r="C52" s="233"/>
      <c r="D52" s="233"/>
      <c r="E52" s="233"/>
      <c r="F52" s="257"/>
      <c r="G52" s="233"/>
      <c r="H52" s="339"/>
      <c r="I52" s="233"/>
      <c r="J52" s="233"/>
      <c r="K52" s="233"/>
      <c r="L52" s="233"/>
      <c r="M52" s="258"/>
      <c r="N52" s="233"/>
      <c r="O52" s="233"/>
      <c r="P52" s="238"/>
      <c r="Q52" s="233"/>
      <c r="R52" s="233"/>
      <c r="S52" s="233"/>
      <c r="T52" s="233"/>
      <c r="U52" s="340"/>
      <c r="V52" s="233"/>
      <c r="W52" s="233"/>
      <c r="X52" s="233"/>
      <c r="Y52" s="233"/>
      <c r="Z52" s="233"/>
      <c r="AA52" s="233"/>
      <c r="AB52" s="233"/>
      <c r="AC52" s="240"/>
      <c r="AD52" s="233"/>
      <c r="AE52" s="233"/>
      <c r="AF52" s="258"/>
      <c r="AG52" s="259"/>
      <c r="AH52" s="233"/>
      <c r="AI52" s="233"/>
      <c r="AJ52" s="240"/>
      <c r="AK52" s="233"/>
      <c r="AL52" s="233"/>
      <c r="AM52" s="257"/>
      <c r="AN52" s="240"/>
      <c r="AO52" s="240"/>
      <c r="AP52" s="263"/>
      <c r="AQ52" s="263"/>
      <c r="AR52" s="263"/>
      <c r="AS52" s="263"/>
      <c r="AT52" s="341"/>
      <c r="AU52" s="334"/>
      <c r="AV52" s="245"/>
      <c r="AW52" s="263"/>
      <c r="AX52" s="263"/>
      <c r="AY52" s="254"/>
      <c r="AZ52" s="317"/>
    </row>
    <row r="53" customFormat="false" ht="12.95" hidden="false" customHeight="true" outlineLevel="0" collapsed="false">
      <c r="A53" s="185" t="s">
        <v>108</v>
      </c>
      <c r="B53" s="213"/>
      <c r="C53" s="107"/>
      <c r="D53" s="107"/>
      <c r="E53" s="107"/>
      <c r="F53" s="214" t="n">
        <f aca="false">F13+F47</f>
        <v>4817.74640786489</v>
      </c>
      <c r="G53" s="107" t="n">
        <f aca="false">G13+G47</f>
        <v>12064</v>
      </c>
      <c r="H53" s="332" t="n">
        <f aca="false">H13+H47</f>
        <v>482.08</v>
      </c>
      <c r="I53" s="107" t="n">
        <f aca="false">I13+I47</f>
        <v>12545.46</v>
      </c>
      <c r="J53" s="107" t="n">
        <f aca="false">J13+J47</f>
        <v>4894.18784219814</v>
      </c>
      <c r="K53" s="107" t="n">
        <f aca="false">K13+K47</f>
        <v>17439.6478421981</v>
      </c>
      <c r="L53" s="107" t="n">
        <f aca="false">L13+L47</f>
        <v>4297.48640786489</v>
      </c>
      <c r="M53" s="216" t="n">
        <f aca="false">M13+M47</f>
        <v>788.7</v>
      </c>
      <c r="N53" s="107" t="n">
        <f aca="false">N13+N47</f>
        <v>0</v>
      </c>
      <c r="O53" s="107" t="n">
        <f aca="false">O13+O47</f>
        <v>44.2155</v>
      </c>
      <c r="P53" s="158"/>
      <c r="Q53" s="107" t="n">
        <f aca="false">Q13+Q47</f>
        <v>234.523353531184</v>
      </c>
      <c r="R53" s="107" t="n">
        <f aca="false">R13+R47</f>
        <v>242.95820016</v>
      </c>
      <c r="S53" s="107" t="n">
        <f aca="false">S13+S47</f>
        <v>0</v>
      </c>
      <c r="T53" s="107" t="n">
        <f aca="false">T13+T47</f>
        <v>76.84179984</v>
      </c>
      <c r="U53" s="316" t="n">
        <f aca="false">U13+U47</f>
        <v>25.0321998225326</v>
      </c>
      <c r="V53" s="107" t="n">
        <f aca="false">V13+V47</f>
        <v>5847</v>
      </c>
      <c r="W53" s="107" t="n">
        <f aca="false">W13+W47</f>
        <v>59.5</v>
      </c>
      <c r="X53" s="107" t="n">
        <f aca="false">X13+X47</f>
        <v>6071.62894664628</v>
      </c>
      <c r="Y53" s="107" t="n">
        <f aca="false">Y13+Y47</f>
        <v>5868.83187452775</v>
      </c>
      <c r="Z53" s="107"/>
      <c r="AA53" s="107"/>
      <c r="AB53" s="107"/>
      <c r="AC53" s="136" t="n">
        <f aca="false">AC13+AC47</f>
        <v>1714.15</v>
      </c>
      <c r="AD53" s="107"/>
      <c r="AE53" s="107"/>
      <c r="AF53" s="216"/>
      <c r="AG53" s="218"/>
      <c r="AH53" s="107" t="n">
        <f aca="false">AH13+AH47</f>
        <v>5330</v>
      </c>
      <c r="AI53" s="107" t="n">
        <f aca="false">AI45</f>
        <v>21</v>
      </c>
      <c r="AJ53" s="136" t="n">
        <f aca="false">AJ13+AJ47</f>
        <v>0</v>
      </c>
      <c r="AK53" s="107" t="n">
        <f aca="false">AK13+AK47</f>
        <v>12025.2</v>
      </c>
      <c r="AL53" s="107" t="n">
        <f aca="false">AL13+AL47</f>
        <v>596.701434333249</v>
      </c>
      <c r="AM53" s="214" t="n">
        <f aca="false">AM13+AM47</f>
        <v>12621.9014343333</v>
      </c>
      <c r="AN53" s="136" t="n">
        <f aca="false">AN13+AN47</f>
        <v>5792.8</v>
      </c>
      <c r="AO53" s="136" t="n">
        <f aca="false">AO13+AO47</f>
        <v>202.797072118535</v>
      </c>
      <c r="AP53" s="135"/>
      <c r="AQ53" s="135"/>
      <c r="AR53" s="135"/>
      <c r="AS53" s="221"/>
      <c r="AT53" s="84"/>
      <c r="AU53" s="176"/>
      <c r="AV53" s="222" t="n">
        <f aca="false">AV13+AV47</f>
        <v>2.43</v>
      </c>
      <c r="AW53" s="215"/>
      <c r="AX53" s="215"/>
      <c r="AY53" s="299"/>
      <c r="AZ53" s="338" t="n">
        <f aca="false">AZ13+AZ47</f>
        <v>579.355553353716</v>
      </c>
    </row>
    <row r="54" customFormat="false" ht="12.95" hidden="false" customHeight="true" outlineLevel="0" collapsed="false">
      <c r="A54" s="185" t="s">
        <v>109</v>
      </c>
      <c r="B54" s="213"/>
      <c r="C54" s="107"/>
      <c r="D54" s="107" t="n">
        <f aca="false">D13+D48</f>
        <v>9482</v>
      </c>
      <c r="E54" s="107" t="n">
        <f aca="false">E45</f>
        <v>151167</v>
      </c>
      <c r="F54" s="214" t="n">
        <f aca="false">F53*$D$2</f>
        <v>9556</v>
      </c>
      <c r="G54" s="107" t="n">
        <f aca="false">G53*$D$2</f>
        <v>23928.944</v>
      </c>
      <c r="H54" s="332" t="n">
        <f aca="false">H53*$D$2</f>
        <v>956.20568</v>
      </c>
      <c r="I54" s="107" t="n">
        <f aca="false">I53*$D$2</f>
        <v>24883.91991</v>
      </c>
      <c r="J54" s="107" t="n">
        <f aca="false">J53*$D$2</f>
        <v>9707.621585</v>
      </c>
      <c r="K54" s="107" t="n">
        <f aca="false">K53*$D$2</f>
        <v>34591.541495</v>
      </c>
      <c r="L54" s="107" t="n">
        <f aca="false">L53*$D$2</f>
        <v>8524.06429</v>
      </c>
      <c r="M54" s="216" t="n">
        <f aca="false">M53*$D$2</f>
        <v>1564.38645</v>
      </c>
      <c r="N54" s="107" t="n">
        <f aca="false">N53*$D$2</f>
        <v>0</v>
      </c>
      <c r="O54" s="107" t="n">
        <f aca="false">O53*$D$2</f>
        <v>87.70144425</v>
      </c>
      <c r="P54" s="158"/>
      <c r="Q54" s="107" t="n">
        <f aca="false">Q53*$D$2</f>
        <v>465.177071729103</v>
      </c>
      <c r="R54" s="107" t="n">
        <f aca="false">R53*$D$2</f>
        <v>481.90759001736</v>
      </c>
      <c r="S54" s="107" t="n">
        <f aca="false">S53*$D$2</f>
        <v>0</v>
      </c>
      <c r="T54" s="107" t="n">
        <f aca="false">T53*$D$2</f>
        <v>152.41570998264</v>
      </c>
      <c r="U54" s="316" t="n">
        <f aca="false">U53*$D$2</f>
        <v>49.6513683479934</v>
      </c>
      <c r="V54" s="107" t="n">
        <f aca="false">V53*$D$2</f>
        <v>11597.5245</v>
      </c>
      <c r="W54" s="107" t="n">
        <f aca="false">W53*$D$2</f>
        <v>118.01825</v>
      </c>
      <c r="X54" s="107" t="n">
        <f aca="false">X53*$D$2</f>
        <v>12043.0760156729</v>
      </c>
      <c r="Y54" s="107" t="n">
        <f aca="false">Y53*$D$2</f>
        <v>11640.8280231258</v>
      </c>
      <c r="Z54" s="107"/>
      <c r="AA54" s="107"/>
      <c r="AB54" s="107"/>
      <c r="AC54" s="136" t="n">
        <f aca="false">AC53*$D$2</f>
        <v>3400.016525</v>
      </c>
      <c r="AD54" s="107"/>
      <c r="AE54" s="107"/>
      <c r="AF54" s="266"/>
      <c r="AG54" s="267"/>
      <c r="AH54" s="107" t="n">
        <f aca="false">AH53*$D$2</f>
        <v>10572.055</v>
      </c>
      <c r="AI54" s="107" t="n">
        <f aca="false">AI53*$D$2</f>
        <v>41.6535</v>
      </c>
      <c r="AJ54" s="136" t="n">
        <f aca="false">AJ53*$D$2</f>
        <v>0</v>
      </c>
      <c r="AK54" s="107" t="n">
        <f aca="false">AK53*$D$2</f>
        <v>23851.9842</v>
      </c>
      <c r="AL54" s="107" t="n">
        <f aca="false">AL53*$D$2</f>
        <v>1183.557295</v>
      </c>
      <c r="AM54" s="268" t="n">
        <f aca="false">AM53*$D$2</f>
        <v>25035.541495</v>
      </c>
      <c r="AN54" s="215" t="n">
        <f aca="false">AN53*$D$2</f>
        <v>11490.0188</v>
      </c>
      <c r="AO54" s="136" t="n">
        <f aca="false">AO53*$D$2</f>
        <v>402.247992547115</v>
      </c>
      <c r="AP54" s="135"/>
      <c r="AQ54" s="135"/>
      <c r="AR54" s="135"/>
      <c r="AS54" s="221"/>
      <c r="AT54" s="84"/>
      <c r="AU54" s="176"/>
      <c r="AV54" s="222"/>
      <c r="AW54" s="215"/>
      <c r="AX54" s="215"/>
      <c r="AY54" s="299"/>
      <c r="AZ54" s="338" t="n">
        <f aca="false">AZ53*$D$2</f>
        <v>1149.1517400771</v>
      </c>
    </row>
    <row r="55" customFormat="false" ht="3" hidden="false" customHeight="true" outlineLevel="0" collapsed="false">
      <c r="A55" s="231"/>
      <c r="B55" s="252"/>
      <c r="C55" s="233"/>
      <c r="D55" s="234"/>
      <c r="E55" s="233"/>
      <c r="F55" s="235"/>
      <c r="G55" s="234"/>
      <c r="H55" s="263"/>
      <c r="I55" s="234"/>
      <c r="J55" s="234"/>
      <c r="K55" s="234"/>
      <c r="L55" s="234"/>
      <c r="M55" s="237"/>
      <c r="N55" s="234"/>
      <c r="O55" s="234"/>
      <c r="P55" s="238"/>
      <c r="Q55" s="234"/>
      <c r="R55" s="234"/>
      <c r="S55" s="234"/>
      <c r="T55" s="234"/>
      <c r="U55" s="333"/>
      <c r="V55" s="234"/>
      <c r="W55" s="234"/>
      <c r="X55" s="234"/>
      <c r="Y55" s="234"/>
      <c r="Z55" s="234"/>
      <c r="AA55" s="234"/>
      <c r="AB55" s="233"/>
      <c r="AC55" s="240"/>
      <c r="AD55" s="233"/>
      <c r="AE55" s="234"/>
      <c r="AF55" s="237"/>
      <c r="AG55" s="241"/>
      <c r="AH55" s="234"/>
      <c r="AI55" s="233"/>
      <c r="AJ55" s="240"/>
      <c r="AK55" s="234"/>
      <c r="AL55" s="234"/>
      <c r="AM55" s="234"/>
      <c r="AN55" s="242"/>
      <c r="AO55" s="240"/>
      <c r="AP55" s="234"/>
      <c r="AQ55" s="234"/>
      <c r="AR55" s="234"/>
      <c r="AS55" s="234"/>
      <c r="AT55" s="343"/>
      <c r="AU55" s="334"/>
      <c r="AV55" s="252"/>
      <c r="AW55" s="234"/>
      <c r="AX55" s="234"/>
      <c r="AY55" s="254"/>
      <c r="AZ55" s="255"/>
    </row>
    <row r="56" customFormat="false" ht="11.1" hidden="false" customHeight="true" outlineLevel="0" collapsed="false">
      <c r="A56" s="185"/>
      <c r="B56" s="271"/>
      <c r="D56" s="185"/>
      <c r="F56" s="185"/>
      <c r="G56" s="185"/>
      <c r="I56" s="185"/>
      <c r="J56" s="185"/>
      <c r="K56" s="185"/>
      <c r="L56" s="185"/>
      <c r="M56" s="185"/>
      <c r="N56" s="185"/>
      <c r="O56" s="185"/>
      <c r="Q56" s="185"/>
      <c r="R56" s="185"/>
      <c r="S56" s="185"/>
      <c r="T56" s="185"/>
      <c r="V56" s="185"/>
      <c r="W56" s="185"/>
      <c r="X56" s="185"/>
      <c r="Y56" s="185"/>
      <c r="Z56" s="185"/>
      <c r="AA56" s="185"/>
      <c r="AB56" s="177"/>
      <c r="AD56" s="177"/>
      <c r="AE56" s="185"/>
      <c r="AF56" s="185"/>
      <c r="AG56" s="185"/>
      <c r="AH56" s="185"/>
      <c r="AI56" s="177"/>
      <c r="AK56" s="185"/>
      <c r="AL56" s="185"/>
      <c r="AM56" s="185"/>
      <c r="AN56" s="183"/>
      <c r="AO56" s="194"/>
      <c r="AP56" s="188"/>
      <c r="AQ56" s="188"/>
      <c r="AR56" s="188"/>
      <c r="AX56" s="182"/>
    </row>
    <row r="57" customFormat="false" ht="11.1" hidden="false" customHeight="true" outlineLevel="0" collapsed="false">
      <c r="A57" s="185"/>
      <c r="B57" s="272"/>
      <c r="F57" s="185"/>
      <c r="G57" s="185"/>
      <c r="I57" s="186"/>
      <c r="J57" s="185"/>
      <c r="K57" s="174"/>
      <c r="L57" s="185"/>
      <c r="M57" s="185"/>
      <c r="N57" s="185"/>
      <c r="O57" s="185"/>
      <c r="Q57" s="185"/>
      <c r="R57" s="185"/>
      <c r="S57" s="185"/>
      <c r="T57" s="185"/>
      <c r="V57" s="185"/>
      <c r="W57" s="185"/>
      <c r="X57" s="185"/>
      <c r="Y57" s="185"/>
      <c r="Z57" s="185"/>
      <c r="AA57" s="185"/>
      <c r="AB57" s="177"/>
      <c r="AD57" s="177"/>
      <c r="AE57" s="185"/>
      <c r="AF57" s="185"/>
      <c r="AG57" s="185"/>
      <c r="AH57" s="185"/>
      <c r="AI57" s="177"/>
      <c r="AK57" s="185"/>
      <c r="AL57" s="185"/>
      <c r="AM57" s="185"/>
      <c r="AN57" s="183"/>
      <c r="AO57" s="194"/>
      <c r="AP57" s="188"/>
      <c r="AQ57" s="188"/>
      <c r="AR57" s="188"/>
      <c r="AX57" s="182"/>
    </row>
    <row r="58" customFormat="false" ht="11.1" hidden="false" customHeight="true" outlineLevel="0" collapsed="false">
      <c r="D58" s="177"/>
      <c r="S58" s="179"/>
      <c r="T58" s="179"/>
      <c r="X58" s="176"/>
      <c r="Y58" s="176"/>
      <c r="Z58" s="176"/>
      <c r="AA58" s="176"/>
      <c r="AB58" s="177"/>
      <c r="AD58" s="177"/>
      <c r="AH58" s="176"/>
      <c r="AI58" s="177"/>
      <c r="AM58" s="176"/>
      <c r="AN58" s="183"/>
      <c r="AO58" s="194"/>
      <c r="AP58" s="180"/>
      <c r="AQ58" s="180"/>
      <c r="AR58" s="180"/>
      <c r="AX58" s="182"/>
    </row>
    <row r="59" customFormat="false" ht="11.1" hidden="false" customHeight="true" outlineLevel="0" collapsed="false">
      <c r="B59" s="8"/>
      <c r="D59" s="177"/>
      <c r="AN59" s="288"/>
      <c r="AO59" s="325"/>
      <c r="AP59" s="180"/>
    </row>
    <row r="60" customFormat="false" ht="11.1" hidden="false" customHeight="true" outlineLevel="0" collapsed="false">
      <c r="G60" s="273"/>
      <c r="AN60" s="288"/>
      <c r="AO60" s="325"/>
      <c r="AP60" s="180"/>
    </row>
  </sheetData>
  <mergeCells count="2">
    <mergeCell ref="K2:T2"/>
    <mergeCell ref="M5:U5"/>
  </mergeCells>
  <printOptions headings="true" gridLines="true" gridLinesSet="true" horizontalCentered="false" verticalCentered="true"/>
  <pageMargins left="0.25" right="0.25" top="0.5" bottom="0" header="0.5" footer="0.511811023622047"/>
  <pageSetup paperSize="3" scale="90" fitToWidth="1" fitToHeight="1" pageOrder="downThenOver" orientation="landscape" blackAndWhite="false" draft="false" cellComments="atEnd" horizontalDpi="300" verticalDpi="300" copies="1"/>
  <headerFooter differentFirst="false" differentOddEven="false">
    <oddHeader>&amp;C2012 Approved</oddHeader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Z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E15" activePane="bottomRight" state="frozen"/>
      <selection pane="topLeft" activeCell="A1" activeCellId="0" sqref="A1"/>
      <selection pane="topRight" activeCell="E1" activeCellId="0" sqref="E1"/>
      <selection pane="bottomLeft" activeCell="A15" activeCellId="0" sqref="A15"/>
      <selection pane="bottomRight" activeCell="AC13" activeCellId="0" sqref="AC13"/>
    </sheetView>
  </sheetViews>
  <sheetFormatPr defaultColWidth="9.2890625" defaultRowHeight="11.1" zeroHeight="false" outlineLevelRow="0" outlineLevelCol="0"/>
  <cols>
    <col collapsed="false" customWidth="true" hidden="false" outlineLevel="0" max="1" min="1" style="1" width="4.66"/>
    <col collapsed="false" customWidth="true" hidden="false" outlineLevel="0" max="2" min="2" style="1" width="6.99"/>
    <col collapsed="false" customWidth="true" hidden="false" outlineLevel="0" max="3" min="3" style="2" width="6.32"/>
    <col collapsed="false" customWidth="true" hidden="false" outlineLevel="0" max="4" min="4" style="1" width="6.32"/>
    <col collapsed="false" customWidth="true" hidden="false" outlineLevel="0" max="5" min="5" style="2" width="6.99"/>
    <col collapsed="false" customWidth="true" hidden="false" outlineLevel="0" max="6" min="6" style="1" width="7.32"/>
    <col collapsed="false" customWidth="true" hidden="false" outlineLevel="0" max="7" min="7" style="1" width="6.82"/>
    <col collapsed="false" customWidth="true" hidden="false" outlineLevel="0" max="8" min="8" style="4" width="5.66"/>
    <col collapsed="false" customWidth="true" hidden="false" outlineLevel="0" max="11" min="9" style="1" width="6.32"/>
    <col collapsed="false" customWidth="true" hidden="false" outlineLevel="0" max="12" min="12" style="1" width="6.82"/>
    <col collapsed="false" customWidth="true" hidden="false" outlineLevel="0" max="13" min="13" style="4" width="5.49"/>
    <col collapsed="false" customWidth="true" hidden="false" outlineLevel="0" max="14" min="14" style="4" width="4.49"/>
    <col collapsed="false" customWidth="true" hidden="false" outlineLevel="0" max="15" min="15" style="4" width="5.49"/>
    <col collapsed="false" customWidth="true" hidden="false" outlineLevel="0" max="16" min="16" style="5" width="4.82"/>
    <col collapsed="false" customWidth="true" hidden="false" outlineLevel="0" max="18" min="17" style="4" width="4.32"/>
    <col collapsed="false" customWidth="true" hidden="false" outlineLevel="0" max="20" min="19" style="1" width="4.32"/>
    <col collapsed="false" customWidth="true" hidden="false" outlineLevel="0" max="21" min="21" style="5" width="5.16"/>
    <col collapsed="false" customWidth="true" hidden="false" outlineLevel="0" max="23" min="22" style="1" width="5.49"/>
    <col collapsed="false" customWidth="true" hidden="false" outlineLevel="0" max="25" min="24" style="2" width="6.32"/>
    <col collapsed="false" customWidth="true" hidden="false" outlineLevel="0" max="26" min="26" style="1" width="5.49"/>
    <col collapsed="false" customWidth="true" hidden="false" outlineLevel="0" max="27" min="27" style="2" width="6.32"/>
    <col collapsed="false" customWidth="true" hidden="false" outlineLevel="0" max="28" min="28" style="176" width="5.49"/>
    <col collapsed="false" customWidth="true" hidden="false" outlineLevel="0" max="29" min="29" style="1" width="5.82"/>
    <col collapsed="false" customWidth="true" hidden="false" outlineLevel="0" max="33" min="30" style="1" width="5.49"/>
    <col collapsed="false" customWidth="true" hidden="false" outlineLevel="0" max="34" min="34" style="2" width="6.32"/>
    <col collapsed="false" customWidth="true" hidden="false" outlineLevel="0" max="35" min="35" style="1" width="5.49"/>
    <col collapsed="false" customWidth="true" hidden="false" outlineLevel="0" max="36" min="36" style="344" width="6.32"/>
    <col collapsed="false" customWidth="true" hidden="false" outlineLevel="0" max="37" min="37" style="1" width="6.32"/>
    <col collapsed="false" customWidth="true" hidden="false" outlineLevel="0" max="38" min="38" style="1" width="6.82"/>
    <col collapsed="false" customWidth="true" hidden="false" outlineLevel="0" max="39" min="39" style="5" width="6.82"/>
    <col collapsed="false" customWidth="true" hidden="false" outlineLevel="0" max="41" min="40" style="1" width="5.49"/>
    <col collapsed="false" customWidth="true" hidden="false" outlineLevel="0" max="42" min="42" style="1" width="6.32"/>
    <col collapsed="false" customWidth="true" hidden="false" outlineLevel="0" max="43" min="43" style="193" width="6.32"/>
    <col collapsed="false" customWidth="true" hidden="false" outlineLevel="0" max="44" min="44" style="194" width="5.49"/>
    <col collapsed="false" customWidth="true" hidden="false" outlineLevel="0" max="45" min="45" style="6" width="5.32"/>
    <col collapsed="false" customWidth="true" hidden="false" outlineLevel="0" max="46" min="46" style="1" width="6.32"/>
    <col collapsed="false" customWidth="true" hidden="false" outlineLevel="0" max="47" min="47" style="4" width="5.82"/>
    <col collapsed="false" customWidth="true" hidden="false" outlineLevel="0" max="48" min="48" style="3" width="5.32"/>
    <col collapsed="false" customWidth="true" hidden="false" outlineLevel="0" max="49" min="49" style="9" width="3.82"/>
    <col collapsed="false" customWidth="true" hidden="false" outlineLevel="0" max="50" min="50" style="10" width="3.82"/>
    <col collapsed="false" customWidth="true" hidden="false" outlineLevel="0" max="51" min="51" style="0" width="3.82"/>
    <col collapsed="false" customWidth="true" hidden="false" outlineLevel="0" max="52" min="52" style="184" width="5.49"/>
  </cols>
  <sheetData>
    <row r="1" customFormat="false" ht="14.1" hidden="false" customHeight="true" outlineLevel="0" collapsed="false">
      <c r="A1" s="11" t="s">
        <v>114</v>
      </c>
      <c r="B1" s="11"/>
      <c r="D1" s="11"/>
      <c r="F1" s="11"/>
      <c r="G1" s="11"/>
      <c r="I1" s="11"/>
      <c r="J1" s="11"/>
      <c r="K1" s="13" t="s">
        <v>0</v>
      </c>
      <c r="L1" s="11"/>
      <c r="M1" s="11"/>
      <c r="N1" s="11"/>
      <c r="S1" s="11"/>
      <c r="T1" s="11"/>
      <c r="V1" s="11"/>
      <c r="W1" s="11"/>
      <c r="Z1" s="11"/>
      <c r="AB1" s="185"/>
      <c r="AC1" s="11"/>
      <c r="AD1" s="11"/>
      <c r="AE1" s="11"/>
      <c r="AF1" s="11"/>
      <c r="AG1" s="11"/>
      <c r="AI1" s="11"/>
      <c r="AK1" s="11"/>
      <c r="AL1" s="11"/>
      <c r="AN1" s="14"/>
      <c r="AO1" s="14"/>
      <c r="AP1" s="14"/>
    </row>
    <row r="2" customFormat="false" ht="14.1" hidden="false" customHeight="true" outlineLevel="0" collapsed="false">
      <c r="A2" s="14" t="s">
        <v>1</v>
      </c>
      <c r="B2" s="11"/>
      <c r="D2" s="15" t="n">
        <v>1.9835</v>
      </c>
      <c r="F2" s="11"/>
      <c r="G2" s="11"/>
      <c r="I2" s="11"/>
      <c r="J2" s="11"/>
      <c r="K2" s="345" t="s">
        <v>122</v>
      </c>
      <c r="L2" s="346"/>
      <c r="M2" s="347"/>
      <c r="N2" s="347"/>
      <c r="O2" s="172"/>
      <c r="P2" s="6"/>
      <c r="Q2" s="172"/>
      <c r="R2" s="172"/>
      <c r="S2" s="347"/>
      <c r="T2" s="347"/>
      <c r="U2" s="6"/>
      <c r="V2" s="347"/>
      <c r="W2" s="347"/>
      <c r="X2" s="348"/>
      <c r="Y2" s="348"/>
      <c r="Z2" s="347"/>
      <c r="AA2" s="348"/>
      <c r="AB2" s="192"/>
      <c r="AC2" s="347"/>
      <c r="AD2" s="347"/>
      <c r="AE2" s="347"/>
      <c r="AF2" s="347"/>
      <c r="AG2" s="347"/>
      <c r="AH2" s="348"/>
      <c r="AI2" s="11"/>
      <c r="AK2" s="11"/>
      <c r="AL2" s="11"/>
      <c r="AN2" s="14"/>
      <c r="AO2" s="14"/>
      <c r="AP2" s="14"/>
    </row>
    <row r="3" customFormat="false" ht="14.1" hidden="false" customHeight="true" outlineLevel="0" collapsed="false">
      <c r="A3" s="16"/>
      <c r="B3" s="16"/>
      <c r="C3" s="17"/>
      <c r="D3" s="18"/>
      <c r="E3" s="17"/>
      <c r="F3" s="16"/>
      <c r="G3" s="16"/>
      <c r="H3" s="22"/>
      <c r="I3" s="16"/>
      <c r="J3" s="16"/>
      <c r="K3" s="16"/>
      <c r="L3" s="16"/>
      <c r="M3" s="16"/>
      <c r="N3" s="16"/>
      <c r="O3" s="22"/>
      <c r="P3" s="20"/>
      <c r="Q3" s="22"/>
      <c r="R3" s="22"/>
      <c r="S3" s="16"/>
      <c r="T3" s="16"/>
      <c r="U3" s="20"/>
      <c r="V3" s="16"/>
      <c r="W3" s="16"/>
      <c r="X3" s="17"/>
      <c r="Y3" s="17"/>
      <c r="Z3" s="16"/>
      <c r="AA3" s="90"/>
      <c r="AB3" s="185"/>
      <c r="AC3" s="16"/>
      <c r="AD3" s="16"/>
      <c r="AE3" s="16"/>
      <c r="AF3" s="16"/>
      <c r="AG3" s="16"/>
      <c r="AH3" s="17"/>
      <c r="AI3" s="16"/>
      <c r="AJ3" s="349"/>
      <c r="AK3" s="16"/>
      <c r="AL3" s="16"/>
      <c r="AM3" s="20"/>
      <c r="AN3" s="350"/>
      <c r="AO3" s="350"/>
      <c r="AP3" s="350"/>
      <c r="AQ3" s="326"/>
      <c r="AR3" s="351"/>
      <c r="AV3" s="27"/>
      <c r="AW3" s="28"/>
      <c r="AX3" s="29"/>
    </row>
    <row r="4" s="176" customFormat="true" ht="14.1" hidden="false" customHeight="true" outlineLevel="0" collapsed="false">
      <c r="A4" s="31"/>
      <c r="B4" s="32"/>
      <c r="C4" s="33"/>
      <c r="D4" s="34" t="s">
        <v>3</v>
      </c>
      <c r="E4" s="33"/>
      <c r="F4" s="31"/>
      <c r="G4" s="35"/>
      <c r="H4" s="35"/>
      <c r="I4" s="36" t="s">
        <v>123</v>
      </c>
      <c r="J4" s="35"/>
      <c r="K4" s="35"/>
      <c r="L4" s="37"/>
      <c r="M4" s="35"/>
      <c r="N4" s="35"/>
      <c r="O4" s="35"/>
      <c r="P4" s="38"/>
      <c r="Q4" s="35"/>
      <c r="R4" s="35"/>
      <c r="S4" s="35"/>
      <c r="T4" s="35"/>
      <c r="U4" s="38"/>
      <c r="V4" s="35"/>
      <c r="W4" s="35"/>
      <c r="X4" s="39" t="s">
        <v>5</v>
      </c>
      <c r="Y4" s="39"/>
      <c r="Z4" s="40"/>
      <c r="AA4" s="39"/>
      <c r="AB4" s="40"/>
      <c r="AC4" s="40"/>
      <c r="AD4" s="41"/>
      <c r="AE4" s="35"/>
      <c r="AF4" s="35"/>
      <c r="AG4" s="35"/>
      <c r="AH4" s="33"/>
      <c r="AI4" s="35"/>
      <c r="AJ4" s="352"/>
      <c r="AK4" s="35"/>
      <c r="AL4" s="35"/>
      <c r="AM4" s="38"/>
      <c r="AN4" s="43"/>
      <c r="AO4" s="44"/>
      <c r="AP4" s="45" t="s">
        <v>6</v>
      </c>
      <c r="AQ4" s="46"/>
      <c r="AR4" s="46"/>
      <c r="AS4" s="48"/>
      <c r="AT4" s="49"/>
      <c r="AU4" s="49"/>
      <c r="AV4" s="51"/>
      <c r="AW4" s="52" t="s">
        <v>7</v>
      </c>
      <c r="AX4" s="53"/>
      <c r="AY4" s="293"/>
      <c r="AZ4" s="328"/>
    </row>
    <row r="5" s="184" customFormat="true" ht="12.95" hidden="false" customHeight="true" outlineLevel="0" collapsed="false">
      <c r="A5" s="55" t="s">
        <v>8</v>
      </c>
      <c r="B5" s="56" t="s">
        <v>9</v>
      </c>
      <c r="C5" s="57" t="s">
        <v>9</v>
      </c>
      <c r="D5" s="58" t="s">
        <v>10</v>
      </c>
      <c r="E5" s="57" t="s">
        <v>11</v>
      </c>
      <c r="F5" s="59" t="s">
        <v>12</v>
      </c>
      <c r="G5" s="55" t="s">
        <v>13</v>
      </c>
      <c r="H5" s="55" t="s">
        <v>14</v>
      </c>
      <c r="I5" s="55" t="s">
        <v>15</v>
      </c>
      <c r="J5" s="55" t="s">
        <v>16</v>
      </c>
      <c r="K5" s="55" t="s">
        <v>17</v>
      </c>
      <c r="L5" s="77" t="s">
        <v>16</v>
      </c>
      <c r="M5" s="209" t="s">
        <v>18</v>
      </c>
      <c r="N5" s="209"/>
      <c r="O5" s="209"/>
      <c r="P5" s="209"/>
      <c r="Q5" s="209"/>
      <c r="R5" s="209"/>
      <c r="S5" s="209"/>
      <c r="T5" s="209"/>
      <c r="U5" s="209"/>
      <c r="V5" s="55" t="s">
        <v>19</v>
      </c>
      <c r="W5" s="55" t="s">
        <v>20</v>
      </c>
      <c r="X5" s="55" t="s">
        <v>17</v>
      </c>
      <c r="Y5" s="55" t="s">
        <v>17</v>
      </c>
      <c r="Z5" s="61" t="s">
        <v>21</v>
      </c>
      <c r="AA5" s="55" t="s">
        <v>21</v>
      </c>
      <c r="AB5" s="61" t="s">
        <v>21</v>
      </c>
      <c r="AC5" s="61" t="s">
        <v>22</v>
      </c>
      <c r="AD5" s="62" t="s">
        <v>21</v>
      </c>
      <c r="AE5" s="55" t="s">
        <v>23</v>
      </c>
      <c r="AF5" s="63" t="s">
        <v>24</v>
      </c>
      <c r="AG5" s="64"/>
      <c r="AH5" s="55" t="s">
        <v>25</v>
      </c>
      <c r="AI5" s="65" t="s">
        <v>26</v>
      </c>
      <c r="AJ5" s="62" t="s">
        <v>27</v>
      </c>
      <c r="AK5" s="55" t="s">
        <v>15</v>
      </c>
      <c r="AL5" s="55" t="s">
        <v>16</v>
      </c>
      <c r="AM5" s="58" t="s">
        <v>17</v>
      </c>
      <c r="AN5" s="66" t="s">
        <v>28</v>
      </c>
      <c r="AO5" s="62" t="s">
        <v>21</v>
      </c>
      <c r="AP5" s="61" t="s">
        <v>29</v>
      </c>
      <c r="AQ5" s="67" t="s">
        <v>29</v>
      </c>
      <c r="AR5" s="62" t="s">
        <v>30</v>
      </c>
      <c r="AS5" s="68" t="s">
        <v>31</v>
      </c>
      <c r="AT5" s="68" t="s">
        <v>32</v>
      </c>
      <c r="AU5" s="210" t="s">
        <v>33</v>
      </c>
      <c r="AV5" s="70" t="s">
        <v>34</v>
      </c>
      <c r="AW5" s="71" t="s">
        <v>35</v>
      </c>
      <c r="AX5" s="71" t="s">
        <v>36</v>
      </c>
      <c r="AY5" s="294"/>
      <c r="AZ5" s="295" t="s">
        <v>17</v>
      </c>
    </row>
    <row r="6" s="184" customFormat="true" ht="12.95" hidden="false" customHeight="true" outlineLevel="0" collapsed="false">
      <c r="A6" s="73" t="s">
        <v>124</v>
      </c>
      <c r="B6" s="56" t="s">
        <v>38</v>
      </c>
      <c r="C6" s="57"/>
      <c r="D6" s="58" t="s">
        <v>39</v>
      </c>
      <c r="E6" s="57" t="s">
        <v>40</v>
      </c>
      <c r="F6" s="59" t="s">
        <v>41</v>
      </c>
      <c r="G6" s="55" t="s">
        <v>42</v>
      </c>
      <c r="H6" s="55" t="s">
        <v>43</v>
      </c>
      <c r="I6" s="55" t="s">
        <v>44</v>
      </c>
      <c r="J6" s="55" t="s">
        <v>44</v>
      </c>
      <c r="K6" s="55" t="s">
        <v>44</v>
      </c>
      <c r="L6" s="55" t="s">
        <v>45</v>
      </c>
      <c r="M6" s="74" t="s">
        <v>46</v>
      </c>
      <c r="N6" s="58" t="s">
        <v>47</v>
      </c>
      <c r="O6" s="58" t="s">
        <v>48</v>
      </c>
      <c r="P6" s="75" t="s">
        <v>49</v>
      </c>
      <c r="Q6" s="58" t="s">
        <v>50</v>
      </c>
      <c r="R6" s="58" t="s">
        <v>51</v>
      </c>
      <c r="S6" s="58"/>
      <c r="T6" s="58" t="s">
        <v>48</v>
      </c>
      <c r="U6" s="76" t="s">
        <v>52</v>
      </c>
      <c r="V6" s="55" t="s">
        <v>53</v>
      </c>
      <c r="W6" s="55" t="s">
        <v>54</v>
      </c>
      <c r="X6" s="55" t="s">
        <v>21</v>
      </c>
      <c r="Y6" s="55" t="s">
        <v>21</v>
      </c>
      <c r="Z6" s="61" t="s">
        <v>55</v>
      </c>
      <c r="AA6" s="55" t="s">
        <v>55</v>
      </c>
      <c r="AB6" s="61" t="s">
        <v>56</v>
      </c>
      <c r="AC6" s="61" t="s">
        <v>57</v>
      </c>
      <c r="AD6" s="62" t="s">
        <v>58</v>
      </c>
      <c r="AE6" s="55" t="s">
        <v>59</v>
      </c>
      <c r="AF6" s="74" t="s">
        <v>60</v>
      </c>
      <c r="AG6" s="77" t="s">
        <v>61</v>
      </c>
      <c r="AH6" s="55" t="s">
        <v>62</v>
      </c>
      <c r="AI6" s="65" t="s">
        <v>63</v>
      </c>
      <c r="AJ6" s="62"/>
      <c r="AK6" s="55" t="s">
        <v>64</v>
      </c>
      <c r="AL6" s="55" t="s">
        <v>64</v>
      </c>
      <c r="AM6" s="58" t="s">
        <v>64</v>
      </c>
      <c r="AN6" s="66" t="s">
        <v>65</v>
      </c>
      <c r="AO6" s="62" t="s">
        <v>66</v>
      </c>
      <c r="AP6" s="61" t="s">
        <v>67</v>
      </c>
      <c r="AQ6" s="67" t="s">
        <v>67</v>
      </c>
      <c r="AR6" s="62" t="s">
        <v>68</v>
      </c>
      <c r="AS6" s="68" t="s">
        <v>69</v>
      </c>
      <c r="AT6" s="68" t="s">
        <v>70</v>
      </c>
      <c r="AU6" s="210" t="s">
        <v>71</v>
      </c>
      <c r="AV6" s="78"/>
      <c r="AW6" s="71" t="s">
        <v>72</v>
      </c>
      <c r="AX6" s="71" t="s">
        <v>72</v>
      </c>
      <c r="AY6" s="294"/>
      <c r="AZ6" s="295" t="s">
        <v>73</v>
      </c>
    </row>
    <row r="7" s="184" customFormat="true" ht="12.95" hidden="false" customHeight="true" outlineLevel="0" collapsed="false">
      <c r="A7" s="55"/>
      <c r="B7" s="56"/>
      <c r="C7" s="57"/>
      <c r="D7" s="58"/>
      <c r="E7" s="57"/>
      <c r="F7" s="59"/>
      <c r="G7" s="55"/>
      <c r="H7" s="55"/>
      <c r="I7" s="55"/>
      <c r="J7" s="55"/>
      <c r="K7" s="55"/>
      <c r="L7" s="77"/>
      <c r="M7" s="58"/>
      <c r="N7" s="58" t="s">
        <v>74</v>
      </c>
      <c r="O7" s="58" t="s">
        <v>75</v>
      </c>
      <c r="P7" s="75"/>
      <c r="Q7" s="58" t="s">
        <v>76</v>
      </c>
      <c r="R7" s="58" t="s">
        <v>76</v>
      </c>
      <c r="S7" s="58" t="s">
        <v>61</v>
      </c>
      <c r="T7" s="58" t="s">
        <v>61</v>
      </c>
      <c r="U7" s="76" t="s">
        <v>77</v>
      </c>
      <c r="V7" s="55"/>
      <c r="W7" s="55"/>
      <c r="X7" s="65" t="s">
        <v>78</v>
      </c>
      <c r="Y7" s="57" t="s">
        <v>79</v>
      </c>
      <c r="Z7" s="61" t="s">
        <v>80</v>
      </c>
      <c r="AA7" s="55" t="s">
        <v>81</v>
      </c>
      <c r="AB7" s="61" t="s">
        <v>82</v>
      </c>
      <c r="AC7" s="61"/>
      <c r="AD7" s="62"/>
      <c r="AE7" s="77"/>
      <c r="AF7" s="79" t="n">
        <v>1.7</v>
      </c>
      <c r="AG7" s="79" t="n">
        <v>1.3</v>
      </c>
      <c r="AH7" s="74"/>
      <c r="AI7" s="80" t="n">
        <v>31798</v>
      </c>
      <c r="AJ7" s="62"/>
      <c r="AK7" s="55"/>
      <c r="AL7" s="55"/>
      <c r="AM7" s="58"/>
      <c r="AN7" s="66"/>
      <c r="AO7" s="62"/>
      <c r="AP7" s="61" t="s">
        <v>83</v>
      </c>
      <c r="AQ7" s="67" t="s">
        <v>84</v>
      </c>
      <c r="AR7" s="62" t="s">
        <v>85</v>
      </c>
      <c r="AS7" s="68" t="s">
        <v>86</v>
      </c>
      <c r="AT7" s="68" t="s">
        <v>87</v>
      </c>
      <c r="AU7" s="210" t="s">
        <v>88</v>
      </c>
      <c r="AV7" s="78"/>
      <c r="AW7" s="71"/>
      <c r="AX7" s="71"/>
      <c r="AY7" s="294"/>
      <c r="AZ7" s="295" t="s">
        <v>89</v>
      </c>
    </row>
    <row r="8" s="184" customFormat="true" ht="12.95" hidden="false" customHeight="true" outlineLevel="0" collapsed="false">
      <c r="A8" s="55"/>
      <c r="B8" s="56"/>
      <c r="C8" s="57"/>
      <c r="D8" s="58"/>
      <c r="E8" s="57"/>
      <c r="F8" s="59"/>
      <c r="G8" s="55"/>
      <c r="H8" s="55"/>
      <c r="I8" s="55"/>
      <c r="J8" s="55"/>
      <c r="K8" s="55"/>
      <c r="L8" s="77"/>
      <c r="M8" s="58"/>
      <c r="N8" s="58"/>
      <c r="O8" s="58"/>
      <c r="P8" s="75"/>
      <c r="Q8" s="58" t="s">
        <v>61</v>
      </c>
      <c r="R8" s="58" t="s">
        <v>61</v>
      </c>
      <c r="S8" s="58"/>
      <c r="T8" s="58"/>
      <c r="U8" s="76"/>
      <c r="V8" s="55"/>
      <c r="W8" s="55"/>
      <c r="X8" s="65" t="s">
        <v>90</v>
      </c>
      <c r="Y8" s="57" t="s">
        <v>78</v>
      </c>
      <c r="Z8" s="61"/>
      <c r="AA8" s="57" t="s">
        <v>91</v>
      </c>
      <c r="AB8" s="61" t="s">
        <v>92</v>
      </c>
      <c r="AC8" s="61"/>
      <c r="AD8" s="62"/>
      <c r="AE8" s="77"/>
      <c r="AF8" s="79"/>
      <c r="AG8" s="79"/>
      <c r="AH8" s="74"/>
      <c r="AI8" s="80"/>
      <c r="AJ8" s="62"/>
      <c r="AK8" s="55"/>
      <c r="AL8" s="55"/>
      <c r="AM8" s="58"/>
      <c r="AN8" s="66"/>
      <c r="AO8" s="62"/>
      <c r="AP8" s="61"/>
      <c r="AQ8" s="67"/>
      <c r="AR8" s="62"/>
      <c r="AS8" s="68"/>
      <c r="AT8" s="68"/>
      <c r="AU8" s="210"/>
      <c r="AV8" s="78"/>
      <c r="AW8" s="71"/>
      <c r="AX8" s="71"/>
      <c r="AY8" s="294"/>
      <c r="AZ8" s="295"/>
    </row>
    <row r="9" s="184" customFormat="true" ht="12.95" hidden="false" customHeight="true" outlineLevel="0" collapsed="false">
      <c r="A9" s="55"/>
      <c r="B9" s="56"/>
      <c r="C9" s="57"/>
      <c r="D9" s="58"/>
      <c r="E9" s="57"/>
      <c r="F9" s="59"/>
      <c r="G9" s="55"/>
      <c r="H9" s="55"/>
      <c r="I9" s="55"/>
      <c r="J9" s="55"/>
      <c r="K9" s="55"/>
      <c r="L9" s="77"/>
      <c r="M9" s="58"/>
      <c r="N9" s="58"/>
      <c r="O9" s="58"/>
      <c r="P9" s="75"/>
      <c r="Q9" s="58"/>
      <c r="R9" s="81" t="n">
        <v>4.2</v>
      </c>
      <c r="S9" s="58"/>
      <c r="T9" s="58"/>
      <c r="U9" s="76"/>
      <c r="V9" s="55"/>
      <c r="W9" s="55"/>
      <c r="X9" s="65"/>
      <c r="Y9" s="57" t="s">
        <v>90</v>
      </c>
      <c r="Z9" s="61"/>
      <c r="AA9" s="57" t="s">
        <v>90</v>
      </c>
      <c r="AB9" s="61" t="s">
        <v>93</v>
      </c>
      <c r="AC9" s="61"/>
      <c r="AD9" s="62"/>
      <c r="AE9" s="77"/>
      <c r="AF9" s="79"/>
      <c r="AG9" s="79"/>
      <c r="AH9" s="74"/>
      <c r="AI9" s="80"/>
      <c r="AJ9" s="62"/>
      <c r="AK9" s="55"/>
      <c r="AL9" s="55"/>
      <c r="AM9" s="58"/>
      <c r="AN9" s="66"/>
      <c r="AO9" s="62"/>
      <c r="AP9" s="61"/>
      <c r="AQ9" s="67"/>
      <c r="AR9" s="62"/>
      <c r="AS9" s="68"/>
      <c r="AT9" s="68"/>
      <c r="AU9" s="210"/>
      <c r="AV9" s="78"/>
      <c r="AW9" s="71"/>
      <c r="AX9" s="71"/>
      <c r="AY9" s="294"/>
      <c r="AZ9" s="295"/>
    </row>
    <row r="10" s="184" customFormat="true" ht="12.95" hidden="false" customHeight="true" outlineLevel="0" collapsed="false">
      <c r="A10" s="55"/>
      <c r="B10" s="56"/>
      <c r="C10" s="57" t="s">
        <v>94</v>
      </c>
      <c r="D10" s="58"/>
      <c r="E10" s="57" t="s">
        <v>95</v>
      </c>
      <c r="F10" s="59"/>
      <c r="G10" s="58" t="s">
        <v>41</v>
      </c>
      <c r="H10" s="58" t="s">
        <v>41</v>
      </c>
      <c r="I10" s="58" t="s">
        <v>41</v>
      </c>
      <c r="J10" s="58" t="s">
        <v>41</v>
      </c>
      <c r="K10" s="58" t="s">
        <v>41</v>
      </c>
      <c r="L10" s="77" t="s">
        <v>41</v>
      </c>
      <c r="M10" s="58" t="s">
        <v>41</v>
      </c>
      <c r="N10" s="58" t="s">
        <v>41</v>
      </c>
      <c r="O10" s="58" t="s">
        <v>41</v>
      </c>
      <c r="P10" s="58" t="s">
        <v>41</v>
      </c>
      <c r="Q10" s="58" t="s">
        <v>41</v>
      </c>
      <c r="R10" s="58" t="s">
        <v>41</v>
      </c>
      <c r="S10" s="58" t="s">
        <v>41</v>
      </c>
      <c r="T10" s="58" t="s">
        <v>41</v>
      </c>
      <c r="U10" s="77" t="s">
        <v>41</v>
      </c>
      <c r="V10" s="58" t="s">
        <v>41</v>
      </c>
      <c r="W10" s="58" t="s">
        <v>41</v>
      </c>
      <c r="X10" s="57" t="n">
        <v>153400</v>
      </c>
      <c r="Y10" s="57" t="n">
        <v>150400</v>
      </c>
      <c r="Z10" s="58" t="s">
        <v>41</v>
      </c>
      <c r="AA10" s="57"/>
      <c r="AB10" s="57" t="n">
        <v>72000</v>
      </c>
      <c r="AC10" s="58" t="s">
        <v>41</v>
      </c>
      <c r="AD10" s="58" t="s">
        <v>41</v>
      </c>
      <c r="AE10" s="77" t="s">
        <v>41</v>
      </c>
      <c r="AF10" s="58" t="s">
        <v>41</v>
      </c>
      <c r="AG10" s="58" t="s">
        <v>41</v>
      </c>
      <c r="AH10" s="74" t="s">
        <v>41</v>
      </c>
      <c r="AI10" s="58" t="s">
        <v>41</v>
      </c>
      <c r="AJ10" s="296" t="s">
        <v>41</v>
      </c>
      <c r="AK10" s="58" t="s">
        <v>41</v>
      </c>
      <c r="AL10" s="58" t="s">
        <v>41</v>
      </c>
      <c r="AM10" s="58" t="s">
        <v>41</v>
      </c>
      <c r="AN10" s="66" t="s">
        <v>95</v>
      </c>
      <c r="AO10" s="62" t="s">
        <v>41</v>
      </c>
      <c r="AP10" s="62" t="s">
        <v>41</v>
      </c>
      <c r="AQ10" s="67" t="s">
        <v>96</v>
      </c>
      <c r="AR10" s="62" t="s">
        <v>41</v>
      </c>
      <c r="AS10" s="62" t="s">
        <v>41</v>
      </c>
      <c r="AT10" s="62" t="s">
        <v>41</v>
      </c>
      <c r="AU10" s="62" t="s">
        <v>41</v>
      </c>
      <c r="AV10" s="78"/>
      <c r="AW10" s="71"/>
      <c r="AX10" s="71"/>
      <c r="AY10" s="294"/>
      <c r="AZ10" s="295" t="s">
        <v>97</v>
      </c>
    </row>
    <row r="11" s="184" customFormat="true" ht="12.95" hidden="false" customHeight="true" outlineLevel="0" collapsed="false">
      <c r="A11" s="55"/>
      <c r="B11" s="56"/>
      <c r="C11" s="57"/>
      <c r="D11" s="58"/>
      <c r="E11" s="57"/>
      <c r="F11" s="59"/>
      <c r="G11" s="55"/>
      <c r="H11" s="55"/>
      <c r="I11" s="55"/>
      <c r="J11" s="55"/>
      <c r="K11" s="55"/>
      <c r="L11" s="77"/>
      <c r="M11" s="58"/>
      <c r="N11" s="46" t="n">
        <v>1.03</v>
      </c>
      <c r="O11" s="46" t="n">
        <v>1.05</v>
      </c>
      <c r="P11" s="46" t="n">
        <v>1.02</v>
      </c>
      <c r="Q11" s="82" t="n">
        <v>1.02</v>
      </c>
      <c r="R11" s="83" t="n">
        <v>1.04</v>
      </c>
      <c r="S11" s="58"/>
      <c r="T11" s="82" t="n">
        <v>1.04</v>
      </c>
      <c r="U11" s="76"/>
      <c r="V11" s="55"/>
      <c r="W11" s="55"/>
      <c r="X11" s="58" t="s">
        <v>41</v>
      </c>
      <c r="Y11" s="58" t="s">
        <v>41</v>
      </c>
      <c r="Z11" s="58" t="s">
        <v>41</v>
      </c>
      <c r="AA11" s="57" t="s">
        <v>41</v>
      </c>
      <c r="AB11" s="84" t="s">
        <v>98</v>
      </c>
      <c r="AC11" s="61"/>
      <c r="AD11" s="61"/>
      <c r="AE11" s="85"/>
      <c r="AF11" s="79"/>
      <c r="AG11" s="79"/>
      <c r="AH11" s="74"/>
      <c r="AI11" s="80"/>
      <c r="AJ11" s="353"/>
      <c r="AK11" s="55"/>
      <c r="AL11" s="55"/>
      <c r="AM11" s="58"/>
      <c r="AN11" s="66"/>
      <c r="AO11" s="62"/>
      <c r="AP11" s="61"/>
      <c r="AQ11" s="67"/>
      <c r="AR11" s="67"/>
      <c r="AS11" s="87"/>
      <c r="AT11" s="87"/>
      <c r="AU11" s="87"/>
      <c r="AV11" s="78"/>
      <c r="AW11" s="71"/>
      <c r="AX11" s="71"/>
      <c r="AY11" s="294"/>
      <c r="AZ11" s="295" t="s">
        <v>41</v>
      </c>
    </row>
    <row r="12" customFormat="false" ht="12.95" hidden="false" customHeight="true" outlineLevel="0" collapsed="false">
      <c r="A12" s="14" t="s">
        <v>99</v>
      </c>
      <c r="B12" s="354"/>
      <c r="C12" s="94"/>
      <c r="D12" s="94"/>
      <c r="E12" s="94"/>
      <c r="F12" s="146"/>
      <c r="G12" s="80"/>
      <c r="H12" s="134"/>
      <c r="I12" s="80"/>
      <c r="J12" s="80"/>
      <c r="K12" s="80"/>
      <c r="L12" s="80"/>
      <c r="M12" s="98"/>
      <c r="N12" s="94"/>
      <c r="O12" s="94" t="n">
        <f aca="false">MAR!O50</f>
        <v>44.2155</v>
      </c>
      <c r="P12" s="83"/>
      <c r="Q12" s="94"/>
      <c r="R12" s="94"/>
      <c r="S12" s="94"/>
      <c r="T12" s="94"/>
      <c r="U12" s="355"/>
      <c r="V12" s="80"/>
      <c r="W12" s="80"/>
      <c r="X12" s="80"/>
      <c r="Y12" s="80"/>
      <c r="Z12" s="150"/>
      <c r="AA12" s="80"/>
      <c r="AB12" s="150"/>
      <c r="AC12" s="150"/>
      <c r="AD12" s="97"/>
      <c r="AE12" s="99"/>
      <c r="AF12" s="94"/>
      <c r="AG12" s="94"/>
      <c r="AH12" s="98"/>
      <c r="AI12" s="80"/>
      <c r="AJ12" s="353"/>
      <c r="AK12" s="80"/>
      <c r="AL12" s="80"/>
      <c r="AM12" s="94"/>
      <c r="AN12" s="356"/>
      <c r="AO12" s="97"/>
      <c r="AP12" s="150"/>
      <c r="AQ12" s="147"/>
      <c r="AR12" s="147"/>
      <c r="AS12" s="101"/>
      <c r="AT12" s="87"/>
      <c r="AU12" s="87"/>
      <c r="AV12" s="102"/>
      <c r="AW12" s="103"/>
      <c r="AX12" s="103"/>
      <c r="AY12" s="294"/>
      <c r="AZ12" s="331"/>
    </row>
    <row r="13" s="108" customFormat="true" ht="12.95" hidden="false" customHeight="true" outlineLevel="0" collapsed="false">
      <c r="A13" s="105" t="s">
        <v>100</v>
      </c>
      <c r="B13" s="357" t="n">
        <f aca="false">MAR!B45</f>
        <v>6905.2</v>
      </c>
      <c r="C13" s="94" t="n">
        <f aca="false">MAR!C45</f>
        <v>303167</v>
      </c>
      <c r="D13" s="94" t="n">
        <f aca="false">MAR!D54</f>
        <v>9482</v>
      </c>
      <c r="E13" s="94" t="n">
        <f aca="false">MAR!E54</f>
        <v>151167</v>
      </c>
      <c r="F13" s="146" t="n">
        <f aca="false">MAR!F53</f>
        <v>4817.74640786489</v>
      </c>
      <c r="G13" s="80" t="n">
        <f aca="false">MAR!G53</f>
        <v>12064</v>
      </c>
      <c r="H13" s="80" t="n">
        <f aca="false">MAR!H53</f>
        <v>482.08</v>
      </c>
      <c r="I13" s="80" t="n">
        <f aca="false">MAR!I53</f>
        <v>12545.46</v>
      </c>
      <c r="J13" s="80" t="n">
        <f aca="false">MAR!J53</f>
        <v>4894.18784219814</v>
      </c>
      <c r="K13" s="80" t="n">
        <f aca="false">MAR!K53</f>
        <v>17439.6478421981</v>
      </c>
      <c r="L13" s="80" t="n">
        <f aca="false">MAR!L53</f>
        <v>4297.48640786489</v>
      </c>
      <c r="M13" s="98" t="n">
        <f aca="false">MAR!M53</f>
        <v>788.7</v>
      </c>
      <c r="N13" s="94" t="n">
        <f aca="false">MAR!N53</f>
        <v>0</v>
      </c>
      <c r="O13" s="94" t="n">
        <f aca="false">MAR!O53</f>
        <v>44.2155</v>
      </c>
      <c r="P13" s="83"/>
      <c r="Q13" s="94" t="n">
        <f aca="false">MAR!Q53</f>
        <v>234.523353531184</v>
      </c>
      <c r="R13" s="94" t="n">
        <f aca="false">MAR!R53</f>
        <v>242.95820016</v>
      </c>
      <c r="S13" s="94" t="n">
        <f aca="false">MAR!S53</f>
        <v>0</v>
      </c>
      <c r="T13" s="94" t="n">
        <f aca="false">MAR!T53</f>
        <v>76.84179984</v>
      </c>
      <c r="U13" s="358" t="n">
        <f aca="false">MAR!U53</f>
        <v>25.0321998225326</v>
      </c>
      <c r="V13" s="80" t="n">
        <f aca="false">MAR!V53</f>
        <v>5847</v>
      </c>
      <c r="W13" s="80" t="n">
        <f aca="false">MAR!W53</f>
        <v>59.5</v>
      </c>
      <c r="X13" s="80" t="n">
        <f aca="false">MAR!X53</f>
        <v>6071.62894664628</v>
      </c>
      <c r="Y13" s="80" t="n">
        <f aca="false">MAR!Y53</f>
        <v>5868.83187452775</v>
      </c>
      <c r="Z13" s="150" t="n">
        <v>0</v>
      </c>
      <c r="AA13" s="80"/>
      <c r="AB13" s="150"/>
      <c r="AC13" s="80" t="n">
        <f aca="false">MAR!AC53</f>
        <v>1714.15</v>
      </c>
      <c r="AD13" s="97"/>
      <c r="AE13" s="359" t="n">
        <f aca="false">MAR!AE53</f>
        <v>0</v>
      </c>
      <c r="AF13" s="80" t="n">
        <f aca="false">MAR!AF53</f>
        <v>0</v>
      </c>
      <c r="AG13" s="80" t="n">
        <f aca="false">MAR!AG53</f>
        <v>0</v>
      </c>
      <c r="AH13" s="360" t="n">
        <f aca="false">MAR!AH53</f>
        <v>5330</v>
      </c>
      <c r="AI13" s="80" t="n">
        <f aca="false">AI7/D2</f>
        <v>16031.2578774893</v>
      </c>
      <c r="AJ13" s="97" t="n">
        <f aca="false">MAR!AJ53</f>
        <v>0</v>
      </c>
      <c r="AK13" s="80" t="n">
        <f aca="false">MAR!AK53</f>
        <v>12025.2</v>
      </c>
      <c r="AL13" s="80" t="n">
        <f aca="false">MAR!AL53</f>
        <v>596.701434333249</v>
      </c>
      <c r="AM13" s="94" t="n">
        <f aca="false">MAR!AM53</f>
        <v>12621.9014343333</v>
      </c>
      <c r="AN13" s="356" t="n">
        <f aca="false">MAR!AN54</f>
        <v>11490.0188</v>
      </c>
      <c r="AO13" s="97" t="n">
        <f aca="false">MAR!AO53</f>
        <v>202.797072118535</v>
      </c>
      <c r="AP13" s="150"/>
      <c r="AQ13" s="147"/>
      <c r="AR13" s="147"/>
      <c r="AS13" s="80"/>
      <c r="AT13" s="2"/>
      <c r="AU13" s="2"/>
      <c r="AV13" s="102" t="n">
        <f aca="false">MAR!AV53</f>
        <v>2.43</v>
      </c>
      <c r="AW13" s="103"/>
      <c r="AX13" s="103"/>
      <c r="AY13" s="361"/>
      <c r="AZ13" s="229" t="n">
        <f aca="false">MAR!AZ53</f>
        <v>579.355553353716</v>
      </c>
    </row>
    <row r="14" customFormat="false" ht="3" hidden="false" customHeight="true" outlineLevel="0" collapsed="false">
      <c r="A14" s="109"/>
      <c r="B14" s="362"/>
      <c r="C14" s="119"/>
      <c r="D14" s="116"/>
      <c r="E14" s="119"/>
      <c r="F14" s="144"/>
      <c r="G14" s="116"/>
      <c r="H14" s="116"/>
      <c r="I14" s="116"/>
      <c r="J14" s="116"/>
      <c r="K14" s="116"/>
      <c r="L14" s="116"/>
      <c r="M14" s="120"/>
      <c r="N14" s="116"/>
      <c r="O14" s="116"/>
      <c r="P14" s="363"/>
      <c r="Q14" s="116"/>
      <c r="R14" s="116"/>
      <c r="S14" s="116"/>
      <c r="T14" s="116"/>
      <c r="U14" s="364"/>
      <c r="V14" s="116"/>
      <c r="W14" s="116"/>
      <c r="X14" s="116"/>
      <c r="Y14" s="116"/>
      <c r="Z14" s="123"/>
      <c r="AA14" s="116"/>
      <c r="AB14" s="123"/>
      <c r="AC14" s="123"/>
      <c r="AD14" s="118"/>
      <c r="AE14" s="116"/>
      <c r="AF14" s="120"/>
      <c r="AG14" s="121"/>
      <c r="AH14" s="116"/>
      <c r="AI14" s="119"/>
      <c r="AJ14" s="118"/>
      <c r="AK14" s="116"/>
      <c r="AL14" s="116"/>
      <c r="AM14" s="116"/>
      <c r="AN14" s="157"/>
      <c r="AO14" s="118"/>
      <c r="AP14" s="123"/>
      <c r="AQ14" s="363"/>
      <c r="AR14" s="363"/>
      <c r="AS14" s="363"/>
      <c r="AT14" s="363"/>
      <c r="AU14" s="363"/>
      <c r="AV14" s="125"/>
      <c r="AW14" s="123"/>
      <c r="AX14" s="123"/>
      <c r="AY14" s="156"/>
      <c r="AZ14" s="254"/>
    </row>
    <row r="15" customFormat="false" ht="12.95" hidden="false" customHeight="true" outlineLevel="0" collapsed="false">
      <c r="A15" s="10" t="n">
        <v>1</v>
      </c>
      <c r="B15" s="365" t="n">
        <v>6905.81</v>
      </c>
      <c r="C15" s="94" t="n">
        <v>305519</v>
      </c>
      <c r="D15" s="103" t="n">
        <f aca="false">C15-C13</f>
        <v>2352</v>
      </c>
      <c r="E15" s="94" t="n">
        <f aca="false">C15-152000</f>
        <v>153519</v>
      </c>
      <c r="F15" s="141" t="n">
        <f aca="false">D15/$D$2</f>
        <v>1185.78270733552</v>
      </c>
      <c r="G15" s="134" t="n">
        <v>1040</v>
      </c>
      <c r="H15" s="134" t="n">
        <v>106</v>
      </c>
      <c r="I15" s="134" t="n">
        <f aca="false">G15+H15</f>
        <v>1146</v>
      </c>
      <c r="J15" s="366" t="n">
        <f aca="false">IF(L15&gt;0,L15,0)</f>
        <v>119.482707335518</v>
      </c>
      <c r="K15" s="134" t="n">
        <f aca="false">I15+J15</f>
        <v>1265.48270733552</v>
      </c>
      <c r="L15" s="134" t="n">
        <f aca="false">F15-(I15-AK15)</f>
        <v>119.482707335518</v>
      </c>
      <c r="M15" s="137" t="n">
        <v>6.7</v>
      </c>
      <c r="N15" s="158" t="n">
        <f aca="false">(1.8299*1.03)/2</f>
        <v>0.9423985</v>
      </c>
      <c r="O15" s="367" t="n">
        <v>0</v>
      </c>
      <c r="P15" s="83" t="n">
        <v>0</v>
      </c>
      <c r="Q15" s="336" t="n">
        <f aca="false">1174700/325851/1.9835*1.02</f>
        <v>1.85385549066995</v>
      </c>
      <c r="R15" s="131" t="n">
        <f aca="false">(2*1.04)-T15</f>
        <v>1.52394944</v>
      </c>
      <c r="S15" s="131" t="n">
        <v>0</v>
      </c>
      <c r="T15" s="131" t="n">
        <f aca="false">(0.5044*1.06)*1.04</f>
        <v>0.55605056</v>
      </c>
      <c r="U15" s="96" t="n">
        <f aca="false">M15-(Q15+R15+S15+T15)</f>
        <v>2.76614450933005</v>
      </c>
      <c r="V15" s="134" t="n">
        <v>0</v>
      </c>
      <c r="W15" s="134" t="n">
        <v>0</v>
      </c>
      <c r="X15" s="135" t="n">
        <f aca="false">M15-N15-O15-P15-Q15-R15-S15-T15-U15+V15+W15-AT15+AR15</f>
        <v>-0.9423985</v>
      </c>
      <c r="Y15" s="135" t="n">
        <f aca="false">X15-AO15</f>
        <v>-0.9423985</v>
      </c>
      <c r="Z15" s="107" t="n">
        <f aca="false">AP15</f>
        <v>795</v>
      </c>
      <c r="AA15" s="135"/>
      <c r="AB15" s="107" t="n">
        <f aca="false">AB13+(Y15+AP15)*1.9835</f>
        <v>1575.01325257525</v>
      </c>
      <c r="AC15" s="107" t="n">
        <f aca="false">AC13</f>
        <v>1714.15</v>
      </c>
      <c r="AD15" s="97"/>
      <c r="AE15" s="134"/>
      <c r="AF15" s="137" t="n">
        <v>1.7</v>
      </c>
      <c r="AG15" s="138" t="n">
        <v>1.3</v>
      </c>
      <c r="AH15" s="134" t="n">
        <v>73</v>
      </c>
      <c r="AI15" s="80" t="n">
        <f aca="false">AI13-50</f>
        <v>15981.2578774893</v>
      </c>
      <c r="AJ15" s="368" t="n">
        <v>23</v>
      </c>
      <c r="AK15" s="134" t="n">
        <f aca="false">N15+O15+P15+Q15+R15+S15+T15+U15+X15+AE15+AH15</f>
        <v>79.7</v>
      </c>
      <c r="AL15" s="134" t="n">
        <f aca="false">IF(L15&lt;0,L15*-1,0)</f>
        <v>0</v>
      </c>
      <c r="AM15" s="367" t="n">
        <f aca="false">AK15+AL15</f>
        <v>79.7</v>
      </c>
      <c r="AN15" s="369" t="n">
        <f aca="false">V15</f>
        <v>0</v>
      </c>
      <c r="AO15" s="97"/>
      <c r="AP15" s="150" t="n">
        <v>795</v>
      </c>
      <c r="AQ15" s="147" t="n">
        <f aca="false">34.18*(Z15*1.9835+AC15*1.9835)/E15</f>
        <v>1.10807397569356</v>
      </c>
      <c r="AR15" s="147"/>
      <c r="AS15" s="101"/>
      <c r="AT15" s="11" t="n">
        <v>0</v>
      </c>
      <c r="AU15" s="1"/>
      <c r="AV15" s="102" t="n">
        <v>0</v>
      </c>
      <c r="AW15" s="103" t="n">
        <v>68</v>
      </c>
      <c r="AX15" s="103" t="n">
        <v>29</v>
      </c>
      <c r="AY15" s="294"/>
      <c r="AZ15" s="250" t="n">
        <f aca="false">SUM(N15,P15:U15)</f>
        <v>7.6423985</v>
      </c>
    </row>
    <row r="16" customFormat="false" ht="12.95" hidden="false" customHeight="true" outlineLevel="0" collapsed="false">
      <c r="A16" s="10" t="n">
        <f aca="false">A15+1</f>
        <v>2</v>
      </c>
      <c r="B16" s="357" t="n">
        <v>6906.41</v>
      </c>
      <c r="C16" s="94" t="n">
        <v>307845</v>
      </c>
      <c r="D16" s="103" t="n">
        <f aca="false">C16-C15</f>
        <v>2326</v>
      </c>
      <c r="E16" s="94" t="n">
        <f aca="false">C16-152000</f>
        <v>155845</v>
      </c>
      <c r="F16" s="141" t="n">
        <f aca="false">D16/$D$2</f>
        <v>1172.67456516259</v>
      </c>
      <c r="G16" s="134" t="n">
        <v>1000</v>
      </c>
      <c r="H16" s="134" t="n">
        <v>96</v>
      </c>
      <c r="I16" s="134" t="n">
        <f aca="false">G16+H16</f>
        <v>1096</v>
      </c>
      <c r="J16" s="366" t="n">
        <f aca="false">IF(L16&gt;0,L16,0)</f>
        <v>210.674565162591</v>
      </c>
      <c r="K16" s="134" t="n">
        <f aca="false">I16+J16</f>
        <v>1306.67456516259</v>
      </c>
      <c r="L16" s="134" t="n">
        <f aca="false">F16-(I16-AK16)</f>
        <v>210.674565162591</v>
      </c>
      <c r="M16" s="137" t="n">
        <v>41</v>
      </c>
      <c r="N16" s="158" t="n">
        <f aca="false">(1.8299*1.03)/2</f>
        <v>0.9423985</v>
      </c>
      <c r="O16" s="367" t="n">
        <f aca="false">4.5*1.05</f>
        <v>4.725</v>
      </c>
      <c r="P16" s="83" t="n">
        <v>0</v>
      </c>
      <c r="Q16" s="336" t="n">
        <f aca="false">1002100/325851/1.9835*1.02</f>
        <v>1.58146640606143</v>
      </c>
      <c r="R16" s="131" t="n">
        <f aca="false">(2*1.04)-T16</f>
        <v>1.52394944</v>
      </c>
      <c r="S16" s="131" t="n">
        <v>0</v>
      </c>
      <c r="T16" s="131" t="n">
        <f aca="false">(0.5044*1.06)*1.04</f>
        <v>0.55605056</v>
      </c>
      <c r="U16" s="355" t="n">
        <v>0</v>
      </c>
      <c r="V16" s="134" t="n">
        <v>33</v>
      </c>
      <c r="W16" s="134" t="n">
        <v>0</v>
      </c>
      <c r="X16" s="135" t="n">
        <f aca="false">M16-N16-O16-P16-Q16-R16-S16-T16-U16+V16+W16-AT16</f>
        <v>64.6711350939386</v>
      </c>
      <c r="Y16" s="135" t="n">
        <f aca="false">X16-AO16</f>
        <v>64.6711350939386</v>
      </c>
      <c r="Z16" s="107" t="n">
        <f aca="false">Z15+AP16</f>
        <v>1525.32886490606</v>
      </c>
      <c r="AA16" s="135"/>
      <c r="AB16" s="107" t="n">
        <f aca="false">AB15+(Y16+AP16-V16)*1.9835</f>
        <v>3086.44025257525</v>
      </c>
      <c r="AC16" s="150" t="n">
        <f aca="false">AC15-(AQ15/1.9835)</f>
        <v>1713.59135418417</v>
      </c>
      <c r="AD16" s="97"/>
      <c r="AE16" s="134"/>
      <c r="AF16" s="137" t="n">
        <v>1.7</v>
      </c>
      <c r="AG16" s="138" t="n">
        <v>1.3</v>
      </c>
      <c r="AH16" s="134" t="n">
        <v>60</v>
      </c>
      <c r="AI16" s="80" t="n">
        <f aca="false">AI15-50</f>
        <v>15931.2578774893</v>
      </c>
      <c r="AJ16" s="97" t="n">
        <v>10</v>
      </c>
      <c r="AK16" s="134" t="n">
        <f aca="false">N16+O16+P16+Q16+R16+S16+T16+U16+X16+AE16+AH16</f>
        <v>134</v>
      </c>
      <c r="AL16" s="134" t="n">
        <f aca="false">IF(L16&lt;0,L16*-1,0)</f>
        <v>0</v>
      </c>
      <c r="AM16" s="367" t="n">
        <f aca="false">AK16+AL16</f>
        <v>134</v>
      </c>
      <c r="AN16" s="369" t="n">
        <f aca="false">V16</f>
        <v>33</v>
      </c>
      <c r="AO16" s="97"/>
      <c r="AP16" s="150" t="n">
        <f aca="false">795-X16</f>
        <v>730.328864906061</v>
      </c>
      <c r="AQ16" s="147" t="n">
        <f aca="false">34.18*(Z16*1.9835+AC16*1.9835)/E16</f>
        <v>1.40900210042701</v>
      </c>
      <c r="AR16" s="147"/>
      <c r="AS16" s="101"/>
      <c r="AT16" s="11" t="n">
        <v>0</v>
      </c>
      <c r="AU16" s="1"/>
      <c r="AV16" s="102" t="n">
        <v>0</v>
      </c>
      <c r="AW16" s="103" t="n">
        <v>46</v>
      </c>
      <c r="AX16" s="103" t="n">
        <v>24</v>
      </c>
      <c r="AY16" s="294"/>
      <c r="AZ16" s="250" t="n">
        <f aca="false">SUM(N16,P16:U16)</f>
        <v>4.60386490606143</v>
      </c>
    </row>
    <row r="17" customFormat="false" ht="12.95" hidden="false" customHeight="true" outlineLevel="0" collapsed="false">
      <c r="A17" s="10" t="n">
        <f aca="false">A16+1</f>
        <v>3</v>
      </c>
      <c r="B17" s="357" t="n">
        <v>6906.76</v>
      </c>
      <c r="C17" s="94" t="n">
        <v>309205</v>
      </c>
      <c r="D17" s="103" t="n">
        <f aca="false">C17-C16</f>
        <v>1360</v>
      </c>
      <c r="E17" s="94" t="n">
        <f aca="false">C17-152000</f>
        <v>157205</v>
      </c>
      <c r="F17" s="141" t="n">
        <f aca="false">D17/$D$2</f>
        <v>685.656667506932</v>
      </c>
      <c r="G17" s="134" t="n">
        <v>689</v>
      </c>
      <c r="H17" s="134" t="n">
        <v>28</v>
      </c>
      <c r="I17" s="134" t="n">
        <f aca="false">G17+H17</f>
        <v>717</v>
      </c>
      <c r="J17" s="366" t="n">
        <f aca="false">IF(L17&gt;0,L17,0)</f>
        <v>138.656667506932</v>
      </c>
      <c r="K17" s="134" t="n">
        <f aca="false">I17+J17</f>
        <v>855.656667506932</v>
      </c>
      <c r="L17" s="134" t="n">
        <f aca="false">F17-(I17-AK17)</f>
        <v>138.656667506932</v>
      </c>
      <c r="M17" s="137" t="n">
        <v>73</v>
      </c>
      <c r="N17" s="158" t="n">
        <f aca="false">(1.8299*1.03)/2</f>
        <v>0.9423985</v>
      </c>
      <c r="O17" s="367" t="n">
        <f aca="false">20*1.05</f>
        <v>21</v>
      </c>
      <c r="P17" s="83" t="n">
        <v>0</v>
      </c>
      <c r="Q17" s="336" t="n">
        <f aca="false">1032800/325851/1.9835*1.02</f>
        <v>1.62991568124962</v>
      </c>
      <c r="R17" s="131" t="n">
        <f aca="false">(2.1*1.04)-T17</f>
        <v>1.62794944</v>
      </c>
      <c r="S17" s="131" t="n">
        <v>0</v>
      </c>
      <c r="T17" s="131" t="n">
        <f aca="false">(0.5044*1.06)*1.04</f>
        <v>0.55605056</v>
      </c>
      <c r="U17" s="355" t="n">
        <v>0</v>
      </c>
      <c r="V17" s="134" t="n">
        <v>46</v>
      </c>
      <c r="W17" s="134" t="n">
        <v>0</v>
      </c>
      <c r="X17" s="135" t="n">
        <f aca="false">M17-N17-O17-P17-Q17-R17-S17-T17-U17+V17+W17-AT17</f>
        <v>93.2436858187504</v>
      </c>
      <c r="Y17" s="135" t="n">
        <f aca="false">X17-AO17</f>
        <v>93.2436858187504</v>
      </c>
      <c r="Z17" s="107" t="n">
        <f aca="false">Z16+AP17</f>
        <v>2144.12731396606</v>
      </c>
      <c r="AA17" s="135"/>
      <c r="AB17" s="107" t="n">
        <f aca="false">AB16+(Y17+AP17-V17)*1.9835</f>
        <v>4407.53482710725</v>
      </c>
      <c r="AC17" s="150" t="n">
        <f aca="false">AC16-(AQ16/1.9835)</f>
        <v>1712.88099265131</v>
      </c>
      <c r="AD17" s="97"/>
      <c r="AE17" s="134"/>
      <c r="AF17" s="137" t="n">
        <v>1.7</v>
      </c>
      <c r="AG17" s="138" t="n">
        <v>1.3</v>
      </c>
      <c r="AH17" s="134" t="n">
        <v>51</v>
      </c>
      <c r="AI17" s="80" t="n">
        <f aca="false">AI16-AH17</f>
        <v>15880.2578774893</v>
      </c>
      <c r="AJ17" s="97" t="n">
        <v>0</v>
      </c>
      <c r="AK17" s="134" t="n">
        <f aca="false">N17+O17+P17+Q17+R17+S17+T17+U17+X17+AE17+AH17</f>
        <v>170</v>
      </c>
      <c r="AL17" s="134" t="n">
        <f aca="false">IF(L17&lt;0,L17*-1,0)</f>
        <v>0</v>
      </c>
      <c r="AM17" s="367" t="n">
        <f aca="false">AK17+AL17</f>
        <v>170</v>
      </c>
      <c r="AN17" s="369" t="n">
        <f aca="false">V17</f>
        <v>46</v>
      </c>
      <c r="AO17" s="97"/>
      <c r="AP17" s="150" t="n">
        <f aca="false">I17-Q17-R17-X17-AF17</f>
        <v>618.79844906</v>
      </c>
      <c r="AQ17" s="147" t="n">
        <f aca="false">34.18*(Z17*1.9835+AC17*1.9835)/E17</f>
        <v>1.66336853704196</v>
      </c>
      <c r="AR17" s="147"/>
      <c r="AS17" s="101"/>
      <c r="AT17" s="11" t="n">
        <v>0</v>
      </c>
      <c r="AU17" s="1"/>
      <c r="AV17" s="102" t="n">
        <v>0</v>
      </c>
      <c r="AW17" s="103" t="n">
        <v>54</v>
      </c>
      <c r="AX17" s="103" t="n">
        <v>32</v>
      </c>
      <c r="AY17" s="294"/>
      <c r="AZ17" s="250" t="n">
        <f aca="false">SUM(N17,P17:U17)</f>
        <v>4.75631418124962</v>
      </c>
    </row>
    <row r="18" customFormat="false" ht="12.95" hidden="false" customHeight="true" outlineLevel="0" collapsed="false">
      <c r="A18" s="10" t="n">
        <f aca="false">A17+1</f>
        <v>4</v>
      </c>
      <c r="B18" s="357" t="n">
        <v>6906.98</v>
      </c>
      <c r="C18" s="94" t="n">
        <v>310060</v>
      </c>
      <c r="D18" s="103" t="n">
        <f aca="false">C18-C17</f>
        <v>855</v>
      </c>
      <c r="E18" s="94" t="n">
        <f aca="false">C18-152000</f>
        <v>158060</v>
      </c>
      <c r="F18" s="141" t="n">
        <f aca="false">D18/$D$2</f>
        <v>431.056213763549</v>
      </c>
      <c r="G18" s="134" t="n">
        <v>535</v>
      </c>
      <c r="H18" s="134" t="n">
        <v>11</v>
      </c>
      <c r="I18" s="134" t="n">
        <f aca="false">G18+H18</f>
        <v>546</v>
      </c>
      <c r="J18" s="366" t="n">
        <f aca="false">IF(L18&gt;0,L18,0)</f>
        <v>37.0562137635493</v>
      </c>
      <c r="K18" s="134" t="n">
        <f aca="false">I18+J18</f>
        <v>583.056213763549</v>
      </c>
      <c r="L18" s="134" t="n">
        <f aca="false">F18-(I18-AK18)</f>
        <v>37.0562137635493</v>
      </c>
      <c r="M18" s="137" t="n">
        <v>68</v>
      </c>
      <c r="N18" s="158" t="n">
        <f aca="false">(1.8299*1.03)/2</f>
        <v>0.9423985</v>
      </c>
      <c r="O18" s="367" t="n">
        <f aca="false">39*1.05</f>
        <v>40.95</v>
      </c>
      <c r="P18" s="83" t="n">
        <v>0</v>
      </c>
      <c r="Q18" s="336" t="n">
        <f aca="false">1117300/325851/1.9835*1.02</f>
        <v>1.76326954943861</v>
      </c>
      <c r="R18" s="131" t="n">
        <f aca="false">(2.2*1.04)-T18</f>
        <v>1.73194944</v>
      </c>
      <c r="S18" s="131" t="n">
        <v>0</v>
      </c>
      <c r="T18" s="131" t="n">
        <f aca="false">(0.5044*1.06)*1.04</f>
        <v>0.55605056</v>
      </c>
      <c r="U18" s="355" t="n">
        <v>0</v>
      </c>
      <c r="V18" s="134" t="n">
        <v>33</v>
      </c>
      <c r="W18" s="134" t="n">
        <v>0</v>
      </c>
      <c r="X18" s="135" t="n">
        <f aca="false">M18-N18-O18-P18-Q18-R18-S18-T18-U18+V18+W18-AT18</f>
        <v>55.0563319505614</v>
      </c>
      <c r="Y18" s="135" t="n">
        <f aca="false">X18-AO18</f>
        <v>55.0563319505614</v>
      </c>
      <c r="Z18" s="107" t="n">
        <f aca="false">Z17+AP18</f>
        <v>2629.87576302606</v>
      </c>
      <c r="AA18" s="135"/>
      <c r="AB18" s="107" t="n">
        <f aca="false">AB17+(Y18+AP18-V18)*1.9835</f>
        <v>5414.7656102417</v>
      </c>
      <c r="AC18" s="150" t="n">
        <f aca="false">AC17-(AQ17/1.9835)</f>
        <v>1712.04238991018</v>
      </c>
      <c r="AD18" s="97"/>
      <c r="AE18" s="134"/>
      <c r="AF18" s="137" t="n">
        <v>1.7</v>
      </c>
      <c r="AG18" s="138" t="n">
        <v>1.3</v>
      </c>
      <c r="AH18" s="134" t="n">
        <v>51</v>
      </c>
      <c r="AI18" s="80" t="n">
        <f aca="false">AI17-AH18</f>
        <v>15829.2578774893</v>
      </c>
      <c r="AJ18" s="97"/>
      <c r="AK18" s="134" t="n">
        <f aca="false">N18+O18+P18+Q18+R18+S18+T18+U18+X18+AE18+AH18</f>
        <v>152</v>
      </c>
      <c r="AL18" s="134" t="n">
        <f aca="false">IF(L18&lt;0,L18*-1,0)</f>
        <v>0</v>
      </c>
      <c r="AM18" s="367" t="n">
        <f aca="false">AK18+AL18</f>
        <v>152</v>
      </c>
      <c r="AN18" s="369" t="n">
        <f aca="false">V18</f>
        <v>33</v>
      </c>
      <c r="AO18" s="97"/>
      <c r="AP18" s="150" t="n">
        <f aca="false">I18-Q18-R18-X18-AF18</f>
        <v>485.74844906</v>
      </c>
      <c r="AQ18" s="147" t="n">
        <f aca="false">34.18*(Z18*1.9835+AC18*1.9835)/E18</f>
        <v>1.86236121317228</v>
      </c>
      <c r="AR18" s="147"/>
      <c r="AS18" s="101"/>
      <c r="AT18" s="11" t="n">
        <v>0</v>
      </c>
      <c r="AU18" s="1"/>
      <c r="AV18" s="102" t="n">
        <v>0</v>
      </c>
      <c r="AW18" s="103" t="n">
        <v>62</v>
      </c>
      <c r="AX18" s="103" t="n">
        <v>30</v>
      </c>
      <c r="AY18" s="294"/>
      <c r="AZ18" s="250" t="n">
        <f aca="false">SUM(N18,P18:U18)</f>
        <v>4.99366804943861</v>
      </c>
    </row>
    <row r="19" customFormat="false" ht="12.95" hidden="false" customHeight="true" outlineLevel="0" collapsed="false">
      <c r="A19" s="10" t="n">
        <f aca="false">A18+1</f>
        <v>5</v>
      </c>
      <c r="B19" s="357" t="n">
        <v>6907.25</v>
      </c>
      <c r="C19" s="94" t="n">
        <v>311117</v>
      </c>
      <c r="D19" s="103" t="n">
        <f aca="false">C19-C18</f>
        <v>1057</v>
      </c>
      <c r="E19" s="94" t="n">
        <f aca="false">C19-152000</f>
        <v>159117</v>
      </c>
      <c r="F19" s="141" t="n">
        <f aca="false">D19/$D$2</f>
        <v>532.896395260902</v>
      </c>
      <c r="G19" s="134" t="n">
        <v>530</v>
      </c>
      <c r="H19" s="134" t="n">
        <v>9.3</v>
      </c>
      <c r="I19" s="134" t="n">
        <f aca="false">G19+H19</f>
        <v>539.3</v>
      </c>
      <c r="J19" s="366" t="n">
        <f aca="false">IF(L19&gt;0,L19,0)</f>
        <v>129.596395260902</v>
      </c>
      <c r="K19" s="134" t="n">
        <f aca="false">I19+J19</f>
        <v>668.896395260902</v>
      </c>
      <c r="L19" s="134" t="n">
        <f aca="false">F19-(I19-AK19)</f>
        <v>129.596395260902</v>
      </c>
      <c r="M19" s="137" t="n">
        <v>85</v>
      </c>
      <c r="N19" s="158" t="n">
        <f aca="false">(1.8299*1.03)/2</f>
        <v>0.9423985</v>
      </c>
      <c r="O19" s="367" t="n">
        <f aca="false">40*1.05</f>
        <v>42</v>
      </c>
      <c r="P19" s="83" t="n">
        <v>0</v>
      </c>
      <c r="Q19" s="336" t="n">
        <f aca="false">1137800/325851/1.9835*1.02</f>
        <v>1.79562167130695</v>
      </c>
      <c r="R19" s="131" t="n">
        <f aca="false">(2.3*1.04)-T19</f>
        <v>1.83594944</v>
      </c>
      <c r="S19" s="131" t="n">
        <v>0</v>
      </c>
      <c r="T19" s="131" t="n">
        <f aca="false">(0.5044*1.06)*1.04</f>
        <v>0.55605056</v>
      </c>
      <c r="U19" s="355" t="n">
        <v>0</v>
      </c>
      <c r="V19" s="134" t="n">
        <v>0</v>
      </c>
      <c r="W19" s="134" t="n">
        <v>0</v>
      </c>
      <c r="X19" s="135" t="n">
        <f aca="false">M19-N19-O19-P19-Q19-R19-S19-T19-U19+V19+W19-AT19</f>
        <v>37.8699798286931</v>
      </c>
      <c r="Y19" s="135" t="n">
        <f aca="false">X19-AO19</f>
        <v>37.8699798286931</v>
      </c>
      <c r="Z19" s="107" t="n">
        <f aca="false">Z18+AP19</f>
        <v>3125.97421208606</v>
      </c>
      <c r="AA19" s="135"/>
      <c r="AB19" s="107" t="n">
        <f aca="false">AB18+(Y19+AP19)*1.9835</f>
        <v>6473.89198894242</v>
      </c>
      <c r="AC19" s="150" t="n">
        <f aca="false">AC18-(AQ18/1.9835)</f>
        <v>1711.10346315789</v>
      </c>
      <c r="AD19" s="97"/>
      <c r="AE19" s="134"/>
      <c r="AF19" s="137" t="n">
        <v>1.7</v>
      </c>
      <c r="AG19" s="138" t="n">
        <v>1.3</v>
      </c>
      <c r="AH19" s="134" t="n">
        <v>51</v>
      </c>
      <c r="AI19" s="80" t="n">
        <f aca="false">AI18-AH19</f>
        <v>15778.2578774893</v>
      </c>
      <c r="AJ19" s="97"/>
      <c r="AK19" s="134" t="n">
        <f aca="false">N19+O19+P19+Q19+R19+S19+T19+U19+X19+AE19+AH19</f>
        <v>136</v>
      </c>
      <c r="AL19" s="134" t="n">
        <f aca="false">IF(L19&lt;0,L19*-1,0)</f>
        <v>0</v>
      </c>
      <c r="AM19" s="367" t="n">
        <f aca="false">AK19+AL19</f>
        <v>136</v>
      </c>
      <c r="AN19" s="369" t="n">
        <f aca="false">V19</f>
        <v>0</v>
      </c>
      <c r="AO19" s="97"/>
      <c r="AP19" s="150" t="n">
        <f aca="false">I19-Q19-R19-X19-AF19</f>
        <v>496.09844906</v>
      </c>
      <c r="AQ19" s="147" t="n">
        <f aca="false">34.18*(Z19*1.9835+AC19*1.9835)/E19</f>
        <v>2.06096559879315</v>
      </c>
      <c r="AR19" s="147"/>
      <c r="AS19" s="101"/>
      <c r="AT19" s="11" t="n">
        <v>0</v>
      </c>
      <c r="AU19" s="1"/>
      <c r="AV19" s="102" t="n">
        <v>0</v>
      </c>
      <c r="AW19" s="103" t="n">
        <v>64</v>
      </c>
      <c r="AX19" s="103" t="n">
        <v>31</v>
      </c>
      <c r="AY19" s="294"/>
      <c r="AZ19" s="250" t="n">
        <f aca="false">SUM(N19,P19:U19)</f>
        <v>5.13002017130695</v>
      </c>
    </row>
    <row r="20" customFormat="false" ht="12.95" hidden="false" customHeight="true" outlineLevel="0" collapsed="false">
      <c r="A20" s="10" t="n">
        <f aca="false">A19+1</f>
        <v>6</v>
      </c>
      <c r="B20" s="357" t="n">
        <v>6907.49</v>
      </c>
      <c r="C20" s="94" t="n">
        <v>312058</v>
      </c>
      <c r="D20" s="103" t="n">
        <f aca="false">C20-C19</f>
        <v>941</v>
      </c>
      <c r="E20" s="94" t="n">
        <f aca="false">C20-152000</f>
        <v>160058</v>
      </c>
      <c r="F20" s="141" t="n">
        <f aca="false">D20/$D$2</f>
        <v>474.413914797076</v>
      </c>
      <c r="G20" s="134" t="n">
        <v>585</v>
      </c>
      <c r="H20" s="134" t="n">
        <v>10</v>
      </c>
      <c r="I20" s="134" t="n">
        <f aca="false">G20+H20</f>
        <v>595</v>
      </c>
      <c r="J20" s="366" t="n">
        <f aca="false">IF(L20&gt;0,L20,0)</f>
        <v>27.4139147970758</v>
      </c>
      <c r="K20" s="134" t="n">
        <f aca="false">I20+J20</f>
        <v>622.413914797076</v>
      </c>
      <c r="L20" s="134" t="n">
        <f aca="false">F20-(I20-AK20)</f>
        <v>27.4139147970758</v>
      </c>
      <c r="M20" s="137" t="n">
        <v>97</v>
      </c>
      <c r="N20" s="158" t="n">
        <f aca="false">(1.8299*1.03)/2</f>
        <v>0.9423985</v>
      </c>
      <c r="O20" s="367" t="n">
        <f aca="false">63*1.05</f>
        <v>66.15</v>
      </c>
      <c r="P20" s="83" t="n">
        <v>0</v>
      </c>
      <c r="Q20" s="336" t="n">
        <f aca="false">1059600/325851/1.9835*1.02</f>
        <v>1.67221016252139</v>
      </c>
      <c r="R20" s="131" t="n">
        <f aca="false">(2.4*1.04)-T20</f>
        <v>1.93024832</v>
      </c>
      <c r="S20" s="131" t="n">
        <v>0</v>
      </c>
      <c r="T20" s="131" t="n">
        <f aca="false">(0.5132*1.06)*1.04</f>
        <v>0.56575168</v>
      </c>
      <c r="U20" s="355" t="n">
        <v>0</v>
      </c>
      <c r="V20" s="134" t="n">
        <v>0</v>
      </c>
      <c r="W20" s="134" t="n">
        <v>0</v>
      </c>
      <c r="X20" s="135" t="n">
        <f aca="false">M20-N20-O20-P20-Q20-R20-S20-T20-U20+V20+W20-AT20</f>
        <v>25.7393913374786</v>
      </c>
      <c r="Y20" s="135" t="n">
        <f aca="false">X20-AO20</f>
        <v>25.7393913374786</v>
      </c>
      <c r="Z20" s="107" t="n">
        <f aca="false">Z19+AP20</f>
        <v>3689.93236226606</v>
      </c>
      <c r="AA20" s="135"/>
      <c r="AB20" s="107" t="n">
        <f aca="false">AB19+(Y20+AP20)*1.9835</f>
        <v>7643.55706254234</v>
      </c>
      <c r="AC20" s="150" t="n">
        <f aca="false">AC19-(AQ19/1.9835)</f>
        <v>1710.06440815471</v>
      </c>
      <c r="AD20" s="97"/>
      <c r="AE20" s="134"/>
      <c r="AF20" s="137" t="n">
        <v>1.7</v>
      </c>
      <c r="AG20" s="138" t="n">
        <v>1.3</v>
      </c>
      <c r="AH20" s="134" t="n">
        <v>51</v>
      </c>
      <c r="AI20" s="80" t="n">
        <f aca="false">AI19-AH20</f>
        <v>15727.2578774893</v>
      </c>
      <c r="AJ20" s="97"/>
      <c r="AK20" s="134" t="n">
        <f aca="false">N20+O20+P20+Q20+R20+S20+T20+U20+X20+AE20+AH20</f>
        <v>148</v>
      </c>
      <c r="AL20" s="134" t="n">
        <f aca="false">IF(L20&lt;0,L20*-1,0)</f>
        <v>0</v>
      </c>
      <c r="AM20" s="367" t="n">
        <f aca="false">AK20+AL20</f>
        <v>148</v>
      </c>
      <c r="AN20" s="369" t="n">
        <f aca="false">V20</f>
        <v>0</v>
      </c>
      <c r="AO20" s="97"/>
      <c r="AP20" s="150" t="n">
        <f aca="false">I20-Q20-R20-X20-AF20</f>
        <v>563.95815018</v>
      </c>
      <c r="AQ20" s="147" t="n">
        <f aca="false">34.18*(Z20*1.9835+AC20*1.9835)/E20</f>
        <v>2.28728550305108</v>
      </c>
      <c r="AR20" s="147"/>
      <c r="AS20" s="101"/>
      <c r="AT20" s="11" t="n">
        <v>0</v>
      </c>
      <c r="AU20" s="1"/>
      <c r="AV20" s="102" t="n">
        <v>0</v>
      </c>
      <c r="AW20" s="103" t="n">
        <v>55</v>
      </c>
      <c r="AX20" s="103" t="n">
        <v>28</v>
      </c>
      <c r="AY20" s="294"/>
      <c r="AZ20" s="250" t="n">
        <f aca="false">SUM(N20,P20:U20)</f>
        <v>5.1106086625214</v>
      </c>
    </row>
    <row r="21" customFormat="false" ht="12.95" hidden="false" customHeight="true" outlineLevel="0" collapsed="false">
      <c r="A21" s="10" t="n">
        <f aca="false">A20+1</f>
        <v>7</v>
      </c>
      <c r="B21" s="357" t="n">
        <v>6907.75</v>
      </c>
      <c r="C21" s="94" t="n">
        <v>313076</v>
      </c>
      <c r="D21" s="103" t="n">
        <f aca="false">C21-C20</f>
        <v>1018</v>
      </c>
      <c r="E21" s="94" t="n">
        <f aca="false">C21-152000</f>
        <v>161076</v>
      </c>
      <c r="F21" s="141" t="n">
        <f aca="false">D21/$D$2</f>
        <v>513.234182001513</v>
      </c>
      <c r="G21" s="134" t="n">
        <v>587</v>
      </c>
      <c r="H21" s="134" t="n">
        <v>10</v>
      </c>
      <c r="I21" s="134" t="n">
        <f aca="false">G21+H21</f>
        <v>597</v>
      </c>
      <c r="J21" s="366" t="n">
        <f aca="false">IF(L21&gt;0,L21,0)</f>
        <v>51.2341820015125</v>
      </c>
      <c r="K21" s="134" t="n">
        <f aca="false">I21+J21</f>
        <v>648.234182001513</v>
      </c>
      <c r="L21" s="134" t="n">
        <f aca="false">F21-(I21-AK21)</f>
        <v>51.2341820015125</v>
      </c>
      <c r="M21" s="137" t="n">
        <v>84</v>
      </c>
      <c r="N21" s="158" t="n">
        <f aca="false">(1.8299*1.03)/2</f>
        <v>0.9423985</v>
      </c>
      <c r="O21" s="367" t="n">
        <f aca="false">65*1.05</f>
        <v>68.25</v>
      </c>
      <c r="P21" s="83" t="n">
        <v>0</v>
      </c>
      <c r="Q21" s="336" t="n">
        <f aca="false">1206300/325851/1.9835*1.02</f>
        <v>1.90372510291578</v>
      </c>
      <c r="R21" s="131" t="n">
        <f aca="false">(2.7*1.04)-T21</f>
        <v>2.24224832</v>
      </c>
      <c r="S21" s="131" t="n">
        <v>0</v>
      </c>
      <c r="T21" s="131" t="n">
        <f aca="false">(0.5132*1.06)*1.04</f>
        <v>0.56575168</v>
      </c>
      <c r="U21" s="355" t="n">
        <v>0</v>
      </c>
      <c r="V21" s="134" t="n">
        <v>0</v>
      </c>
      <c r="W21" s="134" t="n">
        <v>0</v>
      </c>
      <c r="X21" s="135" t="n">
        <f aca="false">M21-N21-O21-P21-Q21-R21-S21-T21-U21+V21+W21-AT21</f>
        <v>10.0958763970842</v>
      </c>
      <c r="Y21" s="135" t="n">
        <f aca="false">X21-AO21</f>
        <v>10.0958763970842</v>
      </c>
      <c r="Z21" s="107" t="n">
        <f aca="false">Z20+AP21</f>
        <v>4270.99051244606</v>
      </c>
      <c r="AA21" s="135"/>
      <c r="AB21" s="107" t="n">
        <f aca="false">AB20+(Y21+AP21)*1.9835</f>
        <v>8816.11107425799</v>
      </c>
      <c r="AC21" s="150" t="n">
        <f aca="false">AC20-(AQ20/1.9835)</f>
        <v>1708.91125186379</v>
      </c>
      <c r="AD21" s="97"/>
      <c r="AE21" s="134"/>
      <c r="AF21" s="137" t="n">
        <v>1.7</v>
      </c>
      <c r="AG21" s="138" t="n">
        <v>1.3</v>
      </c>
      <c r="AH21" s="134" t="n">
        <v>51</v>
      </c>
      <c r="AI21" s="80" t="n">
        <f aca="false">AI20-AH21</f>
        <v>15676.2578774893</v>
      </c>
      <c r="AJ21" s="97"/>
      <c r="AK21" s="134" t="n">
        <f aca="false">N21+O21+P21+Q21+R21+S21+T21+U21+X21+AE21+AH21</f>
        <v>135</v>
      </c>
      <c r="AL21" s="134" t="n">
        <f aca="false">IF(L21&lt;0,L21*-1,0)</f>
        <v>0</v>
      </c>
      <c r="AM21" s="367" t="n">
        <f aca="false">AK21+AL21</f>
        <v>135</v>
      </c>
      <c r="AN21" s="369" t="n">
        <v>0</v>
      </c>
      <c r="AO21" s="97"/>
      <c r="AP21" s="150" t="n">
        <f aca="false">I21-Q21-R21-X21-AF21</f>
        <v>581.05815018</v>
      </c>
      <c r="AQ21" s="147" t="n">
        <f aca="false">34.18*(Z21*1.9835+AC21*1.9835)/E21</f>
        <v>2.51690878473642</v>
      </c>
      <c r="AR21" s="147"/>
      <c r="AS21" s="101"/>
      <c r="AT21" s="11" t="n">
        <v>0</v>
      </c>
      <c r="AU21" s="1"/>
      <c r="AV21" s="102" t="n">
        <v>0</v>
      </c>
      <c r="AW21" s="103" t="n">
        <v>62</v>
      </c>
      <c r="AX21" s="103" t="n">
        <v>27</v>
      </c>
      <c r="AY21" s="294"/>
      <c r="AZ21" s="250" t="n">
        <f aca="false">SUM(N21,P21:U21)</f>
        <v>5.65412360291578</v>
      </c>
    </row>
    <row r="22" customFormat="false" ht="12.95" hidden="false" customHeight="true" outlineLevel="0" collapsed="false">
      <c r="A22" s="10" t="n">
        <f aca="false">A21+1</f>
        <v>8</v>
      </c>
      <c r="B22" s="357" t="n">
        <v>6908.02</v>
      </c>
      <c r="C22" s="94" t="n">
        <v>314135</v>
      </c>
      <c r="D22" s="103" t="n">
        <f aca="false">C22-C21</f>
        <v>1059</v>
      </c>
      <c r="E22" s="94" t="n">
        <f aca="false">C22-152000</f>
        <v>162135</v>
      </c>
      <c r="F22" s="141" t="n">
        <f aca="false">D22/$D$2</f>
        <v>533.904713889589</v>
      </c>
      <c r="G22" s="134" t="n">
        <v>633</v>
      </c>
      <c r="H22" s="134" t="n">
        <v>8.9</v>
      </c>
      <c r="I22" s="134" t="n">
        <f aca="false">G22+H22</f>
        <v>641.9</v>
      </c>
      <c r="J22" s="366" t="n">
        <f aca="false">IF(L22&gt;0,L22,0)</f>
        <v>64.0047138895891</v>
      </c>
      <c r="K22" s="134" t="n">
        <f aca="false">I22+J22</f>
        <v>705.904713889589</v>
      </c>
      <c r="L22" s="134" t="n">
        <f aca="false">F22-(I22-AK22)</f>
        <v>64.0047138895891</v>
      </c>
      <c r="M22" s="137" t="n">
        <v>120</v>
      </c>
      <c r="N22" s="158" t="n">
        <f aca="false">(1.8299*1.03)/2</f>
        <v>0.9423985</v>
      </c>
      <c r="O22" s="367" t="n">
        <f aca="false">80*1.05</f>
        <v>84</v>
      </c>
      <c r="P22" s="83" t="n">
        <v>0</v>
      </c>
      <c r="Q22" s="336" t="n">
        <f aca="false">1354900/325851/1.9835*1.02</f>
        <v>2.13823853265406</v>
      </c>
      <c r="R22" s="131" t="n">
        <f aca="false">(2.7*1.04)-T22</f>
        <v>2.24224832</v>
      </c>
      <c r="S22" s="131" t="n">
        <v>0</v>
      </c>
      <c r="T22" s="131" t="n">
        <f aca="false">(0.5132*1.06)*1.04</f>
        <v>0.56575168</v>
      </c>
      <c r="U22" s="355" t="n">
        <v>0</v>
      </c>
      <c r="V22" s="134" t="n">
        <v>0</v>
      </c>
      <c r="W22" s="134" t="n">
        <v>0</v>
      </c>
      <c r="X22" s="135" t="n">
        <f aca="false">M22-N22-O22-P22-Q22-R22-S22-T22-U22+V22+W22-AT22</f>
        <v>30.1113629673459</v>
      </c>
      <c r="Y22" s="135" t="n">
        <f aca="false">X22-AO22</f>
        <v>30.1113629673459</v>
      </c>
      <c r="Z22" s="107" t="n">
        <f aca="false">Z21+AP22</f>
        <v>4876.69866262606</v>
      </c>
      <c r="AA22" s="135"/>
      <c r="AB22" s="107" t="n">
        <f aca="false">AB21+(Y22+AP22)*1.9835</f>
        <v>10077.2590785857</v>
      </c>
      <c r="AC22" s="150" t="n">
        <f aca="false">AC21-(AQ21/1.9835)</f>
        <v>1707.64232885661</v>
      </c>
      <c r="AD22" s="97"/>
      <c r="AE22" s="134"/>
      <c r="AF22" s="137" t="n">
        <v>1.7</v>
      </c>
      <c r="AG22" s="138" t="n">
        <v>1.3</v>
      </c>
      <c r="AH22" s="134" t="n">
        <v>52</v>
      </c>
      <c r="AI22" s="80" t="n">
        <f aca="false">AI21-AH22</f>
        <v>15624.2578774893</v>
      </c>
      <c r="AJ22" s="97"/>
      <c r="AK22" s="134" t="n">
        <f aca="false">N22+O22+P22+Q22+R22+S22+T22+U22+X22+AE22+AH22</f>
        <v>172</v>
      </c>
      <c r="AL22" s="134" t="n">
        <f aca="false">IF(L22&lt;0,L22*-1,0)</f>
        <v>0</v>
      </c>
      <c r="AM22" s="367" t="n">
        <f aca="false">AK22+AL22</f>
        <v>172</v>
      </c>
      <c r="AN22" s="369" t="n">
        <v>0</v>
      </c>
      <c r="AO22" s="97"/>
      <c r="AP22" s="150" t="n">
        <f aca="false">I22-Q22-R22-X22-AF22</f>
        <v>605.70815018</v>
      </c>
      <c r="AQ22" s="147" t="n">
        <f aca="false">34.18*(Z22*1.9835+AC22*1.9835)/E22</f>
        <v>2.75321293606432</v>
      </c>
      <c r="AR22" s="147"/>
      <c r="AS22" s="101"/>
      <c r="AT22" s="11" t="n">
        <v>0</v>
      </c>
      <c r="AU22" s="1"/>
      <c r="AV22" s="102" t="n">
        <v>0</v>
      </c>
      <c r="AW22" s="103" t="n">
        <v>68</v>
      </c>
      <c r="AX22" s="103" t="n">
        <v>34</v>
      </c>
      <c r="AY22" s="294"/>
      <c r="AZ22" s="250" t="n">
        <f aca="false">SUM(N22,P22:U22)</f>
        <v>5.88863703265406</v>
      </c>
    </row>
    <row r="23" customFormat="false" ht="12.95" hidden="false" customHeight="true" outlineLevel="0" collapsed="false">
      <c r="A23" s="10" t="n">
        <f aca="false">A22+1</f>
        <v>9</v>
      </c>
      <c r="B23" s="357" t="n">
        <v>6908.33</v>
      </c>
      <c r="C23" s="94" t="n">
        <v>315359</v>
      </c>
      <c r="D23" s="103" t="n">
        <f aca="false">C23-C22</f>
        <v>1224</v>
      </c>
      <c r="E23" s="94" t="n">
        <f aca="false">C23-152000</f>
        <v>163359</v>
      </c>
      <c r="F23" s="141" t="n">
        <f aca="false">D23/$D$2</f>
        <v>617.091000756239</v>
      </c>
      <c r="G23" s="134" t="n">
        <v>741</v>
      </c>
      <c r="H23" s="134" t="n">
        <v>14</v>
      </c>
      <c r="I23" s="134" t="n">
        <f aca="false">G23+H23</f>
        <v>755</v>
      </c>
      <c r="J23" s="366" t="n">
        <f aca="false">IF(L23&gt;0,L23,0)</f>
        <v>39.0910007562389</v>
      </c>
      <c r="K23" s="134" t="n">
        <f aca="false">I23+J23</f>
        <v>794.091000756239</v>
      </c>
      <c r="L23" s="134" t="n">
        <f aca="false">F23-(I23-AK23)</f>
        <v>39.0910007562389</v>
      </c>
      <c r="M23" s="137" t="n">
        <v>125</v>
      </c>
      <c r="N23" s="158" t="n">
        <f aca="false">(1.8299*1.03)/2</f>
        <v>0.9423985</v>
      </c>
      <c r="O23" s="367" t="n">
        <f aca="false">99*1.05</f>
        <v>103.95</v>
      </c>
      <c r="P23" s="83" t="n">
        <v>0</v>
      </c>
      <c r="Q23" s="336" t="n">
        <f aca="false">1355600/325851/1.9835*1.02</f>
        <v>2.13934323925444</v>
      </c>
      <c r="R23" s="131" t="n">
        <f aca="false">(2.7*1.04)-T23</f>
        <v>2.24224832</v>
      </c>
      <c r="S23" s="131" t="n">
        <v>0</v>
      </c>
      <c r="T23" s="131" t="n">
        <f aca="false">(0.5132*1.06)*1.04</f>
        <v>0.56575168</v>
      </c>
      <c r="U23" s="355" t="n">
        <v>0</v>
      </c>
      <c r="V23" s="134" t="n">
        <v>0</v>
      </c>
      <c r="W23" s="134" t="n">
        <v>0</v>
      </c>
      <c r="X23" s="135" t="n">
        <f aca="false">M23-N23-O23-P23-Q23-R23-S23-T23-U23+V23+W23-AT23</f>
        <v>15.1602582607456</v>
      </c>
      <c r="Y23" s="135" t="n">
        <f aca="false">X23-AO23</f>
        <v>15.1602582607456</v>
      </c>
      <c r="Z23" s="107" t="n">
        <f aca="false">Z22+AP23</f>
        <v>5610.45681280606</v>
      </c>
      <c r="AA23" s="135"/>
      <c r="AB23" s="107" t="n">
        <f aca="false">AB22+(Y23+AP23)*1.9835</f>
        <v>11562.738741728</v>
      </c>
      <c r="AC23" s="150" t="n">
        <f aca="false">AC22-(AQ22/1.9835)</f>
        <v>1706.25427091052</v>
      </c>
      <c r="AD23" s="97"/>
      <c r="AE23" s="134"/>
      <c r="AF23" s="137" t="n">
        <v>1.7</v>
      </c>
      <c r="AG23" s="138" t="n">
        <v>1.3</v>
      </c>
      <c r="AH23" s="134" t="n">
        <v>52</v>
      </c>
      <c r="AI23" s="80" t="n">
        <f aca="false">AI22-AH23</f>
        <v>15572.2578774893</v>
      </c>
      <c r="AJ23" s="97"/>
      <c r="AK23" s="134" t="n">
        <f aca="false">N23+O23+P23+Q23+R23+S23+T23+U23+X23+AE23+AH23</f>
        <v>177</v>
      </c>
      <c r="AL23" s="134" t="n">
        <f aca="false">IF(L23&lt;0,L23*-1,0)</f>
        <v>0</v>
      </c>
      <c r="AM23" s="367" t="n">
        <f aca="false">AK23+AL23</f>
        <v>177</v>
      </c>
      <c r="AN23" s="369" t="n">
        <v>0</v>
      </c>
      <c r="AO23" s="97"/>
      <c r="AP23" s="150" t="n">
        <f aca="false">I23-Q23-R23-X23-AF23</f>
        <v>733.75815018</v>
      </c>
      <c r="AQ23" s="147" t="n">
        <f aca="false">34.18*(Z23*1.9835+AC23*1.9835)/E23</f>
        <v>3.03652669355825</v>
      </c>
      <c r="AR23" s="147"/>
      <c r="AS23" s="101"/>
      <c r="AT23" s="11" t="n">
        <v>0</v>
      </c>
      <c r="AU23" s="1"/>
      <c r="AV23" s="102" t="n">
        <v>0</v>
      </c>
      <c r="AW23" s="140" t="n">
        <v>71</v>
      </c>
      <c r="AX23" s="103" t="n">
        <v>38</v>
      </c>
      <c r="AY23" s="294"/>
      <c r="AZ23" s="250" t="n">
        <f aca="false">SUM(N23,P23:U23)</f>
        <v>5.88974173925444</v>
      </c>
    </row>
    <row r="24" customFormat="false" ht="12.95" hidden="false" customHeight="true" outlineLevel="0" collapsed="false">
      <c r="A24" s="10" t="n">
        <f aca="false">A23+1</f>
        <v>10</v>
      </c>
      <c r="B24" s="357" t="n">
        <v>6908.72</v>
      </c>
      <c r="C24" s="94" t="n">
        <v>316899</v>
      </c>
      <c r="D24" s="103" t="n">
        <f aca="false">C24-C23</f>
        <v>1540</v>
      </c>
      <c r="E24" s="94" t="n">
        <f aca="false">C24-152000</f>
        <v>164899</v>
      </c>
      <c r="F24" s="141" t="n">
        <f aca="false">D24/$D$2</f>
        <v>776.405344088732</v>
      </c>
      <c r="G24" s="134" t="n">
        <v>902</v>
      </c>
      <c r="H24" s="134" t="n">
        <v>28</v>
      </c>
      <c r="I24" s="134" t="n">
        <f aca="false">G24+H24</f>
        <v>930</v>
      </c>
      <c r="J24" s="366" t="n">
        <f aca="false">IF(L24&gt;0,L24,0)</f>
        <v>17.405344088732</v>
      </c>
      <c r="K24" s="134" t="n">
        <f aca="false">I24+J24</f>
        <v>947.405344088732</v>
      </c>
      <c r="L24" s="134" t="n">
        <f aca="false">F24-(I24-AK24)</f>
        <v>17.405344088732</v>
      </c>
      <c r="M24" s="137" t="n">
        <v>120</v>
      </c>
      <c r="N24" s="158" t="n">
        <f aca="false">(1.8299*1.03)/2</f>
        <v>0.9423985</v>
      </c>
      <c r="O24" s="367" t="n">
        <f aca="false">91*1.05</f>
        <v>95.55</v>
      </c>
      <c r="P24" s="83" t="n">
        <v>0</v>
      </c>
      <c r="Q24" s="336" t="n">
        <f aca="false">1156500/325851/1.9835*1.02</f>
        <v>1.82513311906002</v>
      </c>
      <c r="R24" s="131" t="n">
        <f aca="false">(2.7*1.04)-T24</f>
        <v>2.24224832</v>
      </c>
      <c r="S24" s="131" t="n">
        <v>0</v>
      </c>
      <c r="T24" s="131" t="n">
        <f aca="false">(0.5132*1.06)*1.04</f>
        <v>0.56575168</v>
      </c>
      <c r="U24" s="355" t="n">
        <v>0</v>
      </c>
      <c r="V24" s="134" t="n">
        <v>0</v>
      </c>
      <c r="W24" s="134" t="n">
        <v>0</v>
      </c>
      <c r="X24" s="135" t="n">
        <f aca="false">M24-N24-O24-P24-Q24-R24-S24-T24-U24+V24+W24-AT24</f>
        <v>18.87446838094</v>
      </c>
      <c r="Y24" s="135" t="n">
        <f aca="false">X24-AO24</f>
        <v>18.87446838094</v>
      </c>
      <c r="Z24" s="107" t="n">
        <f aca="false">Z23+AP24</f>
        <v>6386.58234442512</v>
      </c>
      <c r="AA24" s="135"/>
      <c r="AB24" s="107" t="n">
        <f aca="false">AB23+(Y24+AP24)*1.9835</f>
        <v>13139.621241728</v>
      </c>
      <c r="AC24" s="150" t="n">
        <f aca="false">AC23-(AQ23/1.9835)</f>
        <v>1704.72337769471</v>
      </c>
      <c r="AD24" s="97"/>
      <c r="AE24" s="134"/>
      <c r="AF24" s="137" t="n">
        <v>1.7</v>
      </c>
      <c r="AG24" s="138" t="n">
        <v>1.3</v>
      </c>
      <c r="AH24" s="134" t="n">
        <v>51</v>
      </c>
      <c r="AI24" s="80" t="n">
        <f aca="false">AI23-AH24</f>
        <v>15521.2578774893</v>
      </c>
      <c r="AJ24" s="97"/>
      <c r="AK24" s="134" t="n">
        <f aca="false">N24+O24+P24+Q24+R24+S24+T24+U24+X24+AE24+AH24</f>
        <v>171</v>
      </c>
      <c r="AL24" s="134" t="n">
        <f aca="false">IF(L24&lt;0,L24*-1,0)</f>
        <v>0</v>
      </c>
      <c r="AM24" s="367" t="n">
        <f aca="false">AK24+AL24</f>
        <v>171</v>
      </c>
      <c r="AN24" s="369" t="n">
        <v>0</v>
      </c>
      <c r="AO24" s="97"/>
      <c r="AP24" s="150" t="n">
        <f aca="false">795-X24</f>
        <v>776.12553161906</v>
      </c>
      <c r="AQ24" s="147" t="n">
        <f aca="false">34.18*(Z24*1.9835+AC24*1.9835)/E24</f>
        <v>3.32663269926445</v>
      </c>
      <c r="AR24" s="147"/>
      <c r="AS24" s="101"/>
      <c r="AT24" s="11" t="n">
        <v>0</v>
      </c>
      <c r="AU24" s="1"/>
      <c r="AV24" s="102" t="n">
        <v>0</v>
      </c>
      <c r="AW24" s="103" t="n">
        <v>73</v>
      </c>
      <c r="AX24" s="103" t="n">
        <v>39</v>
      </c>
      <c r="AY24" s="294"/>
      <c r="AZ24" s="250" t="n">
        <f aca="false">SUM(N24,P24:U24)</f>
        <v>5.57553161906002</v>
      </c>
    </row>
    <row r="25" customFormat="false" ht="12.95" hidden="false" customHeight="true" outlineLevel="0" collapsed="false">
      <c r="A25" s="10" t="n">
        <f aca="false">A24+1</f>
        <v>11</v>
      </c>
      <c r="B25" s="357" t="n">
        <v>6909.14</v>
      </c>
      <c r="C25" s="94" t="n">
        <v>318563</v>
      </c>
      <c r="D25" s="103" t="n">
        <f aca="false">C25-C24</f>
        <v>1664</v>
      </c>
      <c r="E25" s="94" t="n">
        <f aca="false">C25-152000</f>
        <v>166563</v>
      </c>
      <c r="F25" s="141" t="n">
        <f aca="false">D25/$D$2</f>
        <v>838.921099067305</v>
      </c>
      <c r="G25" s="134" t="n">
        <v>985</v>
      </c>
      <c r="H25" s="134" t="n">
        <v>27</v>
      </c>
      <c r="I25" s="134" t="n">
        <f aca="false">G25+H25</f>
        <v>1012</v>
      </c>
      <c r="J25" s="366" t="n">
        <f aca="false">IF(L25&gt;0,L25,0)</f>
        <v>17.9210990673052</v>
      </c>
      <c r="K25" s="134" t="n">
        <f aca="false">I25+J25</f>
        <v>1029.92109906731</v>
      </c>
      <c r="L25" s="134" t="n">
        <f aca="false">F25-(I25-AK25)</f>
        <v>17.9210990673052</v>
      </c>
      <c r="M25" s="137" t="n">
        <v>140</v>
      </c>
      <c r="N25" s="158" t="n">
        <f aca="false">(1.8299*1.03)/2</f>
        <v>0.9423985</v>
      </c>
      <c r="O25" s="367" t="n">
        <f aca="false">100*1.05</f>
        <v>105</v>
      </c>
      <c r="P25" s="83" t="n">
        <v>0</v>
      </c>
      <c r="Q25" s="336" t="n">
        <f aca="false">1229600/325851/1.9835*1.02</f>
        <v>1.94049605118564</v>
      </c>
      <c r="R25" s="131" t="n">
        <f aca="false">(2.7*1.04)-T25</f>
        <v>2.24224832</v>
      </c>
      <c r="S25" s="131" t="n">
        <v>0</v>
      </c>
      <c r="T25" s="131" t="n">
        <f aca="false">(0.5132*1.06)*1.04</f>
        <v>0.56575168</v>
      </c>
      <c r="U25" s="355" t="n">
        <v>0</v>
      </c>
      <c r="V25" s="134" t="n">
        <v>0</v>
      </c>
      <c r="W25" s="134" t="n">
        <v>0</v>
      </c>
      <c r="X25" s="135" t="n">
        <f aca="false">M25-N25-O25-P25-Q25-R25-S25-T25-U25+V25+W25-AT25</f>
        <v>29.3091054488144</v>
      </c>
      <c r="Y25" s="135" t="n">
        <f aca="false">X25-AO25</f>
        <v>29.3091054488144</v>
      </c>
      <c r="Z25" s="107" t="n">
        <f aca="false">Z24+AP25</f>
        <v>7152.27323897631</v>
      </c>
      <c r="AA25" s="135"/>
      <c r="AB25" s="107" t="n">
        <f aca="false">AB24+(Y25+AP25)*1.9835</f>
        <v>14716.503741728</v>
      </c>
      <c r="AC25" s="150" t="n">
        <f aca="false">AC24-(AQ24/1.9835)</f>
        <v>1703.04622483398</v>
      </c>
      <c r="AD25" s="97"/>
      <c r="AE25" s="134"/>
      <c r="AF25" s="137" t="n">
        <v>1.7</v>
      </c>
      <c r="AG25" s="138" t="n">
        <v>1.3</v>
      </c>
      <c r="AH25" s="134" t="n">
        <v>51</v>
      </c>
      <c r="AI25" s="80" t="n">
        <f aca="false">AI24-AH25</f>
        <v>15470.2578774893</v>
      </c>
      <c r="AJ25" s="97"/>
      <c r="AK25" s="134" t="n">
        <f aca="false">N25+O25+P25+Q25+R25+S25+T25+U25+X25+AE25+AH25</f>
        <v>191</v>
      </c>
      <c r="AL25" s="134" t="n">
        <f aca="false">IF(L25&lt;0,L25*-1,0)</f>
        <v>0</v>
      </c>
      <c r="AM25" s="367" t="n">
        <f aca="false">AK25+AL25</f>
        <v>191</v>
      </c>
      <c r="AN25" s="369" t="n">
        <v>0</v>
      </c>
      <c r="AO25" s="97"/>
      <c r="AP25" s="150" t="n">
        <f aca="false">795-X25</f>
        <v>765.690894551186</v>
      </c>
      <c r="AQ25" s="147" t="n">
        <f aca="false">34.18*(Z25*1.9835+AC25*1.9835)/E25</f>
        <v>3.60437494538443</v>
      </c>
      <c r="AR25" s="147"/>
      <c r="AS25" s="101"/>
      <c r="AT25" s="11" t="n">
        <v>0</v>
      </c>
      <c r="AU25" s="1"/>
      <c r="AV25" s="102" t="n">
        <v>0</v>
      </c>
      <c r="AW25" s="103" t="n">
        <v>73</v>
      </c>
      <c r="AX25" s="103" t="n">
        <v>41</v>
      </c>
      <c r="AY25" s="294"/>
      <c r="AZ25" s="250" t="n">
        <f aca="false">SUM(N25,P25:U25)</f>
        <v>5.69089455118564</v>
      </c>
    </row>
    <row r="26" customFormat="false" ht="12.95" hidden="false" customHeight="true" outlineLevel="0" collapsed="false">
      <c r="A26" s="10" t="n">
        <f aca="false">A25+1</f>
        <v>12</v>
      </c>
      <c r="B26" s="357" t="n">
        <v>6909.59</v>
      </c>
      <c r="C26" s="94" t="n">
        <v>320354</v>
      </c>
      <c r="D26" s="103" t="n">
        <f aca="false">C26-C25</f>
        <v>1791</v>
      </c>
      <c r="E26" s="94" t="n">
        <f aca="false">C26-152000</f>
        <v>168354</v>
      </c>
      <c r="F26" s="141" t="n">
        <f aca="false">D26/$D$2</f>
        <v>902.949331988908</v>
      </c>
      <c r="G26" s="134" t="n">
        <v>1050</v>
      </c>
      <c r="H26" s="134" t="n">
        <v>38</v>
      </c>
      <c r="I26" s="134" t="n">
        <f aca="false">G26+H26</f>
        <v>1088</v>
      </c>
      <c r="J26" s="366" t="n">
        <f aca="false">IF(L26&gt;0,L26,0)</f>
        <v>8.94933198890851</v>
      </c>
      <c r="K26" s="134" t="n">
        <f aca="false">I26+J26</f>
        <v>1096.94933198891</v>
      </c>
      <c r="L26" s="134" t="n">
        <f aca="false">F26-(I26-AK26)</f>
        <v>8.94933198890851</v>
      </c>
      <c r="M26" s="137" t="n">
        <v>143</v>
      </c>
      <c r="N26" s="158" t="n">
        <f aca="false">(1.8299*1.03)/2</f>
        <v>0.9423985</v>
      </c>
      <c r="O26" s="367" t="n">
        <f aca="false">107*1.05</f>
        <v>112.35</v>
      </c>
      <c r="P26" s="83" t="n">
        <v>0</v>
      </c>
      <c r="Q26" s="336" t="n">
        <f aca="false">795700/325851/1.9835*1.02</f>
        <v>1.25573577417731</v>
      </c>
      <c r="R26" s="131" t="n">
        <f aca="false">(2.9*1.04)-T26</f>
        <v>2.45024832</v>
      </c>
      <c r="S26" s="131" t="n">
        <v>0</v>
      </c>
      <c r="T26" s="131" t="n">
        <f aca="false">(0.5132*1.06)*1.04</f>
        <v>0.56575168</v>
      </c>
      <c r="U26" s="355" t="n">
        <v>0</v>
      </c>
      <c r="V26" s="134" t="n">
        <v>0</v>
      </c>
      <c r="W26" s="134" t="n">
        <v>0</v>
      </c>
      <c r="X26" s="135" t="n">
        <f aca="false">M26-N26-O26-P26-Q26-R26-S26-T26-U26+V26+W26-AT26</f>
        <v>25.4358657258227</v>
      </c>
      <c r="Y26" s="135" t="n">
        <f aca="false">X26-AO26</f>
        <v>25.4358657258227</v>
      </c>
      <c r="Z26" s="107" t="n">
        <f aca="false">Z25+AP26</f>
        <v>7921.83737325048</v>
      </c>
      <c r="AA26" s="135"/>
      <c r="AB26" s="107" t="n">
        <f aca="false">AB25+(Y26+AP26)*1.9835</f>
        <v>16293.386241728</v>
      </c>
      <c r="AC26" s="150" t="n">
        <f aca="false">AC25-(AQ25/1.9835)</f>
        <v>1701.22904563288</v>
      </c>
      <c r="AD26" s="97"/>
      <c r="AE26" s="134"/>
      <c r="AF26" s="137" t="n">
        <v>1.7</v>
      </c>
      <c r="AG26" s="138" t="n">
        <v>1.3</v>
      </c>
      <c r="AH26" s="134" t="n">
        <v>51</v>
      </c>
      <c r="AI26" s="80" t="n">
        <f aca="false">AI25-AH26</f>
        <v>15419.2578774893</v>
      </c>
      <c r="AJ26" s="97"/>
      <c r="AK26" s="134" t="n">
        <f aca="false">N26+O26+P26+Q26+R26+S26+T26+U26+X26+AE26+AH26</f>
        <v>194</v>
      </c>
      <c r="AL26" s="134" t="n">
        <f aca="false">IF(L26&lt;0,L26*-1,0)</f>
        <v>0</v>
      </c>
      <c r="AM26" s="367" t="n">
        <f aca="false">AK26+AL26</f>
        <v>194</v>
      </c>
      <c r="AN26" s="369" t="n">
        <f aca="false">AN25</f>
        <v>0</v>
      </c>
      <c r="AO26" s="97"/>
      <c r="AP26" s="150" t="n">
        <f aca="false">795-X26</f>
        <v>769.564134274177</v>
      </c>
      <c r="AQ26" s="147" t="n">
        <f aca="false">34.18*(Z26*1.9835+AC26*1.9835)/E26</f>
        <v>3.87520165619236</v>
      </c>
      <c r="AR26" s="147"/>
      <c r="AS26" s="101"/>
      <c r="AT26" s="11" t="n">
        <v>0</v>
      </c>
      <c r="AU26" s="1"/>
      <c r="AV26" s="102" t="n">
        <v>0.12</v>
      </c>
      <c r="AW26" s="103" t="n">
        <v>51</v>
      </c>
      <c r="AX26" s="103" t="n">
        <v>31</v>
      </c>
      <c r="AY26" s="294"/>
      <c r="AZ26" s="250" t="n">
        <f aca="false">SUM(N26,P26:U26)</f>
        <v>5.21413427417731</v>
      </c>
    </row>
    <row r="27" customFormat="false" ht="12.95" hidden="false" customHeight="true" outlineLevel="0" collapsed="false">
      <c r="A27" s="10" t="n">
        <f aca="false">A26+1</f>
        <v>13</v>
      </c>
      <c r="B27" s="357" t="n">
        <v>6909.91</v>
      </c>
      <c r="C27" s="94" t="n">
        <v>321628</v>
      </c>
      <c r="D27" s="103" t="n">
        <f aca="false">C27-C26</f>
        <v>1274</v>
      </c>
      <c r="E27" s="94" t="n">
        <f aca="false">C27-152000</f>
        <v>169628</v>
      </c>
      <c r="F27" s="141" t="n">
        <f aca="false">D27/$D$2</f>
        <v>642.298966473406</v>
      </c>
      <c r="G27" s="134" t="n">
        <v>765</v>
      </c>
      <c r="H27" s="134" t="n">
        <v>11</v>
      </c>
      <c r="I27" s="134" t="n">
        <f aca="false">G27+H27</f>
        <v>776</v>
      </c>
      <c r="J27" s="366" t="n">
        <f aca="false">IF(L27&gt;0,L27,0)</f>
        <v>52.2989664734056</v>
      </c>
      <c r="K27" s="134" t="n">
        <f aca="false">I27+J27</f>
        <v>828.298966473406</v>
      </c>
      <c r="L27" s="134" t="n">
        <f aca="false">F27-(I27-AK27)</f>
        <v>52.2989664734056</v>
      </c>
      <c r="M27" s="137" t="n">
        <v>135</v>
      </c>
      <c r="N27" s="158" t="n">
        <f aca="false">(1.8299*1.03)/2</f>
        <v>0.9423985</v>
      </c>
      <c r="O27" s="367" t="n">
        <f aca="false">100*1.05</f>
        <v>105</v>
      </c>
      <c r="P27" s="83" t="n">
        <v>0</v>
      </c>
      <c r="Q27" s="336" t="n">
        <f aca="false">992500/325851/1.9835*1.02</f>
        <v>1.56631614411333</v>
      </c>
      <c r="R27" s="131" t="n">
        <f aca="false">(2.9*1.04)-T27</f>
        <v>2.31895248</v>
      </c>
      <c r="S27" s="131" t="n">
        <v>0</v>
      </c>
      <c r="T27" s="131" t="n">
        <f aca="false">(0.6323*1.06)*1.04</f>
        <v>0.69704752</v>
      </c>
      <c r="U27" s="355" t="n">
        <v>0</v>
      </c>
      <c r="V27" s="134" t="n">
        <v>0</v>
      </c>
      <c r="W27" s="134" t="n">
        <v>0</v>
      </c>
      <c r="X27" s="135" t="n">
        <f aca="false">M27-N27-O27-P27-Q27-R27-S27-T27-U27+V27+W27-AT27</f>
        <v>24.4752853558867</v>
      </c>
      <c r="Y27" s="135" t="n">
        <f aca="false">X27-AO27</f>
        <v>24.4752853558867</v>
      </c>
      <c r="Z27" s="107" t="n">
        <f aca="false">Z26+AP27</f>
        <v>8667.77681927048</v>
      </c>
      <c r="AA27" s="135"/>
      <c r="AB27" s="107" t="n">
        <f aca="false">AB26+(Y27+AP27)*1.9835</f>
        <v>17821.503861412</v>
      </c>
      <c r="AC27" s="150" t="n">
        <f aca="false">AC26-(AQ26/1.9835)</f>
        <v>1699.27532662295</v>
      </c>
      <c r="AD27" s="97"/>
      <c r="AE27" s="134"/>
      <c r="AF27" s="137" t="n">
        <v>1.7</v>
      </c>
      <c r="AG27" s="138" t="n">
        <v>1.3</v>
      </c>
      <c r="AH27" s="134" t="n">
        <v>51</v>
      </c>
      <c r="AI27" s="80" t="n">
        <f aca="false">AI26-AH27</f>
        <v>15368.2578774893</v>
      </c>
      <c r="AJ27" s="97"/>
      <c r="AK27" s="134" t="n">
        <f aca="false">N27+O27+P27+Q27+R27+S27+T27+U27+X27+AE27+AH27</f>
        <v>186</v>
      </c>
      <c r="AL27" s="134" t="n">
        <f aca="false">IF(L27&lt;0,L27*-1,0)</f>
        <v>0</v>
      </c>
      <c r="AM27" s="367" t="n">
        <f aca="false">AK27+AL27</f>
        <v>186</v>
      </c>
      <c r="AN27" s="369" t="n">
        <f aca="false">AN26</f>
        <v>0</v>
      </c>
      <c r="AO27" s="97"/>
      <c r="AP27" s="150" t="n">
        <f aca="false">I27-Q27-R27-X27-AF27</f>
        <v>745.93944602</v>
      </c>
      <c r="AQ27" s="147" t="n">
        <f aca="false">34.18*(Z27*1.9835+AC27*1.9835)/E27</f>
        <v>4.14344906674933</v>
      </c>
      <c r="AR27" s="147"/>
      <c r="AS27" s="101"/>
      <c r="AT27" s="11" t="n">
        <v>0</v>
      </c>
      <c r="AU27" s="1"/>
      <c r="AV27" s="102" t="n">
        <v>0</v>
      </c>
      <c r="AW27" s="103" t="n">
        <v>50</v>
      </c>
      <c r="AX27" s="103" t="n">
        <v>28</v>
      </c>
      <c r="AY27" s="294"/>
      <c r="AZ27" s="250" t="n">
        <f aca="false">SUM(N27,P27:U27)</f>
        <v>5.52471464411333</v>
      </c>
    </row>
    <row r="28" customFormat="false" ht="12.95" hidden="false" customHeight="true" outlineLevel="0" collapsed="false">
      <c r="A28" s="10" t="n">
        <f aca="false">A27+1</f>
        <v>14</v>
      </c>
      <c r="B28" s="357" t="n">
        <v>6910.16</v>
      </c>
      <c r="C28" s="94" t="n">
        <v>322629</v>
      </c>
      <c r="D28" s="103" t="n">
        <f aca="false">C28-C27</f>
        <v>1001</v>
      </c>
      <c r="E28" s="94" t="n">
        <f aca="false">C28-152000</f>
        <v>170629</v>
      </c>
      <c r="F28" s="141" t="n">
        <f aca="false">D28/$D$2</f>
        <v>504.663473657676</v>
      </c>
      <c r="G28" s="134" t="n">
        <v>625</v>
      </c>
      <c r="H28" s="134" t="n">
        <v>5.7</v>
      </c>
      <c r="I28" s="134" t="n">
        <f aca="false">G28+H28</f>
        <v>630.7</v>
      </c>
      <c r="J28" s="366" t="n">
        <f aca="false">IF(L28&gt;0,L28,0)</f>
        <v>51.9634736576758</v>
      </c>
      <c r="K28" s="134" t="n">
        <f aca="false">I28+J28</f>
        <v>682.663473657676</v>
      </c>
      <c r="L28" s="134" t="n">
        <f aca="false">F28-(I28-AK28)</f>
        <v>51.9634736576758</v>
      </c>
      <c r="M28" s="137" t="n">
        <v>127</v>
      </c>
      <c r="N28" s="158" t="n">
        <f aca="false">(1.8299*1.03)/2</f>
        <v>0.9423985</v>
      </c>
      <c r="O28" s="367" t="n">
        <f aca="false">99*1.05</f>
        <v>103.95</v>
      </c>
      <c r="P28" s="83" t="n">
        <v>0</v>
      </c>
      <c r="Q28" s="336" t="n">
        <f aca="false">1069600/325851/1.9835*1.02</f>
        <v>1.687991685384</v>
      </c>
      <c r="R28" s="131" t="n">
        <f aca="false">(2.9*1.04)-T28</f>
        <v>2.31895248</v>
      </c>
      <c r="S28" s="131" t="n">
        <v>0</v>
      </c>
      <c r="T28" s="131" t="n">
        <f aca="false">(0.6323*1.06)*1.04</f>
        <v>0.69704752</v>
      </c>
      <c r="U28" s="355" t="n">
        <v>0</v>
      </c>
      <c r="V28" s="134" t="n">
        <v>0</v>
      </c>
      <c r="W28" s="134" t="n">
        <v>0</v>
      </c>
      <c r="X28" s="135" t="n">
        <f aca="false">M28-N28-O28-P28-Q28-R28-S28-T28-U28+V28+W28-AT28</f>
        <v>17.403609814616</v>
      </c>
      <c r="Y28" s="135" t="n">
        <f aca="false">X28-AO28</f>
        <v>17.403609814616</v>
      </c>
      <c r="Z28" s="107" t="n">
        <f aca="false">Z27+AP28</f>
        <v>9275.36626529048</v>
      </c>
      <c r="AA28" s="135"/>
      <c r="AB28" s="107" t="n">
        <f aca="false">AB27+(Y28+AP28)*1.9835</f>
        <v>19061.17758766</v>
      </c>
      <c r="AC28" s="150" t="n">
        <f aca="false">AC27-(AQ27/1.9835)</f>
        <v>1697.18636818244</v>
      </c>
      <c r="AD28" s="97"/>
      <c r="AE28" s="134"/>
      <c r="AF28" s="137" t="n">
        <v>1.7</v>
      </c>
      <c r="AG28" s="138" t="n">
        <v>1.3</v>
      </c>
      <c r="AH28" s="134" t="n">
        <v>51</v>
      </c>
      <c r="AI28" s="80" t="n">
        <f aca="false">AI27-AH28</f>
        <v>15317.2578774893</v>
      </c>
      <c r="AJ28" s="97"/>
      <c r="AK28" s="134" t="n">
        <f aca="false">N28+O28+P28+Q28+R28+S28+T28+U28+X28+AE28+AH28</f>
        <v>178</v>
      </c>
      <c r="AL28" s="134" t="n">
        <f aca="false">IF(L28&lt;0,L28*-1,0)</f>
        <v>0</v>
      </c>
      <c r="AM28" s="367" t="n">
        <f aca="false">AK28+AL28</f>
        <v>178</v>
      </c>
      <c r="AN28" s="369" t="n">
        <f aca="false">AN27</f>
        <v>0</v>
      </c>
      <c r="AO28" s="97"/>
      <c r="AP28" s="150" t="n">
        <f aca="false">I28-Q28-R28-X28-AF28</f>
        <v>607.58944602</v>
      </c>
      <c r="AQ28" s="147" t="n">
        <f aca="false">34.18*(Z28*1.9835+AC28*1.9835)/E28</f>
        <v>4.35972494426803</v>
      </c>
      <c r="AR28" s="147"/>
      <c r="AS28" s="101"/>
      <c r="AT28" s="11" t="n">
        <v>0</v>
      </c>
      <c r="AU28" s="1"/>
      <c r="AV28" s="102" t="n">
        <v>0.04</v>
      </c>
      <c r="AW28" s="140" t="n">
        <v>43</v>
      </c>
      <c r="AX28" s="103" t="n">
        <v>24</v>
      </c>
      <c r="AY28" s="294"/>
      <c r="AZ28" s="250" t="n">
        <f aca="false">SUM(N28,P28:U28)</f>
        <v>5.646390185384</v>
      </c>
    </row>
    <row r="29" customFormat="false" ht="12.95" hidden="false" customHeight="true" outlineLevel="0" collapsed="false">
      <c r="A29" s="10" t="n">
        <f aca="false">A28+1</f>
        <v>15</v>
      </c>
      <c r="B29" s="357" t="n">
        <v>6910.36</v>
      </c>
      <c r="C29" s="94" t="n">
        <v>323431</v>
      </c>
      <c r="D29" s="103" t="n">
        <f aca="false">C29-C28</f>
        <v>802</v>
      </c>
      <c r="E29" s="94" t="n">
        <f aca="false">C29-152000</f>
        <v>171431</v>
      </c>
      <c r="F29" s="141" t="n">
        <f aca="false">D29/$D$2</f>
        <v>404.335770103353</v>
      </c>
      <c r="G29" s="134" t="n">
        <v>519</v>
      </c>
      <c r="H29" s="134" t="n">
        <v>4.6</v>
      </c>
      <c r="I29" s="134" t="n">
        <f aca="false">G29+H29</f>
        <v>523.6</v>
      </c>
      <c r="J29" s="366" t="n">
        <f aca="false">IF(L29&gt;0,L29,0)</f>
        <v>49.7357701033527</v>
      </c>
      <c r="K29" s="134" t="n">
        <f aca="false">I29+J29</f>
        <v>573.335770103353</v>
      </c>
      <c r="L29" s="134" t="n">
        <f aca="false">F29-(I29-AK29)</f>
        <v>49.7357701033527</v>
      </c>
      <c r="M29" s="137" t="n">
        <v>119</v>
      </c>
      <c r="N29" s="158" t="n">
        <f aca="false">(1.8299*1.03)/2</f>
        <v>0.9423985</v>
      </c>
      <c r="O29" s="367" t="n">
        <f aca="false">102*1.05</f>
        <v>107.1</v>
      </c>
      <c r="P29" s="83" t="n">
        <v>0</v>
      </c>
      <c r="Q29" s="336" t="n">
        <f aca="false">1091900/325851/1.9835*1.02</f>
        <v>1.7231844813676</v>
      </c>
      <c r="R29" s="131" t="n">
        <f aca="false">(2.9*1.04)-T29</f>
        <v>2.31895248</v>
      </c>
      <c r="S29" s="131" t="n">
        <v>0</v>
      </c>
      <c r="T29" s="131" t="n">
        <f aca="false">(0.6323*1.06)*1.04</f>
        <v>0.69704752</v>
      </c>
      <c r="U29" s="355" t="n">
        <v>0</v>
      </c>
      <c r="V29" s="134" t="n">
        <v>0</v>
      </c>
      <c r="W29" s="134" t="n">
        <v>0</v>
      </c>
      <c r="X29" s="135" t="n">
        <f aca="false">M29-N29-O29-P29-Q29-R29-S29-T29-U29+V29+W29-AT29</f>
        <v>6.21841701863239</v>
      </c>
      <c r="Y29" s="135" t="n">
        <f aca="false">X29-AO29</f>
        <v>6.21841701863239</v>
      </c>
      <c r="Z29" s="107" t="n">
        <f aca="false">Z28+AP29</f>
        <v>9787.00571131048</v>
      </c>
      <c r="AA29" s="135"/>
      <c r="AB29" s="107" t="n">
        <f aca="false">AB28+(Y29+AP29)*1.9835</f>
        <v>20088.3486589971</v>
      </c>
      <c r="AC29" s="150" t="n">
        <f aca="false">AC28-(AQ28/1.9835)</f>
        <v>1694.98837224381</v>
      </c>
      <c r="AD29" s="97"/>
      <c r="AE29" s="134"/>
      <c r="AF29" s="137" t="n">
        <v>1.7</v>
      </c>
      <c r="AG29" s="138" t="n">
        <v>1.3</v>
      </c>
      <c r="AH29" s="134" t="n">
        <v>50</v>
      </c>
      <c r="AI29" s="80" t="n">
        <f aca="false">AI28-AH29</f>
        <v>15267.2578774893</v>
      </c>
      <c r="AJ29" s="97"/>
      <c r="AK29" s="134" t="n">
        <f aca="false">N29+O29+P29+Q29+R29+S29+T29+U29+X29+AE29+AH29</f>
        <v>169</v>
      </c>
      <c r="AL29" s="134" t="n">
        <f aca="false">IF(L29&lt;0,L29*-1,0)</f>
        <v>0</v>
      </c>
      <c r="AM29" s="367" t="n">
        <f aca="false">AK29+AL29</f>
        <v>169</v>
      </c>
      <c r="AN29" s="369" t="n">
        <f aca="false">AN28</f>
        <v>0</v>
      </c>
      <c r="AO29" s="97"/>
      <c r="AP29" s="150" t="n">
        <f aca="false">I29-Q29-R29-X29-AF29</f>
        <v>511.63944602</v>
      </c>
      <c r="AQ29" s="147" t="n">
        <f aca="false">34.18*(Z29*1.9835+AC29*1.9835)/E29</f>
        <v>4.54079842822167</v>
      </c>
      <c r="AR29" s="147"/>
      <c r="AS29" s="101"/>
      <c r="AT29" s="11" t="n">
        <v>0</v>
      </c>
      <c r="AU29" s="1"/>
      <c r="AV29" s="102" t="n">
        <v>0.16</v>
      </c>
      <c r="AW29" s="140" t="n">
        <v>51</v>
      </c>
      <c r="AX29" s="103" t="n">
        <v>27</v>
      </c>
      <c r="AY29" s="294"/>
      <c r="AZ29" s="250" t="n">
        <f aca="false">SUM(N29,P29:U29)</f>
        <v>5.6815829813676</v>
      </c>
    </row>
    <row r="30" customFormat="false" ht="12.95" hidden="false" customHeight="true" outlineLevel="0" collapsed="false">
      <c r="A30" s="10" t="n">
        <f aca="false">A29+1</f>
        <v>16</v>
      </c>
      <c r="B30" s="357" t="n">
        <v>6910.52</v>
      </c>
      <c r="C30" s="94" t="n">
        <v>324073</v>
      </c>
      <c r="D30" s="103" t="n">
        <f aca="false">C30-C29</f>
        <v>642</v>
      </c>
      <c r="E30" s="94" t="n">
        <f aca="false">C30-152000</f>
        <v>172073</v>
      </c>
      <c r="F30" s="141" t="n">
        <f aca="false">D30/$D$2</f>
        <v>323.670279808419</v>
      </c>
      <c r="G30" s="134" t="n">
        <v>466</v>
      </c>
      <c r="H30" s="134" t="n">
        <v>4.1</v>
      </c>
      <c r="I30" s="134" t="n">
        <f aca="false">G30+H30</f>
        <v>470.1</v>
      </c>
      <c r="J30" s="366" t="n">
        <f aca="false">IF(L30&gt;0,L30,0)</f>
        <v>65.5702798084195</v>
      </c>
      <c r="K30" s="134" t="n">
        <f aca="false">I30+J30</f>
        <v>535.67027980842</v>
      </c>
      <c r="L30" s="134" t="n">
        <f aca="false">F30-(I30-AK30)</f>
        <v>65.5702798084195</v>
      </c>
      <c r="M30" s="137" t="n">
        <v>138</v>
      </c>
      <c r="N30" s="158" t="n">
        <f aca="false">(1.8299*1.03)/2</f>
        <v>0.9423985</v>
      </c>
      <c r="O30" s="367" t="n">
        <f aca="false">105*1.05</f>
        <v>110.25</v>
      </c>
      <c r="P30" s="83" t="n">
        <v>0</v>
      </c>
      <c r="Q30" s="336" t="n">
        <f aca="false">1088200/325851/1.9835*1.02</f>
        <v>1.71734531790844</v>
      </c>
      <c r="R30" s="131" t="n">
        <f aca="false">(2.9*1.04)-T30</f>
        <v>2.31895248</v>
      </c>
      <c r="S30" s="131" t="n">
        <v>0</v>
      </c>
      <c r="T30" s="131" t="n">
        <f aca="false">(0.6323*1.06)*1.04</f>
        <v>0.69704752</v>
      </c>
      <c r="U30" s="355" t="n">
        <v>0</v>
      </c>
      <c r="V30" s="134" t="n">
        <v>24</v>
      </c>
      <c r="W30" s="134" t="n">
        <v>0</v>
      </c>
      <c r="X30" s="135" t="n">
        <f aca="false">M30-N30-O30-P30-Q30-R30-S30-T30-U30+V30+W30-AT30</f>
        <v>46.0742561820916</v>
      </c>
      <c r="Y30" s="135" t="n">
        <f aca="false">X30-AO30</f>
        <v>-0.155743817908437</v>
      </c>
      <c r="Z30" s="107" t="n">
        <f aca="false">Z29+AP30</f>
        <v>10205.2951573305</v>
      </c>
      <c r="AA30" s="135"/>
      <c r="AB30" s="107" t="n">
        <f aca="false">AB29+(Y30+AP30)*1.9835</f>
        <v>20917.716857315</v>
      </c>
      <c r="AC30" s="150" t="n">
        <f aca="false">AC29-(AQ29/1.9835)</f>
        <v>1692.69908642167</v>
      </c>
      <c r="AD30" s="97"/>
      <c r="AE30" s="134"/>
      <c r="AF30" s="137" t="n">
        <v>1.7</v>
      </c>
      <c r="AG30" s="138" t="n">
        <v>1.3</v>
      </c>
      <c r="AH30" s="134" t="n">
        <v>50</v>
      </c>
      <c r="AI30" s="80" t="n">
        <f aca="false">AI29-AH30</f>
        <v>15217.2578774893</v>
      </c>
      <c r="AJ30" s="97"/>
      <c r="AK30" s="134" t="n">
        <f aca="false">N30+O30+P30+Q30+R30+S30+T30+U30+X30+AE30+AH30</f>
        <v>212</v>
      </c>
      <c r="AL30" s="134" t="n">
        <f aca="false">IF(L30&lt;0,L30*-1,0)</f>
        <v>0</v>
      </c>
      <c r="AM30" s="367" t="n">
        <f aca="false">AK30+AL30</f>
        <v>212</v>
      </c>
      <c r="AN30" s="369" t="n">
        <f aca="false">AN29</f>
        <v>0</v>
      </c>
      <c r="AO30" s="97" t="n">
        <f aca="false">V30+13.97+8.26</f>
        <v>46.23</v>
      </c>
      <c r="AP30" s="150" t="n">
        <f aca="false">I30-Q30-R30-X30-AF30</f>
        <v>418.28944602</v>
      </c>
      <c r="AQ30" s="147" t="n">
        <f aca="false">34.18*(Z30*1.9835+AC30*1.9835)/E30</f>
        <v>4.68775911787002</v>
      </c>
      <c r="AR30" s="147"/>
      <c r="AS30" s="101"/>
      <c r="AT30" s="11" t="n">
        <v>0</v>
      </c>
      <c r="AU30" s="1"/>
      <c r="AV30" s="102" t="n">
        <v>0</v>
      </c>
      <c r="AW30" s="140" t="n">
        <v>55</v>
      </c>
      <c r="AX30" s="103" t="n">
        <v>28</v>
      </c>
      <c r="AY30" s="294"/>
      <c r="AZ30" s="250" t="n">
        <f aca="false">SUM(N30,P30:U30)</f>
        <v>5.67574381790844</v>
      </c>
    </row>
    <row r="31" customFormat="false" ht="12.95" hidden="false" customHeight="true" outlineLevel="0" collapsed="false">
      <c r="A31" s="10" t="n">
        <f aca="false">A30+1</f>
        <v>17</v>
      </c>
      <c r="B31" s="357" t="n">
        <v>6910.66</v>
      </c>
      <c r="C31" s="94" t="n">
        <v>324635</v>
      </c>
      <c r="D31" s="103" t="n">
        <f aca="false">C31-C30</f>
        <v>562</v>
      </c>
      <c r="E31" s="94" t="n">
        <f aca="false">C31-152000</f>
        <v>172635</v>
      </c>
      <c r="F31" s="141" t="n">
        <f aca="false">D31/$D$2</f>
        <v>283.337534660953</v>
      </c>
      <c r="G31" s="134" t="n">
        <v>427</v>
      </c>
      <c r="H31" s="134" t="n">
        <v>3.7</v>
      </c>
      <c r="I31" s="134" t="n">
        <f aca="false">G31+H31</f>
        <v>430.7</v>
      </c>
      <c r="J31" s="366" t="n">
        <f aca="false">IF(L31&gt;0,L31,0)</f>
        <v>44.6375346609529</v>
      </c>
      <c r="K31" s="134" t="n">
        <f aca="false">I31+J31</f>
        <v>475.337534660953</v>
      </c>
      <c r="L31" s="134" t="n">
        <f aca="false">F31-(I31-AK31)</f>
        <v>44.6375346609529</v>
      </c>
      <c r="M31" s="137" t="n">
        <v>115</v>
      </c>
      <c r="N31" s="158" t="n">
        <f aca="false">(1.8299*1.03)/2</f>
        <v>0.9423985</v>
      </c>
      <c r="O31" s="367" t="n">
        <f aca="false">77*1.05</f>
        <v>80.85</v>
      </c>
      <c r="P31" s="83" t="n">
        <v>0</v>
      </c>
      <c r="Q31" s="336" t="n">
        <f aca="false">982700/325851/1.9835*1.02</f>
        <v>1.55085025170798</v>
      </c>
      <c r="R31" s="131" t="n">
        <f aca="false">(2.9*1.04)-T31</f>
        <v>2.31895248</v>
      </c>
      <c r="S31" s="131" t="n">
        <v>0</v>
      </c>
      <c r="T31" s="131" t="n">
        <f aca="false">(0.6323*1.06)*1.04</f>
        <v>0.69704752</v>
      </c>
      <c r="U31" s="355" t="n">
        <v>0</v>
      </c>
      <c r="V31" s="134" t="n">
        <v>14</v>
      </c>
      <c r="W31" s="134" t="n">
        <v>13</v>
      </c>
      <c r="X31" s="135" t="n">
        <f aca="false">M31-N31-O31-P31-Q31-R31-S31-T31-U31+V31+W31-AT31</f>
        <v>55.640751248292</v>
      </c>
      <c r="Y31" s="135" t="n">
        <f aca="false">X31-AO31</f>
        <v>1.44075124829202</v>
      </c>
      <c r="Z31" s="107" t="n">
        <f aca="false">Z30+AP31</f>
        <v>10574.7846033505</v>
      </c>
      <c r="AA31" s="135"/>
      <c r="AB31" s="107" t="n">
        <f aca="false">AB30+(Y31+AP31)*1.9835</f>
        <v>21653.4569035966</v>
      </c>
      <c r="AC31" s="150" t="n">
        <f aca="false">AC30-(AQ30/1.9835)</f>
        <v>1690.335708999</v>
      </c>
      <c r="AD31" s="97"/>
      <c r="AE31" s="134"/>
      <c r="AF31" s="137" t="n">
        <v>1.7</v>
      </c>
      <c r="AG31" s="138" t="n">
        <v>1.3</v>
      </c>
      <c r="AH31" s="134" t="n">
        <v>50</v>
      </c>
      <c r="AI31" s="80" t="n">
        <f aca="false">AI30-AH31</f>
        <v>15167.2578774893</v>
      </c>
      <c r="AJ31" s="97"/>
      <c r="AK31" s="134" t="n">
        <f aca="false">N31+O31+P31+Q31+R31+S31+T31+U31+X31+AE31+AH31</f>
        <v>192</v>
      </c>
      <c r="AL31" s="134" t="n">
        <f aca="false">IF(L31&lt;0,L31*-1,0)</f>
        <v>0</v>
      </c>
      <c r="AM31" s="367" t="n">
        <f aca="false">AK31+AL31</f>
        <v>192</v>
      </c>
      <c r="AN31" s="369" t="n">
        <f aca="false">AN30</f>
        <v>0</v>
      </c>
      <c r="AO31" s="97" t="n">
        <f aca="false">V31+W31+14+13.2</f>
        <v>54.2</v>
      </c>
      <c r="AP31" s="150" t="n">
        <f aca="false">I31-Q31-R31-X31-AF31</f>
        <v>369.48944602</v>
      </c>
      <c r="AQ31" s="147" t="n">
        <f aca="false">34.18*(Z31*1.9835+AC31*1.9835)/E31</f>
        <v>4.81667370260755</v>
      </c>
      <c r="AR31" s="147"/>
      <c r="AS31" s="101"/>
      <c r="AT31" s="11" t="n">
        <v>0</v>
      </c>
      <c r="AU31" s="1"/>
      <c r="AV31" s="102" t="n">
        <v>0</v>
      </c>
      <c r="AW31" s="140" t="n">
        <v>63</v>
      </c>
      <c r="AX31" s="103" t="n">
        <v>22</v>
      </c>
      <c r="AY31" s="294"/>
      <c r="AZ31" s="250" t="n">
        <f aca="false">SUM(N31,P31:U31)</f>
        <v>5.50924875170798</v>
      </c>
    </row>
    <row r="32" customFormat="false" ht="12.95" hidden="false" customHeight="true" outlineLevel="0" collapsed="false">
      <c r="A32" s="10" t="n">
        <f aca="false">A31+1</f>
        <v>18</v>
      </c>
      <c r="B32" s="357" t="n">
        <v>6910.82</v>
      </c>
      <c r="C32" s="94" t="n">
        <v>325277</v>
      </c>
      <c r="D32" s="103" t="n">
        <f aca="false">C32-C31</f>
        <v>642</v>
      </c>
      <c r="E32" s="94" t="n">
        <f aca="false">C32-152000</f>
        <v>173277</v>
      </c>
      <c r="F32" s="141" t="n">
        <f aca="false">D32/$D$2</f>
        <v>323.670279808419</v>
      </c>
      <c r="G32" s="134" t="n">
        <v>437</v>
      </c>
      <c r="H32" s="134" t="n">
        <v>3.5</v>
      </c>
      <c r="I32" s="134" t="n">
        <f aca="false">G32+H32</f>
        <v>440.5</v>
      </c>
      <c r="J32" s="366" t="n">
        <f aca="false">IF(L32&gt;0,L32,0)</f>
        <v>24.0702798084195</v>
      </c>
      <c r="K32" s="134" t="n">
        <f aca="false">I32+J32</f>
        <v>464.570279808419</v>
      </c>
      <c r="L32" s="134" t="n">
        <f aca="false">F32-(I32-AK32)</f>
        <v>24.0702798084195</v>
      </c>
      <c r="M32" s="137" t="n">
        <v>81</v>
      </c>
      <c r="N32" s="158" t="n">
        <f aca="false">(1.8299*1.03)/2</f>
        <v>0.9423985</v>
      </c>
      <c r="O32" s="367" t="n">
        <f aca="false">23*1.05</f>
        <v>24.15</v>
      </c>
      <c r="P32" s="83" t="n">
        <v>0</v>
      </c>
      <c r="Q32" s="336" t="n">
        <f aca="false">1084600/325851/1.9835*1.02</f>
        <v>1.7116639696779</v>
      </c>
      <c r="R32" s="131" t="n">
        <f aca="false">(2.9*1.04)-T32</f>
        <v>2.31895248</v>
      </c>
      <c r="S32" s="131" t="n">
        <v>0</v>
      </c>
      <c r="T32" s="131" t="n">
        <f aca="false">(0.6323*1.06)*1.04</f>
        <v>0.69704752</v>
      </c>
      <c r="U32" s="355" t="n">
        <v>0</v>
      </c>
      <c r="V32" s="134" t="n">
        <v>0</v>
      </c>
      <c r="W32" s="134" t="n">
        <v>9.9</v>
      </c>
      <c r="X32" s="135" t="n">
        <f aca="false">M32-N32-O32-P32-Q32-R32-S32-T32-U32+V32+W32-AT32</f>
        <v>61.0799375303221</v>
      </c>
      <c r="Y32" s="135" t="n">
        <f aca="false">X32-AO32</f>
        <v>15.0799375303221</v>
      </c>
      <c r="Z32" s="107" t="n">
        <f aca="false">Z31+AP32</f>
        <v>10948.4740493705</v>
      </c>
      <c r="AA32" s="135"/>
      <c r="AB32" s="107" t="n">
        <f aca="false">AB31+(Y32+AP32)*1.9835</f>
        <v>22424.5809758687</v>
      </c>
      <c r="AC32" s="150" t="n">
        <f aca="false">AC31-(AQ31/1.9835)</f>
        <v>1687.90733808768</v>
      </c>
      <c r="AD32" s="97"/>
      <c r="AE32" s="134"/>
      <c r="AF32" s="137" t="n">
        <v>1.7</v>
      </c>
      <c r="AG32" s="138" t="n">
        <v>1.3</v>
      </c>
      <c r="AH32" s="134" t="n">
        <v>50</v>
      </c>
      <c r="AI32" s="80" t="n">
        <f aca="false">AI31-AH32</f>
        <v>15117.2578774893</v>
      </c>
      <c r="AJ32" s="97"/>
      <c r="AK32" s="134" t="n">
        <f aca="false">N32+O32+P32+Q32+R32+S32+T32+U32+X32+AE32+AH32</f>
        <v>140.9</v>
      </c>
      <c r="AL32" s="134" t="n">
        <f aca="false">IF(L32&lt;0,L32*-1,0)</f>
        <v>0</v>
      </c>
      <c r="AM32" s="367" t="n">
        <f aca="false">AK32+AL32</f>
        <v>140.9</v>
      </c>
      <c r="AN32" s="369" t="n">
        <f aca="false">AN31</f>
        <v>0</v>
      </c>
      <c r="AO32" s="97" t="n">
        <f aca="false">V32+W32+18.5+17.6</f>
        <v>46</v>
      </c>
      <c r="AP32" s="150" t="n">
        <f aca="false">I32-Q32-R32-X32-AF32</f>
        <v>373.68944602</v>
      </c>
      <c r="AQ32" s="147" t="n">
        <f aca="false">34.18*(Z32*1.9835+AC32*1.9835)/E32</f>
        <v>4.94408658757686</v>
      </c>
      <c r="AR32" s="147"/>
      <c r="AS32" s="101"/>
      <c r="AT32" s="11" t="n">
        <v>0</v>
      </c>
      <c r="AU32" s="1"/>
      <c r="AV32" s="102" t="n">
        <v>0</v>
      </c>
      <c r="AW32" s="140" t="n">
        <v>68</v>
      </c>
      <c r="AX32" s="103" t="n">
        <v>37</v>
      </c>
      <c r="AY32" s="294"/>
      <c r="AZ32" s="250" t="n">
        <f aca="false">SUM(N32,P32:U32)</f>
        <v>5.6700624696779</v>
      </c>
    </row>
    <row r="33" customFormat="false" ht="12.95" hidden="false" customHeight="true" outlineLevel="0" collapsed="false">
      <c r="A33" s="10" t="n">
        <f aca="false">A32+1</f>
        <v>19</v>
      </c>
      <c r="B33" s="357" t="n">
        <v>6910.99</v>
      </c>
      <c r="C33" s="94" t="n">
        <v>325959</v>
      </c>
      <c r="D33" s="103" t="n">
        <f aca="false">C33-C32</f>
        <v>682</v>
      </c>
      <c r="E33" s="94" t="n">
        <f aca="false">C33-152000</f>
        <v>173959</v>
      </c>
      <c r="F33" s="141" t="n">
        <f aca="false">D33/$D$2</f>
        <v>343.836652382153</v>
      </c>
      <c r="G33" s="134" t="n">
        <v>448</v>
      </c>
      <c r="H33" s="134" t="n">
        <v>3.8</v>
      </c>
      <c r="I33" s="134" t="n">
        <f aca="false">G33+H33</f>
        <v>451.8</v>
      </c>
      <c r="J33" s="366" t="n">
        <f aca="false">IF(L33&gt;0,L33,0)</f>
        <v>37.0366523821527</v>
      </c>
      <c r="K33" s="134" t="n">
        <f aca="false">I33+J33</f>
        <v>488.836652382153</v>
      </c>
      <c r="L33" s="134" t="n">
        <f aca="false">F33-(I33-AK33)</f>
        <v>37.0366523821527</v>
      </c>
      <c r="M33" s="137" t="n">
        <v>84</v>
      </c>
      <c r="N33" s="158" t="n">
        <f aca="false">(1.8299*1.03)/2</f>
        <v>0.9423985</v>
      </c>
      <c r="O33" s="367" t="n">
        <f aca="false">14*1.05</f>
        <v>14.7</v>
      </c>
      <c r="P33" s="83" t="n">
        <v>0</v>
      </c>
      <c r="Q33" s="336" t="n">
        <f aca="false">1016300/325851/1.9835*1.02</f>
        <v>1.60387616852632</v>
      </c>
      <c r="R33" s="131" t="n">
        <f aca="false">(2.9*1.04)-T33</f>
        <v>2.31895248</v>
      </c>
      <c r="S33" s="131" t="n">
        <v>0</v>
      </c>
      <c r="T33" s="131" t="n">
        <f aca="false">(0.6323*1.06)*1.04</f>
        <v>0.69704752</v>
      </c>
      <c r="U33" s="355" t="n">
        <v>0</v>
      </c>
      <c r="V33" s="134" t="n">
        <v>0</v>
      </c>
      <c r="W33" s="134" t="n">
        <v>11</v>
      </c>
      <c r="X33" s="135" t="n">
        <f aca="false">M33-N33-O33-P33-Q33-R33-S33-T33-U33+V33+W33-AT33</f>
        <v>74.7377253314737</v>
      </c>
      <c r="Y33" s="135" t="n">
        <f aca="false">X33-AO33</f>
        <v>24.7377253314737</v>
      </c>
      <c r="Z33" s="107" t="n">
        <f aca="false">Z32+AP33</f>
        <v>11319.9134953905</v>
      </c>
      <c r="AA33" s="135"/>
      <c r="AB33" s="107" t="n">
        <f aca="false">AB32+(Y33+AP33)*1.9835</f>
        <v>23210.3983952444</v>
      </c>
      <c r="AC33" s="150" t="n">
        <f aca="false">AC32-(AQ32/1.9835)</f>
        <v>1685.41473078363</v>
      </c>
      <c r="AD33" s="97"/>
      <c r="AE33" s="134"/>
      <c r="AF33" s="137" t="n">
        <v>1.7</v>
      </c>
      <c r="AG33" s="138" t="n">
        <v>1.3</v>
      </c>
      <c r="AH33" s="134" t="n">
        <v>50</v>
      </c>
      <c r="AI33" s="80" t="n">
        <f aca="false">AI32-AH33</f>
        <v>15067.2578774893</v>
      </c>
      <c r="AJ33" s="97"/>
      <c r="AK33" s="134" t="n">
        <f aca="false">N33+O33+P33+Q33+R33+S33+T33+U33+X33+AE33+AH33</f>
        <v>145</v>
      </c>
      <c r="AL33" s="134" t="n">
        <f aca="false">IF(L33&lt;0,L33*-1,0)</f>
        <v>0</v>
      </c>
      <c r="AM33" s="367" t="n">
        <f aca="false">AK33+AL33</f>
        <v>145</v>
      </c>
      <c r="AN33" s="369" t="n">
        <f aca="false">AN32+(V33*1.9835)</f>
        <v>0</v>
      </c>
      <c r="AO33" s="97" t="n">
        <f aca="false">V33+W33+19+20</f>
        <v>50</v>
      </c>
      <c r="AP33" s="150" t="n">
        <f aca="false">I33-Q33-R33-X33-AF33</f>
        <v>371.43944602</v>
      </c>
      <c r="AQ33" s="147" t="n">
        <f aca="false">34.18*(Z33*1.9835+AC33*1.9835)/E33</f>
        <v>5.06849098110214</v>
      </c>
      <c r="AR33" s="147"/>
      <c r="AS33" s="101"/>
      <c r="AT33" s="11" t="n">
        <v>0</v>
      </c>
      <c r="AU33" s="1"/>
      <c r="AV33" s="102" t="n">
        <v>0.03</v>
      </c>
      <c r="AW33" s="140" t="n">
        <v>65</v>
      </c>
      <c r="AX33" s="103" t="n">
        <v>41</v>
      </c>
      <c r="AY33" s="294"/>
      <c r="AZ33" s="250" t="n">
        <f aca="false">SUM(N33,P33:U33)</f>
        <v>5.56227466852632</v>
      </c>
    </row>
    <row r="34" customFormat="false" ht="12.95" hidden="false" customHeight="true" outlineLevel="0" collapsed="false">
      <c r="A34" s="10" t="n">
        <f aca="false">A33+1</f>
        <v>20</v>
      </c>
      <c r="B34" s="357" t="n">
        <v>6911.14</v>
      </c>
      <c r="C34" s="94" t="n">
        <v>326566</v>
      </c>
      <c r="D34" s="103" t="n">
        <f aca="false">C34-C33</f>
        <v>607</v>
      </c>
      <c r="E34" s="94" t="n">
        <f aca="false">C34-152000</f>
        <v>174566</v>
      </c>
      <c r="F34" s="141" t="n">
        <f aca="false">D34/$D$2</f>
        <v>306.024703806403</v>
      </c>
      <c r="G34" s="134" t="n">
        <v>467</v>
      </c>
      <c r="H34" s="134" t="n">
        <v>3.8</v>
      </c>
      <c r="I34" s="134" t="n">
        <f aca="false">G34+H34</f>
        <v>470.8</v>
      </c>
      <c r="J34" s="366" t="n">
        <f aca="false">IF(L34&gt;0,L34,0)</f>
        <v>31.2247038064028</v>
      </c>
      <c r="K34" s="134" t="n">
        <f aca="false">I34+J34</f>
        <v>502.024703806403</v>
      </c>
      <c r="L34" s="134" t="n">
        <f aca="false">F34-(I34-AK34)</f>
        <v>31.2247038064028</v>
      </c>
      <c r="M34" s="137" t="n">
        <v>131</v>
      </c>
      <c r="N34" s="158" t="n">
        <f aca="false">(1.8299*1.03)/2</f>
        <v>0.9423985</v>
      </c>
      <c r="O34" s="367" t="n">
        <f aca="false">38*1.05</f>
        <v>39.9</v>
      </c>
      <c r="P34" s="83" t="n">
        <v>0</v>
      </c>
      <c r="Q34" s="336" t="n">
        <f aca="false">1115600/325851/1.9835*1.02</f>
        <v>1.76058669055197</v>
      </c>
      <c r="R34" s="131" t="n">
        <f aca="false">(2.9*1.04)-T34</f>
        <v>2.13143424</v>
      </c>
      <c r="S34" s="131" t="n">
        <v>0</v>
      </c>
      <c r="T34" s="131" t="n">
        <f aca="false">(0.8024*1.06)*1.04</f>
        <v>0.88456576</v>
      </c>
      <c r="U34" s="355" t="n">
        <v>0</v>
      </c>
      <c r="V34" s="134" t="n">
        <v>0</v>
      </c>
      <c r="W34" s="134" t="n">
        <v>15</v>
      </c>
      <c r="X34" s="135" t="n">
        <f aca="false">M34-N34-O34-P34-Q34-R34-S34-T34-U34+V34+W34-AT34</f>
        <v>100.381014809448</v>
      </c>
      <c r="Y34" s="135" t="n">
        <f aca="false">X34-AO34</f>
        <v>46.381014809448</v>
      </c>
      <c r="Z34" s="107" t="n">
        <f aca="false">Z33+AP34</f>
        <v>11684.7404596505</v>
      </c>
      <c r="AA34" s="135"/>
      <c r="AB34" s="107" t="n">
        <f aca="false">AB33+(Y34+AP34)*1.9835</f>
        <v>24026.0294217286</v>
      </c>
      <c r="AC34" s="150" t="n">
        <f aca="false">AC33-(AQ33/1.9835)</f>
        <v>1682.85940384584</v>
      </c>
      <c r="AD34" s="97"/>
      <c r="AE34" s="134"/>
      <c r="AF34" s="137" t="n">
        <v>1.7</v>
      </c>
      <c r="AG34" s="138" t="n">
        <v>1.3</v>
      </c>
      <c r="AH34" s="134" t="n">
        <v>50</v>
      </c>
      <c r="AI34" s="80" t="n">
        <f aca="false">AI33-AH34</f>
        <v>15017.2578774893</v>
      </c>
      <c r="AJ34" s="97"/>
      <c r="AK34" s="134" t="n">
        <f aca="false">N34+O34+P34+Q34+R34+S34+T34+U34+X34+AE34+AH34</f>
        <v>196</v>
      </c>
      <c r="AL34" s="134" t="n">
        <f aca="false">IF(L34&lt;0,L34*-1,0)</f>
        <v>0</v>
      </c>
      <c r="AM34" s="367" t="n">
        <f aca="false">AK34+AL34</f>
        <v>196</v>
      </c>
      <c r="AN34" s="369" t="n">
        <f aca="false">AN33+(V34*1.9835)</f>
        <v>0</v>
      </c>
      <c r="AO34" s="97" t="n">
        <f aca="false">V34+W34+19+20</f>
        <v>54</v>
      </c>
      <c r="AP34" s="150" t="n">
        <f aca="false">I34-Q34-R34-X34-AF34</f>
        <v>364.82696426</v>
      </c>
      <c r="AQ34" s="147" t="n">
        <f aca="false">34.18*(Z34*1.9835+AC34*1.9835)/E34</f>
        <v>5.19156193859969</v>
      </c>
      <c r="AR34" s="147"/>
      <c r="AS34" s="101"/>
      <c r="AT34" s="11" t="n">
        <v>0</v>
      </c>
      <c r="AU34" s="1"/>
      <c r="AV34" s="102" t="n">
        <v>0</v>
      </c>
      <c r="AW34" s="140" t="n">
        <v>70</v>
      </c>
      <c r="AX34" s="103" t="n">
        <v>36</v>
      </c>
      <c r="AY34" s="294"/>
      <c r="AZ34" s="250" t="n">
        <f aca="false">SUM(N34,P34:U34)</f>
        <v>5.71898519055197</v>
      </c>
    </row>
    <row r="35" customFormat="false" ht="12.95" hidden="false" customHeight="true" outlineLevel="0" collapsed="false">
      <c r="A35" s="10" t="n">
        <f aca="false">A34+1</f>
        <v>21</v>
      </c>
      <c r="B35" s="357" t="n">
        <v>6911.34</v>
      </c>
      <c r="C35" s="94" t="n">
        <v>327375</v>
      </c>
      <c r="D35" s="103" t="n">
        <f aca="false">C35-C34</f>
        <v>809</v>
      </c>
      <c r="E35" s="94" t="n">
        <f aca="false">C35-152000</f>
        <v>175375</v>
      </c>
      <c r="F35" s="141" t="n">
        <f aca="false">D35/$D$2</f>
        <v>407.864885303756</v>
      </c>
      <c r="G35" s="134" t="n">
        <v>588</v>
      </c>
      <c r="H35" s="134" t="n">
        <v>4.3</v>
      </c>
      <c r="I35" s="134" t="n">
        <f aca="false">G35+H35</f>
        <v>592.3</v>
      </c>
      <c r="J35" s="366" t="n">
        <f aca="false">IF(L35&gt;0,L35,0)</f>
        <v>11.564885303756</v>
      </c>
      <c r="K35" s="134" t="n">
        <f aca="false">I35+J35</f>
        <v>603.864885303756</v>
      </c>
      <c r="L35" s="134" t="n">
        <f aca="false">F35-(I35-AK35)</f>
        <v>11.564885303756</v>
      </c>
      <c r="M35" s="137" t="n">
        <v>130</v>
      </c>
      <c r="N35" s="158" t="n">
        <f aca="false">(1.8299*1.03)/2</f>
        <v>0.9423985</v>
      </c>
      <c r="O35" s="367" t="n">
        <f aca="false">58*1.05</f>
        <v>60.9</v>
      </c>
      <c r="P35" s="83" t="n">
        <v>0</v>
      </c>
      <c r="Q35" s="336" t="n">
        <f aca="false">1543500/325851/1.9835*1.02</f>
        <v>2.43587805384275</v>
      </c>
      <c r="R35" s="131" t="n">
        <f aca="false">(2.9*1.04)-T35</f>
        <v>2.13143424</v>
      </c>
      <c r="S35" s="131" t="n">
        <v>0</v>
      </c>
      <c r="T35" s="131" t="n">
        <f aca="false">(0.8024*1.06)*1.04</f>
        <v>0.88456576</v>
      </c>
      <c r="U35" s="355" t="n">
        <v>0</v>
      </c>
      <c r="V35" s="134" t="n">
        <v>0</v>
      </c>
      <c r="W35" s="134" t="n">
        <v>16</v>
      </c>
      <c r="X35" s="135" t="n">
        <f aca="false">M35-N35-O35-P35-Q35-R35-S35-T35-U35+V35+W35-AT35</f>
        <v>78.7057234461573</v>
      </c>
      <c r="Y35" s="135" t="n">
        <f aca="false">X35-AO35</f>
        <v>23.3057234461573</v>
      </c>
      <c r="Z35" s="107" t="n">
        <f aca="false">Z34+AP35</f>
        <v>12192.0674239105</v>
      </c>
      <c r="AA35" s="135"/>
      <c r="AB35" s="107" t="n">
        <f aca="false">AB34+(Y35+AP35)*1.9835</f>
        <v>25078.5393577938</v>
      </c>
      <c r="AC35" s="150" t="n">
        <f aca="false">AC34-(AQ34/1.9835)</f>
        <v>1680.24202953851</v>
      </c>
      <c r="AD35" s="97"/>
      <c r="AE35" s="134"/>
      <c r="AF35" s="137" t="n">
        <v>1.7</v>
      </c>
      <c r="AG35" s="138" t="n">
        <v>1.3</v>
      </c>
      <c r="AH35" s="134" t="n">
        <v>50</v>
      </c>
      <c r="AI35" s="80" t="n">
        <f aca="false">AI34-AH35</f>
        <v>14967.2578774893</v>
      </c>
      <c r="AJ35" s="97"/>
      <c r="AK35" s="134" t="n">
        <f aca="false">N35+O35+P35+Q35+R35+S35+T35+U35+X35+AE35+AH35</f>
        <v>196</v>
      </c>
      <c r="AL35" s="134" t="n">
        <f aca="false">IF(L35&lt;0,L35*-1,0)</f>
        <v>0</v>
      </c>
      <c r="AM35" s="367" t="n">
        <f aca="false">AK35+AL35</f>
        <v>196</v>
      </c>
      <c r="AN35" s="369" t="n">
        <f aca="false">AN34+(V35*1.9835)</f>
        <v>0</v>
      </c>
      <c r="AO35" s="97" t="n">
        <f aca="false">V35+W35+19.4+20</f>
        <v>55.4</v>
      </c>
      <c r="AP35" s="150" t="n">
        <f aca="false">I35-Q35-R35-X35-AF35</f>
        <v>507.32696426</v>
      </c>
      <c r="AQ35" s="147" t="n">
        <f aca="false">34.18*(Z35*1.9835+AC35*1.9835)/E35</f>
        <v>5.36272278189771</v>
      </c>
      <c r="AR35" s="147"/>
      <c r="AS35" s="101"/>
      <c r="AT35" s="11" t="n">
        <v>0</v>
      </c>
      <c r="AU35" s="1"/>
      <c r="AV35" s="102" t="n">
        <v>0</v>
      </c>
      <c r="AW35" s="103" t="n">
        <v>77</v>
      </c>
      <c r="AX35" s="103" t="n">
        <v>39</v>
      </c>
      <c r="AY35" s="294"/>
      <c r="AZ35" s="250" t="n">
        <f aca="false">SUM(N35,P35:U35)</f>
        <v>6.39427655384275</v>
      </c>
    </row>
    <row r="36" customFormat="false" ht="12.95" hidden="false" customHeight="true" outlineLevel="0" collapsed="false">
      <c r="A36" s="10" t="n">
        <f aca="false">A35+1</f>
        <v>22</v>
      </c>
      <c r="B36" s="357" t="n">
        <v>6911.67</v>
      </c>
      <c r="C36" s="94" t="n">
        <v>328709</v>
      </c>
      <c r="D36" s="103" t="n">
        <f aca="false">C36-C35</f>
        <v>1334</v>
      </c>
      <c r="E36" s="94" t="n">
        <f aca="false">C36-152000</f>
        <v>176709</v>
      </c>
      <c r="F36" s="141" t="n">
        <f aca="false">D36/$D$2</f>
        <v>672.548525334005</v>
      </c>
      <c r="G36" s="134" t="n">
        <v>822</v>
      </c>
      <c r="H36" s="134" t="n">
        <v>9.9</v>
      </c>
      <c r="I36" s="134" t="n">
        <f aca="false">G36+H36</f>
        <v>831.9</v>
      </c>
      <c r="J36" s="366" t="n">
        <f aca="false">IF(L36&gt;0,L36,0)</f>
        <v>59.6485253340055</v>
      </c>
      <c r="K36" s="134" t="n">
        <f aca="false">I36+J36</f>
        <v>891.548525334006</v>
      </c>
      <c r="L36" s="134" t="n">
        <f aca="false">F36-(I36-AK36)</f>
        <v>59.6485253340055</v>
      </c>
      <c r="M36" s="137" t="n">
        <v>153</v>
      </c>
      <c r="N36" s="158" t="n">
        <f aca="false">(1.8299*1.03)/2</f>
        <v>0.9423985</v>
      </c>
      <c r="O36" s="367" t="n">
        <f aca="false">59*1.05</f>
        <v>61.95</v>
      </c>
      <c r="P36" s="83" t="n">
        <v>0</v>
      </c>
      <c r="Q36" s="336" t="n">
        <f aca="false">1702100/325851/1.9835*1.02</f>
        <v>2.68617300644363</v>
      </c>
      <c r="R36" s="131" t="n">
        <f aca="false">(3.92*1.04)-T36</f>
        <v>3.19223424</v>
      </c>
      <c r="S36" s="131" t="n">
        <v>0</v>
      </c>
      <c r="T36" s="131" t="n">
        <f aca="false">(0.8024*1.06)*1.04</f>
        <v>0.88456576</v>
      </c>
      <c r="U36" s="355" t="n">
        <v>0</v>
      </c>
      <c r="V36" s="134" t="n">
        <v>0</v>
      </c>
      <c r="W36" s="134" t="n">
        <v>16</v>
      </c>
      <c r="X36" s="135" t="n">
        <f aca="false">M36-N36-O36-P36-Q36-R36-S36-T36-U36+V36+W36-AT36</f>
        <v>99.3446284935564</v>
      </c>
      <c r="Y36" s="135" t="n">
        <f aca="false">X36-AO36</f>
        <v>42.3446284935564</v>
      </c>
      <c r="Z36" s="107" t="n">
        <f aca="false">Z35+AP36</f>
        <v>12887.7227954169</v>
      </c>
      <c r="AA36" s="135"/>
      <c r="AB36" s="107" t="n">
        <f aca="false">AB35+(Y36+AP36)*1.9835</f>
        <v>26542.3623577938</v>
      </c>
      <c r="AC36" s="150" t="n">
        <f aca="false">AC35-(AQ35/1.9835)</f>
        <v>1677.53836289777</v>
      </c>
      <c r="AD36" s="97"/>
      <c r="AE36" s="134"/>
      <c r="AF36" s="137" t="n">
        <v>1.7</v>
      </c>
      <c r="AG36" s="138" t="n">
        <v>1.3</v>
      </c>
      <c r="AH36" s="134" t="n">
        <v>50</v>
      </c>
      <c r="AI36" s="80" t="n">
        <f aca="false">AI35-AH36</f>
        <v>14917.2578774893</v>
      </c>
      <c r="AJ36" s="97"/>
      <c r="AK36" s="134" t="n">
        <f aca="false">N36+O36+P36+Q36+R36+S36+T36+U36+X36+AE36+AH36</f>
        <v>219</v>
      </c>
      <c r="AL36" s="134" t="n">
        <f aca="false">IF(L36&lt;0,L36*-1,0)</f>
        <v>0</v>
      </c>
      <c r="AM36" s="367" t="n">
        <f aca="false">AK36+AL36</f>
        <v>219</v>
      </c>
      <c r="AN36" s="369" t="n">
        <f aca="false">AN35+(V36*1.9835)</f>
        <v>0</v>
      </c>
      <c r="AO36" s="97" t="n">
        <f aca="false">V36+W36+21+20</f>
        <v>57</v>
      </c>
      <c r="AP36" s="150" t="n">
        <f aca="false">795-X36</f>
        <v>695.655371506444</v>
      </c>
      <c r="AQ36" s="147" t="n">
        <f aca="false">34.18*(Z36*1.9835+AC36*1.9835)/E36</f>
        <v>5.58809614930161</v>
      </c>
      <c r="AR36" s="147"/>
      <c r="AS36" s="101"/>
      <c r="AT36" s="11" t="n">
        <v>0</v>
      </c>
      <c r="AU36" s="1"/>
      <c r="AV36" s="102" t="n">
        <v>0</v>
      </c>
      <c r="AW36" s="103" t="n">
        <v>80</v>
      </c>
      <c r="AX36" s="103" t="n">
        <v>43</v>
      </c>
      <c r="AY36" s="294"/>
      <c r="AZ36" s="250" t="n">
        <f aca="false">SUM(N36,P36:U36)</f>
        <v>7.70537150644363</v>
      </c>
    </row>
    <row r="37" customFormat="false" ht="12.95" hidden="false" customHeight="true" outlineLevel="0" collapsed="false">
      <c r="A37" s="10" t="n">
        <f aca="false">A36+1</f>
        <v>23</v>
      </c>
      <c r="B37" s="357" t="n">
        <v>6912.01</v>
      </c>
      <c r="C37" s="94" t="n">
        <v>330085</v>
      </c>
      <c r="D37" s="103" t="n">
        <f aca="false">C37-C36</f>
        <v>1376</v>
      </c>
      <c r="E37" s="94" t="n">
        <f aca="false">C37-152000</f>
        <v>178085</v>
      </c>
      <c r="F37" s="141" t="n">
        <f aca="false">D37/$D$2</f>
        <v>693.723216536426</v>
      </c>
      <c r="G37" s="134" t="n">
        <v>942</v>
      </c>
      <c r="H37" s="134" t="n">
        <v>11</v>
      </c>
      <c r="I37" s="134" t="n">
        <f aca="false">G37+H37</f>
        <v>953</v>
      </c>
      <c r="J37" s="366" t="n">
        <f aca="false">IF(L37&gt;0,L37,0)</f>
        <v>32.7232165364255</v>
      </c>
      <c r="K37" s="134" t="n">
        <f aca="false">I37+J37</f>
        <v>985.723216536426</v>
      </c>
      <c r="L37" s="134" t="n">
        <f aca="false">F37-(I37-AK37)</f>
        <v>32.7232165364255</v>
      </c>
      <c r="M37" s="137" t="n">
        <v>168</v>
      </c>
      <c r="N37" s="158" t="n">
        <f aca="false">(1.8299*1.03)/2</f>
        <v>0.9423985</v>
      </c>
      <c r="O37" s="367" t="n">
        <f aca="false">58*1.05</f>
        <v>60.9</v>
      </c>
      <c r="P37" s="83" t="n">
        <v>0</v>
      </c>
      <c r="Q37" s="336" t="n">
        <f aca="false">1578900/325851/1.9835*1.02</f>
        <v>2.49174464477636</v>
      </c>
      <c r="R37" s="131" t="n">
        <f aca="false">(3.92*1.04)-T37</f>
        <v>3.19223424</v>
      </c>
      <c r="S37" s="131" t="n">
        <v>0</v>
      </c>
      <c r="T37" s="131" t="n">
        <f aca="false">(0.8024*1.06)*1.04</f>
        <v>0.88456576</v>
      </c>
      <c r="U37" s="355" t="n">
        <v>0</v>
      </c>
      <c r="V37" s="134" t="n">
        <v>0</v>
      </c>
      <c r="W37" s="134" t="n">
        <v>16</v>
      </c>
      <c r="X37" s="135" t="n">
        <f aca="false">M37-N37-O37-P37-Q37-R37-S37-T37-U37+V37+W37-AT37</f>
        <v>115.589056855224</v>
      </c>
      <c r="Y37" s="135" t="n">
        <f aca="false">X37-AO37</f>
        <v>108.589056855224</v>
      </c>
      <c r="Z37" s="107" t="n">
        <f aca="false">Z36+AP37</f>
        <v>13567.1337385617</v>
      </c>
      <c r="AA37" s="135"/>
      <c r="AB37" s="107" t="n">
        <f aca="false">AB36+(Y37+AP37)*1.9835</f>
        <v>28105.3603577938</v>
      </c>
      <c r="AC37" s="150" t="n">
        <f aca="false">AC36-(AQ36/1.9835)</f>
        <v>1674.72107217465</v>
      </c>
      <c r="AD37" s="97"/>
      <c r="AE37" s="134" t="n">
        <v>58</v>
      </c>
      <c r="AF37" s="137" t="n">
        <v>1.7</v>
      </c>
      <c r="AG37" s="138" t="n">
        <v>1.3</v>
      </c>
      <c r="AH37" s="134" t="n">
        <v>50</v>
      </c>
      <c r="AI37" s="80" t="n">
        <f aca="false">AI36-AH37</f>
        <v>14867.2578774893</v>
      </c>
      <c r="AJ37" s="97"/>
      <c r="AK37" s="134" t="n">
        <f aca="false">N37+O37+P37+Q37+R37+S37+T37+U37+X37+AE37+AH37</f>
        <v>292</v>
      </c>
      <c r="AL37" s="134" t="n">
        <f aca="false">IF(L37&lt;0,L37*-1,0)</f>
        <v>0</v>
      </c>
      <c r="AM37" s="367" t="n">
        <f aca="false">AK37+AL37</f>
        <v>292</v>
      </c>
      <c r="AN37" s="369" t="n">
        <f aca="false">AN36+(V37*1.9835)</f>
        <v>0</v>
      </c>
      <c r="AO37" s="97" t="n">
        <v>7</v>
      </c>
      <c r="AP37" s="150" t="n">
        <f aca="false">795-X37</f>
        <v>679.410943144776</v>
      </c>
      <c r="AQ37" s="147" t="n">
        <f aca="false">34.18*(Z37*1.9835+AC37*1.9835)/E37</f>
        <v>5.80249457284065</v>
      </c>
      <c r="AR37" s="147"/>
      <c r="AS37" s="101"/>
      <c r="AT37" s="11" t="n">
        <v>0</v>
      </c>
      <c r="AU37" s="1"/>
      <c r="AV37" s="102" t="n">
        <v>0</v>
      </c>
      <c r="AW37" s="103" t="n">
        <v>81</v>
      </c>
      <c r="AX37" s="140" t="n">
        <v>45</v>
      </c>
      <c r="AY37" s="294"/>
      <c r="AZ37" s="250" t="n">
        <f aca="false">SUM(N37,P37:U37)</f>
        <v>7.51094314477636</v>
      </c>
    </row>
    <row r="38" customFormat="false" ht="12.95" hidden="false" customHeight="true" outlineLevel="0" collapsed="false">
      <c r="A38" s="10" t="n">
        <f aca="false">A37+1</f>
        <v>24</v>
      </c>
      <c r="B38" s="357" t="n">
        <v>6912.35</v>
      </c>
      <c r="C38" s="94" t="n">
        <v>331471</v>
      </c>
      <c r="D38" s="103" t="n">
        <f aca="false">C38-C37</f>
        <v>1386</v>
      </c>
      <c r="E38" s="94" t="n">
        <f aca="false">C38-152000</f>
        <v>179471</v>
      </c>
      <c r="F38" s="141" t="n">
        <f aca="false">D38/$D$2</f>
        <v>698.764809679859</v>
      </c>
      <c r="G38" s="134" t="n">
        <v>1090</v>
      </c>
      <c r="H38" s="134" t="n">
        <v>9.8</v>
      </c>
      <c r="I38" s="134" t="n">
        <f aca="false">G38+H38</f>
        <v>1099.8</v>
      </c>
      <c r="J38" s="366" t="n">
        <f aca="false">IF(L38&gt;0,L38,0)</f>
        <v>0</v>
      </c>
      <c r="K38" s="134" t="n">
        <f aca="false">I38+J38</f>
        <v>1099.8</v>
      </c>
      <c r="L38" s="134" t="n">
        <f aca="false">F38-(I38-AK38)</f>
        <v>-7.03519032014117</v>
      </c>
      <c r="M38" s="137" t="n">
        <v>224</v>
      </c>
      <c r="N38" s="158" t="n">
        <f aca="false">(1.8299*1.03)/2</f>
        <v>0.9423985</v>
      </c>
      <c r="O38" s="367" t="n">
        <f aca="false">84*1.05</f>
        <v>88.2</v>
      </c>
      <c r="P38" s="83" t="n">
        <v>0</v>
      </c>
      <c r="Q38" s="336" t="n">
        <f aca="false">1373500/325851/1.9835*1.02</f>
        <v>2.1675921651785</v>
      </c>
      <c r="R38" s="131" t="n">
        <f aca="false">(4.5*1.04)-T38</f>
        <v>3.79543424</v>
      </c>
      <c r="S38" s="131" t="n">
        <v>0</v>
      </c>
      <c r="T38" s="131" t="n">
        <f aca="false">(0.8024*1.06)*1.04</f>
        <v>0.88456576</v>
      </c>
      <c r="U38" s="355" t="n">
        <v>0</v>
      </c>
      <c r="V38" s="134" t="n">
        <v>18</v>
      </c>
      <c r="W38" s="134" t="n">
        <v>18</v>
      </c>
      <c r="X38" s="135" t="n">
        <f aca="false">M38-N38-O38-P38-Q38-R38-S38-T38-U38+V38+W38-AT38</f>
        <v>164.010009334822</v>
      </c>
      <c r="Y38" s="135" t="n">
        <f aca="false">X38-AO38</f>
        <v>157.010009334822</v>
      </c>
      <c r="Z38" s="107" t="n">
        <f aca="false">Z37+AP38</f>
        <v>14198.1237292269</v>
      </c>
      <c r="AA38" s="135"/>
      <c r="AB38" s="107" t="n">
        <f aca="false">AB37+(Y38+AP38)*1.9835</f>
        <v>29668.3583577938</v>
      </c>
      <c r="AC38" s="150" t="n">
        <f aca="false">AC37-(AQ37/1.9835)</f>
        <v>1671.79569048933</v>
      </c>
      <c r="AD38" s="97"/>
      <c r="AE38" s="134" t="n">
        <v>84</v>
      </c>
      <c r="AF38" s="137" t="n">
        <v>1.7</v>
      </c>
      <c r="AG38" s="138" t="n">
        <v>1.3</v>
      </c>
      <c r="AH38" s="134" t="n">
        <v>50</v>
      </c>
      <c r="AI38" s="80" t="n">
        <f aca="false">AI37-AH38</f>
        <v>14817.2578774893</v>
      </c>
      <c r="AJ38" s="97"/>
      <c r="AK38" s="134" t="n">
        <f aca="false">N38+O38+P38+Q38+R38+S38+T38+U38+X38+AE38+AH38</f>
        <v>394</v>
      </c>
      <c r="AL38" s="134" t="n">
        <f aca="false">IF(L38&lt;0,L38*-1,0)</f>
        <v>7.03519032014117</v>
      </c>
      <c r="AM38" s="367" t="n">
        <f aca="false">AK38+AL38</f>
        <v>401.035190320141</v>
      </c>
      <c r="AN38" s="369" t="n">
        <f aca="false">AN37</f>
        <v>0</v>
      </c>
      <c r="AO38" s="97" t="n">
        <v>7</v>
      </c>
      <c r="AP38" s="150" t="n">
        <f aca="false">795-X38</f>
        <v>630.989990665179</v>
      </c>
      <c r="AQ38" s="147" t="n">
        <f aca="false">34.18*(Z38*1.9835+AC38*1.9835)/E38</f>
        <v>5.99493808513165</v>
      </c>
      <c r="AR38" s="147"/>
      <c r="AS38" s="101"/>
      <c r="AT38" s="11" t="n">
        <v>0</v>
      </c>
      <c r="AU38" s="1"/>
      <c r="AV38" s="102" t="n">
        <v>0</v>
      </c>
      <c r="AW38" s="103" t="n">
        <v>80</v>
      </c>
      <c r="AX38" s="140" t="n">
        <v>44</v>
      </c>
      <c r="AY38" s="294"/>
      <c r="AZ38" s="250" t="n">
        <f aca="false">SUM(N38,P38:U38)</f>
        <v>7.7899906651785</v>
      </c>
    </row>
    <row r="39" customFormat="false" ht="12.95" hidden="false" customHeight="true" outlineLevel="0" collapsed="false">
      <c r="A39" s="10" t="n">
        <f aca="false">A38+1</f>
        <v>25</v>
      </c>
      <c r="B39" s="357" t="n">
        <v>6912.8</v>
      </c>
      <c r="C39" s="94" t="n">
        <v>333306</v>
      </c>
      <c r="D39" s="103" t="n">
        <f aca="false">C39-C38</f>
        <v>1835</v>
      </c>
      <c r="E39" s="94" t="n">
        <f aca="false">C39-152000</f>
        <v>181306</v>
      </c>
      <c r="F39" s="141" t="n">
        <f aca="false">D39/$D$2</f>
        <v>925.132341820015</v>
      </c>
      <c r="G39" s="134" t="n">
        <v>1300</v>
      </c>
      <c r="H39" s="134" t="n">
        <v>15</v>
      </c>
      <c r="I39" s="134" t="n">
        <f aca="false">G39+H39</f>
        <v>1315</v>
      </c>
      <c r="J39" s="366" t="n">
        <f aca="false">IF(L39&gt;0,L39,0)</f>
        <v>7.13234182001509</v>
      </c>
      <c r="K39" s="134" t="n">
        <f aca="false">I39+J39</f>
        <v>1322.13234182002</v>
      </c>
      <c r="L39" s="134" t="n">
        <f aca="false">F39-(I39-AK39)</f>
        <v>7.13234182001509</v>
      </c>
      <c r="M39" s="137" t="n">
        <v>246</v>
      </c>
      <c r="N39" s="158" t="n">
        <f aca="false">(1.8299*1.03)/2</f>
        <v>0.9423985</v>
      </c>
      <c r="O39" s="367" t="n">
        <f aca="false">103*1.05</f>
        <v>108.15</v>
      </c>
      <c r="P39" s="83" t="n">
        <v>0</v>
      </c>
      <c r="Q39" s="336" t="n">
        <f aca="false">1215900/325851/1.9835*1.02</f>
        <v>1.91887536486388</v>
      </c>
      <c r="R39" s="131" t="n">
        <f aca="false">(4.5*1.04)-T39</f>
        <v>3.79543424</v>
      </c>
      <c r="S39" s="131" t="n">
        <v>0</v>
      </c>
      <c r="T39" s="131" t="n">
        <f aca="false">(0.8024*1.06)*1.04</f>
        <v>0.88456576</v>
      </c>
      <c r="U39" s="355" t="n">
        <v>0</v>
      </c>
      <c r="V39" s="134" t="n">
        <v>28</v>
      </c>
      <c r="W39" s="134" t="n">
        <v>33</v>
      </c>
      <c r="X39" s="135" t="n">
        <f aca="false">M39-N39-O39-P39-Q39-R39-S39-T39-U39+V39+W39-AT39</f>
        <v>191.308726135136</v>
      </c>
      <c r="Y39" s="135" t="n">
        <f aca="false">X39-AO39</f>
        <v>184.308726135136</v>
      </c>
      <c r="Z39" s="107" t="n">
        <f aca="false">Z38+AP39</f>
        <v>14801.8150030917</v>
      </c>
      <c r="AA39" s="135"/>
      <c r="AB39" s="107" t="n">
        <f aca="false">AB38+(Y39+AP39)*1.9835</f>
        <v>31231.3563577938</v>
      </c>
      <c r="AC39" s="150" t="n">
        <f aca="false">AC38-(AQ38/1.9835)</f>
        <v>1668.7732866148</v>
      </c>
      <c r="AD39" s="97"/>
      <c r="AE39" s="134" t="n">
        <v>41</v>
      </c>
      <c r="AF39" s="137" t="n">
        <v>1.7</v>
      </c>
      <c r="AG39" s="138" t="n">
        <v>1.3</v>
      </c>
      <c r="AH39" s="134" t="n">
        <v>49</v>
      </c>
      <c r="AI39" s="80" t="n">
        <f aca="false">AI38-AH39</f>
        <v>14768.2578774893</v>
      </c>
      <c r="AJ39" s="97"/>
      <c r="AK39" s="134" t="n">
        <f aca="false">N39+O39+P39+Q39+R39+S39+T39+U39+X39+AE39+AH39</f>
        <v>397</v>
      </c>
      <c r="AL39" s="134" t="n">
        <f aca="false">IF(L39&lt;0,L39*-1,0)</f>
        <v>0</v>
      </c>
      <c r="AM39" s="367" t="n">
        <f aca="false">AK39+AL39</f>
        <v>397</v>
      </c>
      <c r="AN39" s="369" t="n">
        <f aca="false">AN38</f>
        <v>0</v>
      </c>
      <c r="AO39" s="97" t="n">
        <v>7</v>
      </c>
      <c r="AP39" s="150" t="n">
        <f aca="false">795-X39</f>
        <v>603.691273864864</v>
      </c>
      <c r="AQ39" s="147" t="n">
        <f aca="false">34.18*(Z39*1.9835+AC39*1.9835)/E39</f>
        <v>6.15887228115227</v>
      </c>
      <c r="AR39" s="147"/>
      <c r="AS39" s="101"/>
      <c r="AT39" s="11" t="n">
        <v>0</v>
      </c>
      <c r="AU39" s="1"/>
      <c r="AV39" s="102" t="n">
        <v>0</v>
      </c>
      <c r="AW39" s="103" t="n">
        <v>69</v>
      </c>
      <c r="AX39" s="140" t="n">
        <v>46</v>
      </c>
      <c r="AY39" s="294"/>
      <c r="AZ39" s="250" t="n">
        <f aca="false">SUM(N39,P39:U39)</f>
        <v>7.54127386486388</v>
      </c>
    </row>
    <row r="40" customFormat="false" ht="12.95" hidden="false" customHeight="true" outlineLevel="0" collapsed="false">
      <c r="A40" s="10" t="n">
        <f aca="false">A39+1</f>
        <v>26</v>
      </c>
      <c r="B40" s="357" t="n">
        <v>6913.24</v>
      </c>
      <c r="C40" s="94" t="n">
        <v>335108</v>
      </c>
      <c r="D40" s="103" t="n">
        <f aca="false">C40-C39</f>
        <v>1802</v>
      </c>
      <c r="E40" s="94" t="n">
        <f aca="false">C40-152000</f>
        <v>183108</v>
      </c>
      <c r="F40" s="141" t="n">
        <f aca="false">D40/$D$2</f>
        <v>908.495084446685</v>
      </c>
      <c r="G40" s="134" t="n">
        <v>1240</v>
      </c>
      <c r="H40" s="134" t="n">
        <v>12</v>
      </c>
      <c r="I40" s="134" t="n">
        <f aca="false">G40+H40</f>
        <v>1252</v>
      </c>
      <c r="J40" s="366" t="n">
        <f aca="false">IF(L40&gt;0,L40,0)</f>
        <v>65.4950844466852</v>
      </c>
      <c r="K40" s="134" t="n">
        <f aca="false">I40+J40</f>
        <v>1317.49508444669</v>
      </c>
      <c r="L40" s="134" t="n">
        <f aca="false">F40-(I40-AK40)</f>
        <v>65.4950844466852</v>
      </c>
      <c r="M40" s="137" t="n">
        <v>265</v>
      </c>
      <c r="N40" s="158" t="n">
        <f aca="false">(1.8299*1.03)/2</f>
        <v>0.9423985</v>
      </c>
      <c r="O40" s="4" t="n">
        <f aca="false">108*1.05</f>
        <v>113.4</v>
      </c>
      <c r="P40" s="83" t="n">
        <v>0</v>
      </c>
      <c r="Q40" s="336" t="n">
        <f aca="false">1176300/325851/1.9835*1.02</f>
        <v>1.85638053432797</v>
      </c>
      <c r="R40" s="131" t="n">
        <v>4.2</v>
      </c>
      <c r="S40" s="131" t="n">
        <f aca="false">((5.5*1.04)-T40)-4.2</f>
        <v>0.63543424</v>
      </c>
      <c r="T40" s="131" t="n">
        <f aca="false">(0.8024*1.06)*1.04</f>
        <v>0.88456576</v>
      </c>
      <c r="U40" s="355" t="n">
        <v>0</v>
      </c>
      <c r="V40" s="134" t="n">
        <v>28</v>
      </c>
      <c r="W40" s="134" t="n">
        <v>45</v>
      </c>
      <c r="X40" s="135" t="n">
        <f aca="false">M40-N40-O40-P40-Q40-R40-S40-T40-U40+V40+W40-AT40</f>
        <v>216.081220965672</v>
      </c>
      <c r="Y40" s="135" t="n">
        <f aca="false">X40-AO40</f>
        <v>209.081220965672</v>
      </c>
      <c r="Z40" s="107" t="n">
        <f aca="false">Z39+AP40</f>
        <v>15380.7337821261</v>
      </c>
      <c r="AA40" s="135"/>
      <c r="AB40" s="107" t="n">
        <f aca="false">AB39+(Y40+AP40)*1.9835</f>
        <v>32794.3543577938</v>
      </c>
      <c r="AC40" s="150" t="n">
        <f aca="false">AC39-(AQ39/1.9835)</f>
        <v>1665.66823378841</v>
      </c>
      <c r="AD40" s="97"/>
      <c r="AE40" s="134" t="n">
        <v>22</v>
      </c>
      <c r="AF40" s="137" t="n">
        <v>1.7</v>
      </c>
      <c r="AG40" s="138" t="n">
        <v>1.3</v>
      </c>
      <c r="AH40" s="134" t="n">
        <v>49</v>
      </c>
      <c r="AI40" s="80" t="n">
        <f aca="false">AI39-AH40</f>
        <v>14719.2578774893</v>
      </c>
      <c r="AJ40" s="97"/>
      <c r="AK40" s="134" t="n">
        <f aca="false">N40+O40+P40+Q40+R40+S40+T40+U40+X40+AE40+AH40</f>
        <v>409</v>
      </c>
      <c r="AL40" s="134" t="n">
        <f aca="false">IF(L40&lt;0,L40*-1,0)</f>
        <v>0</v>
      </c>
      <c r="AM40" s="367" t="n">
        <f aca="false">AK40+AL40</f>
        <v>409</v>
      </c>
      <c r="AN40" s="369" t="n">
        <f aca="false">AN39</f>
        <v>0</v>
      </c>
      <c r="AO40" s="97" t="n">
        <v>7</v>
      </c>
      <c r="AP40" s="150" t="n">
        <f aca="false">795-X40</f>
        <v>578.918779034328</v>
      </c>
      <c r="AQ40" s="147" t="n">
        <f aca="false">34.18*(Z40*1.9835+AC40*1.9835)/E40</f>
        <v>6.31145762316774</v>
      </c>
      <c r="AR40" s="147"/>
      <c r="AS40" s="101"/>
      <c r="AT40" s="4" t="n">
        <v>0</v>
      </c>
      <c r="AU40" s="1"/>
      <c r="AV40" s="102" t="n">
        <v>0.03</v>
      </c>
      <c r="AW40" s="103" t="n">
        <v>72</v>
      </c>
      <c r="AX40" s="103" t="n">
        <v>41</v>
      </c>
      <c r="AY40" s="294"/>
      <c r="AZ40" s="250" t="n">
        <f aca="false">SUM(N40,P40:U40)</f>
        <v>8.51877903432797</v>
      </c>
    </row>
    <row r="41" customFormat="false" ht="12.95" hidden="false" customHeight="true" outlineLevel="0" collapsed="false">
      <c r="A41" s="10" t="n">
        <f aca="false">A40+1</f>
        <v>27</v>
      </c>
      <c r="B41" s="357" t="n">
        <v>6913.74</v>
      </c>
      <c r="C41" s="94" t="n">
        <v>337162</v>
      </c>
      <c r="D41" s="103" t="n">
        <f aca="false">C41-C40</f>
        <v>2054</v>
      </c>
      <c r="E41" s="94" t="n">
        <f aca="false">C41-152000</f>
        <v>185162</v>
      </c>
      <c r="F41" s="141" t="n">
        <f aca="false">D41/$D$2</f>
        <v>1035.54323166121</v>
      </c>
      <c r="G41" s="134" t="n">
        <v>1360</v>
      </c>
      <c r="H41" s="134" t="n">
        <v>30</v>
      </c>
      <c r="I41" s="134" t="n">
        <f aca="false">G41+H41</f>
        <v>1390</v>
      </c>
      <c r="J41" s="366" t="n">
        <f aca="false">IF(L41&gt;0,L41,0)</f>
        <v>26.543231661205</v>
      </c>
      <c r="K41" s="134" t="n">
        <f aca="false">I41+J41</f>
        <v>1416.54323166121</v>
      </c>
      <c r="L41" s="134" t="n">
        <f aca="false">F41-(I41-AK41)</f>
        <v>26.543231661205</v>
      </c>
      <c r="M41" s="137" t="n">
        <v>230</v>
      </c>
      <c r="N41" s="158" t="n">
        <f aca="false">(1.8299*1.03)/2</f>
        <v>0.9423985</v>
      </c>
      <c r="O41" s="367" t="n">
        <f aca="false">97*1.05</f>
        <v>101.85</v>
      </c>
      <c r="P41" s="83" t="n">
        <v>0</v>
      </c>
      <c r="Q41" s="336" t="n">
        <f aca="false">1082800/325851/1.9835*1.02</f>
        <v>1.70882329556263</v>
      </c>
      <c r="R41" s="131" t="n">
        <v>4.2</v>
      </c>
      <c r="S41" s="131" t="n">
        <f aca="false">((6.5*1.04)-T41)-4.2</f>
        <v>1.700128</v>
      </c>
      <c r="T41" s="131" t="n">
        <f aca="false">(0.78*1.06)*1.04</f>
        <v>0.859872</v>
      </c>
      <c r="U41" s="355" t="n">
        <v>0</v>
      </c>
      <c r="V41" s="134" t="n">
        <v>28</v>
      </c>
      <c r="W41" s="134" t="n">
        <v>61</v>
      </c>
      <c r="X41" s="135" t="n">
        <f aca="false">M41-N41-O41-P41-Q41-R41-S41-T41-U41+V41+W41-AT41</f>
        <v>207.738778204437</v>
      </c>
      <c r="Y41" s="135" t="n">
        <f aca="false">X41-AO41</f>
        <v>200.738778204437</v>
      </c>
      <c r="Z41" s="107" t="n">
        <f aca="false">Z40+AP41</f>
        <v>15967.9950039216</v>
      </c>
      <c r="AA41" s="135"/>
      <c r="AB41" s="107" t="n">
        <f aca="false">AB40+(Y41+AP41)*1.9835</f>
        <v>34357.3523577938</v>
      </c>
      <c r="AC41" s="150" t="n">
        <f aca="false">AC40-(AQ40/1.9835)</f>
        <v>1662.4862536406</v>
      </c>
      <c r="AD41" s="97"/>
      <c r="AE41" s="134" t="n">
        <v>13</v>
      </c>
      <c r="AF41" s="137" t="n">
        <v>1.7</v>
      </c>
      <c r="AG41" s="138" t="n">
        <v>1.3</v>
      </c>
      <c r="AH41" s="134" t="n">
        <v>49</v>
      </c>
      <c r="AI41" s="80" t="n">
        <f aca="false">AI40-AH41</f>
        <v>14670.2578774893</v>
      </c>
      <c r="AJ41" s="97"/>
      <c r="AK41" s="134" t="n">
        <f aca="false">N41+O41+P41+Q41+R41+S41+T41+U41+X41+AE41+AH41</f>
        <v>381</v>
      </c>
      <c r="AL41" s="134" t="n">
        <f aca="false">IF(L41&lt;0,L41*-1,0)</f>
        <v>0</v>
      </c>
      <c r="AM41" s="367" t="n">
        <f aca="false">AK41+AL41</f>
        <v>381</v>
      </c>
      <c r="AN41" s="369" t="n">
        <f aca="false">AN40</f>
        <v>0</v>
      </c>
      <c r="AO41" s="97" t="n">
        <v>7</v>
      </c>
      <c r="AP41" s="150" t="n">
        <f aca="false">795-X41</f>
        <v>587.261221795563</v>
      </c>
      <c r="AQ41" s="147" t="n">
        <f aca="false">34.18*(Z41*1.9835+AC41*1.9835)/E41</f>
        <v>6.45530203957684</v>
      </c>
      <c r="AR41" s="147"/>
      <c r="AS41" s="101"/>
      <c r="AT41" s="11" t="n">
        <v>0</v>
      </c>
      <c r="AU41" s="1"/>
      <c r="AV41" s="102" t="n">
        <v>0.03</v>
      </c>
      <c r="AW41" s="103" t="n">
        <v>62</v>
      </c>
      <c r="AX41" s="103" t="n">
        <v>38</v>
      </c>
      <c r="AY41" s="294"/>
      <c r="AZ41" s="250" t="n">
        <f aca="false">SUM(N41,P41:U41)</f>
        <v>9.41122179556263</v>
      </c>
    </row>
    <row r="42" customFormat="false" ht="12.95" hidden="false" customHeight="true" outlineLevel="0" collapsed="false">
      <c r="A42" s="10" t="n">
        <f aca="false">A41+1</f>
        <v>28</v>
      </c>
      <c r="B42" s="357" t="n">
        <v>6914.15</v>
      </c>
      <c r="C42" s="94" t="n">
        <v>338852</v>
      </c>
      <c r="D42" s="103" t="n">
        <f aca="false">C42-C41</f>
        <v>1690</v>
      </c>
      <c r="E42" s="94" t="n">
        <f aca="false">C42-152000</f>
        <v>186852</v>
      </c>
      <c r="F42" s="141" t="n">
        <f aca="false">D42/$D$2</f>
        <v>852.029241240232</v>
      </c>
      <c r="G42" s="134" t="n">
        <v>1170</v>
      </c>
      <c r="H42" s="134" t="n">
        <v>105</v>
      </c>
      <c r="I42" s="134" t="n">
        <f aca="false">G42+H42</f>
        <v>1275</v>
      </c>
      <c r="J42" s="366" t="n">
        <f aca="false">IF(L42&gt;0,L42,0)</f>
        <v>9.02924124023184</v>
      </c>
      <c r="K42" s="134" t="n">
        <f aca="false">I42+J42</f>
        <v>1284.02924124023</v>
      </c>
      <c r="L42" s="134" t="n">
        <f aca="false">F42-(I42-AK42)</f>
        <v>9.02924124023184</v>
      </c>
      <c r="M42" s="137" t="n">
        <v>275</v>
      </c>
      <c r="N42" s="158" t="n">
        <f aca="false">(1.8299*1.03)/2</f>
        <v>0.9423985</v>
      </c>
      <c r="O42" s="367" t="n">
        <f aca="false">111*1.05</f>
        <v>116.55</v>
      </c>
      <c r="P42" s="83" t="n">
        <v>0</v>
      </c>
      <c r="Q42" s="336" t="n">
        <f aca="false">1195400/325851/1.9835*1.02</f>
        <v>1.88652324299554</v>
      </c>
      <c r="R42" s="131" t="n">
        <v>4.2</v>
      </c>
      <c r="S42" s="131" t="n">
        <f aca="false">((6*1.04)-T42)-4.2</f>
        <v>1.180128</v>
      </c>
      <c r="T42" s="131" t="n">
        <f aca="false">(0.78*1.06)*1.04</f>
        <v>0.859872</v>
      </c>
      <c r="U42" s="355" t="n">
        <v>0</v>
      </c>
      <c r="V42" s="134" t="n">
        <v>28</v>
      </c>
      <c r="W42" s="134" t="n">
        <v>62</v>
      </c>
      <c r="X42" s="135" t="n">
        <f aca="false">M42-N42-O42-P42-Q42-R42-S42-T42-U42+V42+W42-AT42</f>
        <v>239.381078257004</v>
      </c>
      <c r="Y42" s="135" t="n">
        <f aca="false">X42-AO42</f>
        <v>232.381078257004</v>
      </c>
      <c r="Z42" s="107" t="n">
        <f aca="false">Z41+AP42</f>
        <v>16523.6139256646</v>
      </c>
      <c r="AA42" s="135"/>
      <c r="AB42" s="107" t="n">
        <f aca="false">AB41+(Y42+AP42)*1.9835</f>
        <v>35920.3503577938</v>
      </c>
      <c r="AC42" s="150" t="n">
        <f aca="false">AC41-(AQ41/1.9835)</f>
        <v>1659.23175299045</v>
      </c>
      <c r="AD42" s="97"/>
      <c r="AE42" s="134" t="n">
        <v>18</v>
      </c>
      <c r="AF42" s="137" t="n">
        <v>1.7</v>
      </c>
      <c r="AG42" s="138" t="n">
        <v>1.3</v>
      </c>
      <c r="AH42" s="134" t="n">
        <v>49</v>
      </c>
      <c r="AI42" s="80" t="n">
        <f aca="false">AI41-AH42</f>
        <v>14621.2578774893</v>
      </c>
      <c r="AJ42" s="97"/>
      <c r="AK42" s="134" t="n">
        <f aca="false">N42+O42+P42+Q42+R42+S42+T42+U42+X42+AE42+AH42</f>
        <v>432</v>
      </c>
      <c r="AL42" s="134" t="n">
        <f aca="false">IF(L42&lt;0,L42*-1,0)</f>
        <v>0</v>
      </c>
      <c r="AM42" s="367" t="n">
        <f aca="false">AK42+AL42</f>
        <v>432</v>
      </c>
      <c r="AN42" s="369" t="n">
        <f aca="false">AN41</f>
        <v>0</v>
      </c>
      <c r="AO42" s="97" t="n">
        <v>7</v>
      </c>
      <c r="AP42" s="150" t="n">
        <f aca="false">795-X42</f>
        <v>555.618921742996</v>
      </c>
      <c r="AQ42" s="147" t="n">
        <f aca="false">34.18*(Z42*1.9835+AC42*1.9835)/E42</f>
        <v>6.59733238667753</v>
      </c>
      <c r="AR42" s="147"/>
      <c r="AS42" s="101"/>
      <c r="AT42" s="11" t="n">
        <v>0</v>
      </c>
      <c r="AU42" s="1"/>
      <c r="AV42" s="102" t="n">
        <v>0</v>
      </c>
      <c r="AW42" s="103" t="n">
        <v>61</v>
      </c>
      <c r="AX42" s="103" t="n">
        <v>37</v>
      </c>
      <c r="AY42" s="294"/>
      <c r="AZ42" s="250" t="n">
        <f aca="false">SUM(N42,P42:U42)</f>
        <v>9.06892174299554</v>
      </c>
    </row>
    <row r="43" customFormat="false" ht="12.95" hidden="false" customHeight="true" outlineLevel="0" collapsed="false">
      <c r="A43" s="10" t="n">
        <f aca="false">A42+1</f>
        <v>29</v>
      </c>
      <c r="B43" s="357" t="n">
        <v>6914.44</v>
      </c>
      <c r="C43" s="94" t="n">
        <v>340053</v>
      </c>
      <c r="D43" s="103" t="n">
        <f aca="false">C43-C42</f>
        <v>1201</v>
      </c>
      <c r="E43" s="94" t="n">
        <f aca="false">C43-152000</f>
        <v>188053</v>
      </c>
      <c r="F43" s="141" t="n">
        <f aca="false">D43/$D$2</f>
        <v>605.495336526342</v>
      </c>
      <c r="G43" s="134" t="n">
        <v>969</v>
      </c>
      <c r="H43" s="134" t="n">
        <v>76</v>
      </c>
      <c r="I43" s="134" t="n">
        <f aca="false">G43+H43</f>
        <v>1045</v>
      </c>
      <c r="J43" s="366" t="n">
        <f aca="false">IF(L43&gt;0,L43,0)</f>
        <v>8.49533652634227</v>
      </c>
      <c r="K43" s="134" t="n">
        <f aca="false">I43+J43</f>
        <v>1053.49533652634</v>
      </c>
      <c r="L43" s="134" t="n">
        <f aca="false">F43-(I43-AK43)</f>
        <v>8.49533652634227</v>
      </c>
      <c r="M43" s="137" t="n">
        <v>272</v>
      </c>
      <c r="N43" s="158" t="n">
        <f aca="false">(1.8299*1.03)/2</f>
        <v>0.9423985</v>
      </c>
      <c r="O43" s="367" t="n">
        <f aca="false">109*1.05</f>
        <v>114.45</v>
      </c>
      <c r="P43" s="83" t="n">
        <v>0</v>
      </c>
      <c r="Q43" s="336" t="n">
        <f aca="false">1564000/325851/1.9835*1.02</f>
        <v>2.46823017571108</v>
      </c>
      <c r="R43" s="131" t="n">
        <v>4.2</v>
      </c>
      <c r="S43" s="131" t="n">
        <f aca="false">((6*1.04)-T43)-4.2</f>
        <v>1.180128</v>
      </c>
      <c r="T43" s="131" t="n">
        <f aca="false">(0.78*1.06)*1.04</f>
        <v>0.859872</v>
      </c>
      <c r="U43" s="355" t="n">
        <v>0</v>
      </c>
      <c r="V43" s="134" t="n">
        <v>28</v>
      </c>
      <c r="W43" s="134" t="n">
        <v>62</v>
      </c>
      <c r="X43" s="135" t="n">
        <f aca="false">M43-N43-O43-P43-Q43-R43-S43-T43-U43+V43+W43-AT43</f>
        <v>237.899371324289</v>
      </c>
      <c r="Y43" s="135" t="n">
        <f aca="false">X43-AO43</f>
        <v>230.899371324289</v>
      </c>
      <c r="Z43" s="107" t="n">
        <f aca="false">Z42+AP43</f>
        <v>17080.7145543403</v>
      </c>
      <c r="AA43" s="135"/>
      <c r="AB43" s="107" t="n">
        <f aca="false">AB42+(Y43+AP43)*1.9835</f>
        <v>37483.3483577938</v>
      </c>
      <c r="AC43" s="150" t="n">
        <f aca="false">AC42-(AQ42/1.9835)</f>
        <v>1655.90564641789</v>
      </c>
      <c r="AD43" s="97"/>
      <c r="AE43" s="134" t="n">
        <v>37</v>
      </c>
      <c r="AF43" s="137" t="n">
        <v>1.7</v>
      </c>
      <c r="AG43" s="138" t="n">
        <v>1.3</v>
      </c>
      <c r="AH43" s="134" t="n">
        <v>49</v>
      </c>
      <c r="AI43" s="80" t="n">
        <f aca="false">AI42-AH43</f>
        <v>14572.2578774893</v>
      </c>
      <c r="AJ43" s="97"/>
      <c r="AK43" s="134" t="n">
        <f aca="false">N43+O43+P43+Q43+R43+S43+T43+U43+X43+AE43+AH43</f>
        <v>448</v>
      </c>
      <c r="AL43" s="134" t="n">
        <f aca="false">IF(L43&lt;0,L43*-1,0)</f>
        <v>0</v>
      </c>
      <c r="AM43" s="367" t="n">
        <f aca="false">AK43+AL43</f>
        <v>448</v>
      </c>
      <c r="AN43" s="369" t="n">
        <f aca="false">AN42</f>
        <v>0</v>
      </c>
      <c r="AO43" s="97" t="n">
        <v>7</v>
      </c>
      <c r="AP43" s="150" t="n">
        <f aca="false">795-X43</f>
        <v>557.100628675711</v>
      </c>
      <c r="AQ43" s="147" t="n">
        <f aca="false">34.18*(Z43*1.9835+AC43*1.9835)/E43</f>
        <v>6.75484286466694</v>
      </c>
      <c r="AR43" s="147"/>
      <c r="AS43" s="101"/>
      <c r="AT43" s="11" t="n">
        <v>0</v>
      </c>
      <c r="AU43" s="1"/>
      <c r="AV43" s="102" t="n">
        <v>0</v>
      </c>
      <c r="AW43" s="140" t="n">
        <v>63</v>
      </c>
      <c r="AX43" s="103" t="n">
        <v>34</v>
      </c>
      <c r="AY43" s="294"/>
      <c r="AZ43" s="250" t="n">
        <f aca="false">SUM(N43,P43:U43)</f>
        <v>9.65062867571108</v>
      </c>
    </row>
    <row r="44" customFormat="false" ht="12.95" hidden="false" customHeight="true" outlineLevel="0" collapsed="false">
      <c r="A44" s="10" t="n">
        <v>30</v>
      </c>
      <c r="B44" s="357" t="n">
        <v>6914.66</v>
      </c>
      <c r="C44" s="94" t="n">
        <v>340964</v>
      </c>
      <c r="D44" s="103" t="n">
        <f aca="false">C44-C43</f>
        <v>911</v>
      </c>
      <c r="E44" s="94" t="n">
        <f aca="false">C44-152000</f>
        <v>188964</v>
      </c>
      <c r="F44" s="141" t="n">
        <f aca="false">D44/$D$2</f>
        <v>459.289135366776</v>
      </c>
      <c r="G44" s="134" t="n">
        <v>889</v>
      </c>
      <c r="H44" s="134" t="n">
        <v>6.3</v>
      </c>
      <c r="I44" s="134" t="n">
        <f aca="false">G44+H44</f>
        <v>895.3</v>
      </c>
      <c r="J44" s="366" t="n">
        <f aca="false">IF(L44&gt;0,L44,0)</f>
        <v>27.9891353667759</v>
      </c>
      <c r="K44" s="134" t="n">
        <f aca="false">I44+J44</f>
        <v>923.289135366776</v>
      </c>
      <c r="L44" s="134" t="n">
        <f aca="false">F44-(I44-AK44)</f>
        <v>27.9891353667759</v>
      </c>
      <c r="M44" s="137" t="n">
        <v>280</v>
      </c>
      <c r="N44" s="158" t="n">
        <f aca="false">(1.8299*1.03)/2</f>
        <v>0.9423985</v>
      </c>
      <c r="O44" s="367" t="n">
        <f aca="false">107*1.05</f>
        <v>112.35</v>
      </c>
      <c r="P44" s="83" t="n">
        <v>0</v>
      </c>
      <c r="Q44" s="336" t="n">
        <f aca="false">1516600/325851/1.9835*1.02</f>
        <v>2.39342575734234</v>
      </c>
      <c r="R44" s="131" t="n">
        <f aca="false">(4*1.04)-T44</f>
        <v>3.300128</v>
      </c>
      <c r="S44" s="131" t="n">
        <v>0</v>
      </c>
      <c r="T44" s="131" t="n">
        <f aca="false">(0.78*1.06)*1.04</f>
        <v>0.859872</v>
      </c>
      <c r="U44" s="355" t="n">
        <v>0</v>
      </c>
      <c r="V44" s="134" t="n">
        <v>28</v>
      </c>
      <c r="W44" s="134" t="n">
        <v>66</v>
      </c>
      <c r="X44" s="135" t="n">
        <f aca="false">M44-N44-O44-P44-Q44-R44-S44-T44-U44+V44+W44-AT44</f>
        <v>254.154175742658</v>
      </c>
      <c r="Y44" s="135" t="n">
        <f aca="false">X44-AO44</f>
        <v>247.154175742658</v>
      </c>
      <c r="Z44" s="107" t="n">
        <f aca="false">Z43+AP44</f>
        <v>17621.5603785977</v>
      </c>
      <c r="AA44" s="135"/>
      <c r="AB44" s="107" t="n">
        <f aca="false">AB43+(Y44+AP44)*1.9835</f>
        <v>39046.3463577938</v>
      </c>
      <c r="AC44" s="150" t="n">
        <f aca="false">AC43-(AQ43/1.9835)</f>
        <v>1652.50012947074</v>
      </c>
      <c r="AD44" s="97"/>
      <c r="AE44" s="134" t="n">
        <v>41</v>
      </c>
      <c r="AF44" s="137" t="n">
        <v>1.7</v>
      </c>
      <c r="AG44" s="138" t="n">
        <v>1.3</v>
      </c>
      <c r="AH44" s="134" t="n">
        <v>49</v>
      </c>
      <c r="AI44" s="80" t="n">
        <f aca="false">AI43-AH44</f>
        <v>14523.2578774893</v>
      </c>
      <c r="AJ44" s="97"/>
      <c r="AK44" s="134" t="n">
        <f aca="false">N44+O44+P44+Q44+R44+S44+T44+U44+X44+AE44+AH44</f>
        <v>464</v>
      </c>
      <c r="AL44" s="134" t="n">
        <f aca="false">IF(L44&lt;0,L44*-1,0)</f>
        <v>0</v>
      </c>
      <c r="AM44" s="141" t="n">
        <f aca="false">AK44+AL44</f>
        <v>464</v>
      </c>
      <c r="AN44" s="107" t="n">
        <f aca="false">AN43</f>
        <v>0</v>
      </c>
      <c r="AO44" s="97" t="n">
        <v>7</v>
      </c>
      <c r="AP44" s="150" t="n">
        <f aca="false">795-X44</f>
        <v>540.845824257342</v>
      </c>
      <c r="AQ44" s="147" t="n">
        <f aca="false">34.18*(Z44*1.9835+AC44*1.9835)/E44</f>
        <v>6.91509908991566</v>
      </c>
      <c r="AR44" s="147"/>
      <c r="AS44" s="101"/>
      <c r="AT44" s="11" t="n">
        <v>0</v>
      </c>
      <c r="AU44" s="1"/>
      <c r="AV44" s="102" t="n">
        <v>0</v>
      </c>
      <c r="AW44" s="140" t="n">
        <v>69</v>
      </c>
      <c r="AX44" s="103" t="n">
        <v>37</v>
      </c>
      <c r="AY44" s="294"/>
      <c r="AZ44" s="250" t="n">
        <f aca="false">SUM(N44,P44:U44)</f>
        <v>7.49582425734234</v>
      </c>
    </row>
    <row r="45" customFormat="false" ht="3" hidden="false" customHeight="true" outlineLevel="0" collapsed="false">
      <c r="A45" s="109"/>
      <c r="B45" s="370"/>
      <c r="C45" s="119"/>
      <c r="D45" s="116"/>
      <c r="E45" s="119"/>
      <c r="F45" s="144"/>
      <c r="G45" s="116"/>
      <c r="H45" s="116"/>
      <c r="I45" s="116"/>
      <c r="J45" s="116"/>
      <c r="K45" s="116"/>
      <c r="L45" s="116"/>
      <c r="M45" s="120"/>
      <c r="N45" s="116"/>
      <c r="O45" s="116"/>
      <c r="P45" s="363"/>
      <c r="Q45" s="363"/>
      <c r="R45" s="363"/>
      <c r="S45" s="363"/>
      <c r="T45" s="363"/>
      <c r="U45" s="364"/>
      <c r="V45" s="116"/>
      <c r="W45" s="116"/>
      <c r="X45" s="116"/>
      <c r="Y45" s="116"/>
      <c r="Z45" s="123"/>
      <c r="AA45" s="116"/>
      <c r="AB45" s="123"/>
      <c r="AC45" s="123"/>
      <c r="AD45" s="118"/>
      <c r="AE45" s="116"/>
      <c r="AF45" s="120"/>
      <c r="AG45" s="121"/>
      <c r="AH45" s="116"/>
      <c r="AI45" s="116"/>
      <c r="AJ45" s="118"/>
      <c r="AK45" s="116"/>
      <c r="AL45" s="116"/>
      <c r="AM45" s="144"/>
      <c r="AN45" s="119"/>
      <c r="AO45" s="118"/>
      <c r="AP45" s="123"/>
      <c r="AQ45" s="363"/>
      <c r="AR45" s="363"/>
      <c r="AS45" s="363"/>
      <c r="AT45" s="363"/>
      <c r="AU45" s="363"/>
      <c r="AV45" s="125"/>
      <c r="AW45" s="123"/>
      <c r="AX45" s="123"/>
      <c r="AY45" s="156"/>
      <c r="AZ45" s="144"/>
    </row>
    <row r="46" customFormat="false" ht="12.95" hidden="false" customHeight="true" outlineLevel="0" collapsed="false">
      <c r="A46" s="11" t="s">
        <v>101</v>
      </c>
      <c r="B46" s="354"/>
      <c r="C46" s="94"/>
      <c r="D46" s="94"/>
      <c r="E46" s="94"/>
      <c r="F46" s="146" t="n">
        <f aca="false">SUM(F15:F44)</f>
        <v>19055.7096042349</v>
      </c>
      <c r="G46" s="80" t="n">
        <f aca="false">SUM(G15:G44)</f>
        <v>23801</v>
      </c>
      <c r="H46" s="80" t="n">
        <f aca="false">SUM(H15:H44)</f>
        <v>705.7</v>
      </c>
      <c r="I46" s="80" t="n">
        <f aca="false">SUM(I15:I44)</f>
        <v>24506.7</v>
      </c>
      <c r="J46" s="80" t="n">
        <f aca="false">SUM(J15:J44)</f>
        <v>1466.64479455508</v>
      </c>
      <c r="K46" s="80" t="n">
        <f aca="false">SUM(K15:K44)</f>
        <v>25973.3447945551</v>
      </c>
      <c r="L46" s="80" t="n">
        <f aca="false">SUM(L15:L44)</f>
        <v>1459.60960423494</v>
      </c>
      <c r="M46" s="98" t="n">
        <f aca="false">SUM(M15:M44)</f>
        <v>4275.7</v>
      </c>
      <c r="N46" s="94" t="n">
        <f aca="false">SUM(N15:N44)</f>
        <v>28.271955</v>
      </c>
      <c r="O46" s="94" t="n">
        <f aca="false">SUM(O15:O44)</f>
        <v>2268.525</v>
      </c>
      <c r="P46" s="83" t="n">
        <f aca="false">SUM(P15:P44)</f>
        <v>0</v>
      </c>
      <c r="Q46" s="94" t="n">
        <f aca="false">SUM(Q15:Q44)</f>
        <v>56.8344717307774</v>
      </c>
      <c r="R46" s="94" t="n">
        <f aca="false">SUM(R15:R44)</f>
        <v>78.40648624</v>
      </c>
      <c r="S46" s="94" t="n">
        <f aca="false">SUM(S15:S44)</f>
        <v>4.69581824</v>
      </c>
      <c r="T46" s="94" t="n">
        <f aca="false">SUM(T15:T44)</f>
        <v>21.25129552</v>
      </c>
      <c r="U46" s="355" t="n">
        <f aca="false">SUM(U15:U44)</f>
        <v>2.76614450933005</v>
      </c>
      <c r="V46" s="80" t="n">
        <f aca="false">SUM(V15:V44)</f>
        <v>336</v>
      </c>
      <c r="W46" s="80" t="n">
        <f aca="false">SUM(W15:W44)</f>
        <v>443.9</v>
      </c>
      <c r="X46" s="80" t="n">
        <f aca="false">SUM(X15:X44)</f>
        <v>2594.84882875989</v>
      </c>
      <c r="Y46" s="80" t="n">
        <f aca="false">SUM(Y15:Y44)</f>
        <v>2176.01882875989</v>
      </c>
      <c r="Z46" s="371"/>
      <c r="AA46" s="80"/>
      <c r="AB46" s="103"/>
      <c r="AC46" s="150"/>
      <c r="AD46" s="97"/>
      <c r="AE46" s="80" t="n">
        <f aca="false">SUM(AE15:AE44)</f>
        <v>314</v>
      </c>
      <c r="AF46" s="98" t="n">
        <f aca="false">SUM(AF15:AF44)</f>
        <v>51</v>
      </c>
      <c r="AG46" s="99" t="n">
        <f aca="false">SUM(AG15:AG44)</f>
        <v>39</v>
      </c>
      <c r="AH46" s="80" t="n">
        <f aca="false">SUM(AH15:AH44)</f>
        <v>1541</v>
      </c>
      <c r="AI46" s="80"/>
      <c r="AJ46" s="97" t="n">
        <f aca="false">SUM(AJ15:AJ44)</f>
        <v>33</v>
      </c>
      <c r="AK46" s="80" t="n">
        <f aca="false">SUM(AK15:AK44)</f>
        <v>6910.6</v>
      </c>
      <c r="AL46" s="80" t="n">
        <f aca="false">SUM(AL15:AL44)</f>
        <v>7.03519032014117</v>
      </c>
      <c r="AM46" s="146" t="n">
        <f aca="false">SUM(AM15:AM44)</f>
        <v>6917.63519032014</v>
      </c>
      <c r="AN46" s="94" t="n">
        <f aca="false">SUM(AN14:AN44)</f>
        <v>112</v>
      </c>
      <c r="AO46" s="142" t="n">
        <f aca="false">SUM(AO15:AO44)</f>
        <v>418.83</v>
      </c>
      <c r="AP46" s="150"/>
      <c r="AQ46" s="147"/>
      <c r="AR46" s="147"/>
      <c r="AS46" s="101"/>
      <c r="AT46" s="80" t="n">
        <f aca="false">SUM(AT15:AT44)</f>
        <v>0</v>
      </c>
      <c r="AU46" s="1"/>
      <c r="AV46" s="102" t="n">
        <f aca="false">SUM(AV15:AV44)</f>
        <v>0.41</v>
      </c>
      <c r="AW46" s="103" t="n">
        <f aca="false">AVERAGE(AW15:AW44)</f>
        <v>64.2</v>
      </c>
      <c r="AX46" s="103" t="n">
        <f aca="false">AVERAGE(AX15:AX44)</f>
        <v>34.3666666666667</v>
      </c>
      <c r="AY46" s="146" t="s">
        <v>125</v>
      </c>
      <c r="AZ46" s="146" t="n">
        <f aca="false">SUM(AZ15:AZ44)</f>
        <v>192.226171240107</v>
      </c>
    </row>
    <row r="47" customFormat="false" ht="12.95" hidden="false" customHeight="true" outlineLevel="0" collapsed="false">
      <c r="A47" s="11" t="s">
        <v>103</v>
      </c>
      <c r="B47" s="354"/>
      <c r="C47" s="94"/>
      <c r="D47" s="94" t="n">
        <f aca="false">SUM(D15:D44)</f>
        <v>37797</v>
      </c>
      <c r="E47" s="94"/>
      <c r="F47" s="146" t="n">
        <f aca="false">F46*$D$2</f>
        <v>37797</v>
      </c>
      <c r="G47" s="80" t="n">
        <f aca="false">G46*$D$2</f>
        <v>47209.2835</v>
      </c>
      <c r="H47" s="80" t="n">
        <f aca="false">H46*$D$2</f>
        <v>1399.75595</v>
      </c>
      <c r="I47" s="80" t="n">
        <f aca="false">I46*$D$2</f>
        <v>48609.03945</v>
      </c>
      <c r="J47" s="80" t="n">
        <f aca="false">J46*$D$2</f>
        <v>2909.08995</v>
      </c>
      <c r="K47" s="80" t="n">
        <f aca="false">K46*$D$2</f>
        <v>51518.1294</v>
      </c>
      <c r="L47" s="80" t="n">
        <f aca="false">L46*$D$2</f>
        <v>2895.13565</v>
      </c>
      <c r="M47" s="98" t="n">
        <f aca="false">M46*$D$2</f>
        <v>8480.85095</v>
      </c>
      <c r="N47" s="94" t="n">
        <f aca="false">N46*$D$2</f>
        <v>56.0774227425</v>
      </c>
      <c r="O47" s="94" t="n">
        <f aca="false">O46*$D$2</f>
        <v>4499.6193375</v>
      </c>
      <c r="P47" s="83" t="n">
        <f aca="false">P46*$D$2</f>
        <v>0</v>
      </c>
      <c r="Q47" s="94" t="n">
        <f aca="false">Q46*$D$2</f>
        <v>112.731174677997</v>
      </c>
      <c r="R47" s="94" t="n">
        <f aca="false">R46*$D$2</f>
        <v>155.51926545704</v>
      </c>
      <c r="S47" s="94" t="n">
        <f aca="false">S46*$D$2</f>
        <v>9.31415547904</v>
      </c>
      <c r="T47" s="94" t="n">
        <f aca="false">T46*$D$2</f>
        <v>42.15194466392</v>
      </c>
      <c r="U47" s="355" t="n">
        <f aca="false">U46*$D$2</f>
        <v>5.48664763425615</v>
      </c>
      <c r="V47" s="80" t="n">
        <f aca="false">V46*$D$2</f>
        <v>666.456</v>
      </c>
      <c r="W47" s="80" t="n">
        <f aca="false">W46*$D$2</f>
        <v>880.47565</v>
      </c>
      <c r="X47" s="80" t="n">
        <f aca="false">X46*$D$2</f>
        <v>5146.88265184525</v>
      </c>
      <c r="Y47" s="80" t="n">
        <f aca="false">Y46*$D$2</f>
        <v>4316.13334684525</v>
      </c>
      <c r="Z47" s="150"/>
      <c r="AA47" s="80"/>
      <c r="AB47" s="150"/>
      <c r="AC47" s="150"/>
      <c r="AD47" s="97"/>
      <c r="AE47" s="80" t="n">
        <f aca="false">AE46*$D$2</f>
        <v>622.819</v>
      </c>
      <c r="AF47" s="98" t="n">
        <f aca="false">AF46*$D$2</f>
        <v>101.1585</v>
      </c>
      <c r="AG47" s="99" t="n">
        <f aca="false">AG46*$D$2</f>
        <v>77.3565</v>
      </c>
      <c r="AH47" s="80" t="n">
        <f aca="false">AH46*$D$2</f>
        <v>3056.5735</v>
      </c>
      <c r="AI47" s="80"/>
      <c r="AJ47" s="97" t="n">
        <f aca="false">AJ46*$D$2</f>
        <v>65.4555</v>
      </c>
      <c r="AK47" s="80" t="n">
        <f aca="false">AK46*$D$2</f>
        <v>13707.1751</v>
      </c>
      <c r="AL47" s="80" t="n">
        <f aca="false">AL46*$D$2</f>
        <v>13.9543</v>
      </c>
      <c r="AM47" s="146" t="n">
        <f aca="false">AM46*$D$2</f>
        <v>13721.1294</v>
      </c>
      <c r="AN47" s="142" t="n">
        <f aca="false">AN46*$D$2</f>
        <v>222.152</v>
      </c>
      <c r="AO47" s="142" t="n">
        <f aca="false">AO46*$D$2</f>
        <v>830.749305</v>
      </c>
      <c r="AP47" s="150"/>
      <c r="AQ47" s="147" t="n">
        <f aca="false">SUM(AQ15:AQ44)</f>
        <v>129.197617284703</v>
      </c>
      <c r="AR47" s="147"/>
      <c r="AS47" s="101"/>
      <c r="AT47" s="80" t="n">
        <f aca="false">AT46*$D$2</f>
        <v>0</v>
      </c>
      <c r="AU47" s="1"/>
      <c r="AV47" s="102"/>
      <c r="AW47" s="103" t="n">
        <f aca="false">MAX(AW15:AW44)</f>
        <v>81</v>
      </c>
      <c r="AX47" s="103" t="n">
        <f aca="false">MAX(AX15:AX44)</f>
        <v>46</v>
      </c>
      <c r="AY47" s="146" t="s">
        <v>104</v>
      </c>
      <c r="AZ47" s="146" t="n">
        <f aca="false">AZ46*$D$2</f>
        <v>381.280610654753</v>
      </c>
    </row>
    <row r="48" customFormat="false" ht="3" hidden="false" customHeight="true" outlineLevel="0" collapsed="false">
      <c r="A48" s="109"/>
      <c r="B48" s="370"/>
      <c r="C48" s="119"/>
      <c r="D48" s="119"/>
      <c r="E48" s="119"/>
      <c r="F48" s="156"/>
      <c r="G48" s="119"/>
      <c r="H48" s="116"/>
      <c r="I48" s="119"/>
      <c r="J48" s="119"/>
      <c r="K48" s="119"/>
      <c r="L48" s="119"/>
      <c r="M48" s="154"/>
      <c r="N48" s="119"/>
      <c r="O48" s="119"/>
      <c r="P48" s="363"/>
      <c r="Q48" s="119"/>
      <c r="R48" s="119"/>
      <c r="S48" s="119"/>
      <c r="T48" s="119"/>
      <c r="U48" s="364"/>
      <c r="V48" s="119"/>
      <c r="W48" s="119"/>
      <c r="X48" s="119"/>
      <c r="Y48" s="119"/>
      <c r="Z48" s="123"/>
      <c r="AA48" s="119"/>
      <c r="AB48" s="123"/>
      <c r="AC48" s="123"/>
      <c r="AD48" s="118"/>
      <c r="AE48" s="119"/>
      <c r="AF48" s="154"/>
      <c r="AG48" s="155"/>
      <c r="AH48" s="119"/>
      <c r="AI48" s="116"/>
      <c r="AJ48" s="118"/>
      <c r="AK48" s="119"/>
      <c r="AL48" s="119"/>
      <c r="AM48" s="156"/>
      <c r="AN48" s="119"/>
      <c r="AO48" s="118"/>
      <c r="AP48" s="123"/>
      <c r="AQ48" s="363"/>
      <c r="AR48" s="363"/>
      <c r="AS48" s="363"/>
      <c r="AT48" s="119"/>
      <c r="AU48" s="363"/>
      <c r="AV48" s="157"/>
      <c r="AW48" s="119"/>
      <c r="AX48" s="119"/>
      <c r="AY48" s="156"/>
      <c r="AZ48" s="156"/>
    </row>
    <row r="49" customFormat="false" ht="12.95" hidden="false" customHeight="true" outlineLevel="0" collapsed="false">
      <c r="A49" s="11" t="s">
        <v>105</v>
      </c>
      <c r="B49" s="354"/>
      <c r="C49" s="94"/>
      <c r="D49" s="94"/>
      <c r="E49" s="94"/>
      <c r="F49" s="146" t="n">
        <f aca="false">F46</f>
        <v>19055.7096042349</v>
      </c>
      <c r="G49" s="80" t="n">
        <f aca="false">G46</f>
        <v>23801</v>
      </c>
      <c r="H49" s="80" t="n">
        <f aca="false">H46</f>
        <v>705.7</v>
      </c>
      <c r="I49" s="80" t="n">
        <f aca="false">I46</f>
        <v>24506.7</v>
      </c>
      <c r="J49" s="80" t="n">
        <f aca="false">J46</f>
        <v>1466.64479455508</v>
      </c>
      <c r="K49" s="80" t="n">
        <f aca="false">K46</f>
        <v>25973.3447945551</v>
      </c>
      <c r="L49" s="80" t="n">
        <f aca="false">L46</f>
        <v>1459.60960423494</v>
      </c>
      <c r="M49" s="98" t="n">
        <f aca="false">M46</f>
        <v>4275.7</v>
      </c>
      <c r="N49" s="94" t="n">
        <f aca="false">N46</f>
        <v>28.271955</v>
      </c>
      <c r="O49" s="94" t="n">
        <f aca="false">O12+O46</f>
        <v>2312.7405</v>
      </c>
      <c r="P49" s="83" t="n">
        <f aca="false">P12+P46</f>
        <v>0</v>
      </c>
      <c r="Q49" s="94"/>
      <c r="R49" s="94"/>
      <c r="S49" s="94"/>
      <c r="T49" s="94"/>
      <c r="U49" s="355"/>
      <c r="V49" s="80" t="n">
        <f aca="false">V46</f>
        <v>336</v>
      </c>
      <c r="W49" s="80" t="n">
        <f aca="false">W46</f>
        <v>443.9</v>
      </c>
      <c r="X49" s="80" t="n">
        <f aca="false">X12+X46</f>
        <v>2594.84882875989</v>
      </c>
      <c r="Y49" s="80" t="n">
        <f aca="false">Y12+Y46</f>
        <v>2176.01882875989</v>
      </c>
      <c r="Z49" s="80" t="n">
        <f aca="false">Z12+Z44</f>
        <v>17621.5603785977</v>
      </c>
      <c r="AA49" s="80"/>
      <c r="AB49" s="150"/>
      <c r="AC49" s="150"/>
      <c r="AD49" s="97"/>
      <c r="AE49" s="80" t="n">
        <f aca="false">AE46</f>
        <v>314</v>
      </c>
      <c r="AF49" s="98" t="n">
        <f aca="false">AF46</f>
        <v>51</v>
      </c>
      <c r="AG49" s="99" t="n">
        <f aca="false">AG46</f>
        <v>39</v>
      </c>
      <c r="AH49" s="80"/>
      <c r="AI49" s="80"/>
      <c r="AJ49" s="97" t="n">
        <f aca="false">AJ46</f>
        <v>33</v>
      </c>
      <c r="AK49" s="80" t="n">
        <f aca="false">AK46</f>
        <v>6910.6</v>
      </c>
      <c r="AL49" s="80" t="n">
        <f aca="false">AL46</f>
        <v>7.03519032014117</v>
      </c>
      <c r="AM49" s="146" t="n">
        <f aca="false">AM46</f>
        <v>6917.63519032014</v>
      </c>
      <c r="AN49" s="94"/>
      <c r="AO49" s="97"/>
      <c r="AP49" s="150"/>
      <c r="AQ49" s="147"/>
      <c r="AR49" s="147"/>
      <c r="AS49" s="101"/>
      <c r="AT49" s="80" t="n">
        <f aca="false">AT46</f>
        <v>0</v>
      </c>
      <c r="AU49" s="1"/>
      <c r="AV49" s="102"/>
      <c r="AW49" s="103" t="n">
        <f aca="false">MIN(AW15:AW44)</f>
        <v>43</v>
      </c>
      <c r="AX49" s="103" t="n">
        <f aca="false">MIN(AX15:AX44)</f>
        <v>22</v>
      </c>
      <c r="AY49" s="146" t="s">
        <v>106</v>
      </c>
      <c r="AZ49" s="146" t="n">
        <f aca="false">AZ46</f>
        <v>192.226171240107</v>
      </c>
    </row>
    <row r="50" customFormat="false" ht="12.95" hidden="false" customHeight="true" outlineLevel="0" collapsed="false">
      <c r="A50" s="11" t="s">
        <v>107</v>
      </c>
      <c r="B50" s="354"/>
      <c r="C50" s="94"/>
      <c r="D50" s="94"/>
      <c r="E50" s="94"/>
      <c r="F50" s="146" t="n">
        <f aca="false">F49*$D$2</f>
        <v>37797</v>
      </c>
      <c r="G50" s="80" t="n">
        <f aca="false">G49*$D$2</f>
        <v>47209.2835</v>
      </c>
      <c r="H50" s="80" t="n">
        <f aca="false">H49*$D$2</f>
        <v>1399.75595</v>
      </c>
      <c r="I50" s="80" t="n">
        <f aca="false">I49*$D$2</f>
        <v>48609.03945</v>
      </c>
      <c r="J50" s="80" t="n">
        <f aca="false">J49*$D$2</f>
        <v>2909.08995</v>
      </c>
      <c r="K50" s="80" t="n">
        <f aca="false">K49*$D$2</f>
        <v>51518.1294</v>
      </c>
      <c r="L50" s="80" t="n">
        <f aca="false">L49*$D$2</f>
        <v>2895.13565</v>
      </c>
      <c r="M50" s="98" t="n">
        <f aca="false">M49*$D$2</f>
        <v>8480.85095</v>
      </c>
      <c r="N50" s="94" t="n">
        <f aca="false">N49*$D$2</f>
        <v>56.0774227425</v>
      </c>
      <c r="O50" s="94" t="n">
        <f aca="false">O49*$D$2</f>
        <v>4587.32078175</v>
      </c>
      <c r="P50" s="83" t="n">
        <f aca="false">P49*$D$2</f>
        <v>0</v>
      </c>
      <c r="Q50" s="94"/>
      <c r="R50" s="94"/>
      <c r="S50" s="94"/>
      <c r="T50" s="94"/>
      <c r="U50" s="355"/>
      <c r="V50" s="80" t="n">
        <f aca="false">V49*$D$2</f>
        <v>666.456</v>
      </c>
      <c r="W50" s="80" t="n">
        <f aca="false">W49*$D$2</f>
        <v>880.47565</v>
      </c>
      <c r="X50" s="80" t="n">
        <f aca="false">X49*$D$2</f>
        <v>5146.88265184525</v>
      </c>
      <c r="Y50" s="80" t="n">
        <f aca="false">Y49*$D$2</f>
        <v>4316.13334684525</v>
      </c>
      <c r="Z50" s="80" t="n">
        <f aca="false">Z49*$D$2</f>
        <v>34952.3650109485</v>
      </c>
      <c r="AA50" s="80"/>
      <c r="AB50" s="150"/>
      <c r="AC50" s="150"/>
      <c r="AD50" s="97"/>
      <c r="AE50" s="80" t="n">
        <f aca="false">AE49*$D$2</f>
        <v>622.819</v>
      </c>
      <c r="AF50" s="98" t="n">
        <f aca="false">AF49*$D$2</f>
        <v>101.1585</v>
      </c>
      <c r="AG50" s="99" t="n">
        <f aca="false">AG49*$D$2</f>
        <v>77.3565</v>
      </c>
      <c r="AH50" s="80"/>
      <c r="AI50" s="80"/>
      <c r="AJ50" s="97" t="n">
        <f aca="false">AJ49*$D$2</f>
        <v>65.4555</v>
      </c>
      <c r="AK50" s="80" t="n">
        <f aca="false">AK49*$D$2</f>
        <v>13707.1751</v>
      </c>
      <c r="AL50" s="80" t="n">
        <f aca="false">AL49*$D$2</f>
        <v>13.9543</v>
      </c>
      <c r="AM50" s="146" t="n">
        <f aca="false">AM49*$D$2</f>
        <v>13721.1294</v>
      </c>
      <c r="AN50" s="94"/>
      <c r="AO50" s="97"/>
      <c r="AP50" s="150"/>
      <c r="AQ50" s="147" t="n">
        <f aca="false">AQ47</f>
        <v>129.197617284703</v>
      </c>
      <c r="AR50" s="147"/>
      <c r="AS50" s="101"/>
      <c r="AT50" s="80" t="n">
        <f aca="false">AT49*$D$2</f>
        <v>0</v>
      </c>
      <c r="AU50" s="1"/>
      <c r="AV50" s="102"/>
      <c r="AW50" s="103"/>
      <c r="AX50" s="103"/>
      <c r="AY50" s="294"/>
      <c r="AZ50" s="146" t="n">
        <f aca="false">AZ49*$D$2</f>
        <v>381.280610654753</v>
      </c>
    </row>
    <row r="51" customFormat="false" ht="3" hidden="false" customHeight="true" outlineLevel="0" collapsed="false">
      <c r="A51" s="109"/>
      <c r="B51" s="370"/>
      <c r="C51" s="119"/>
      <c r="D51" s="119"/>
      <c r="E51" s="119"/>
      <c r="F51" s="156"/>
      <c r="G51" s="119"/>
      <c r="H51" s="116"/>
      <c r="I51" s="119"/>
      <c r="J51" s="119"/>
      <c r="K51" s="119"/>
      <c r="L51" s="119"/>
      <c r="M51" s="154"/>
      <c r="N51" s="119"/>
      <c r="O51" s="119"/>
      <c r="P51" s="363"/>
      <c r="Q51" s="119"/>
      <c r="R51" s="119"/>
      <c r="S51" s="119"/>
      <c r="T51" s="119"/>
      <c r="U51" s="364"/>
      <c r="V51" s="119"/>
      <c r="W51" s="119"/>
      <c r="X51" s="119"/>
      <c r="Y51" s="119"/>
      <c r="Z51" s="123"/>
      <c r="AA51" s="119"/>
      <c r="AB51" s="123"/>
      <c r="AC51" s="123"/>
      <c r="AD51" s="118"/>
      <c r="AE51" s="119"/>
      <c r="AF51" s="154"/>
      <c r="AG51" s="155"/>
      <c r="AH51" s="119"/>
      <c r="AI51" s="119"/>
      <c r="AJ51" s="118"/>
      <c r="AK51" s="119"/>
      <c r="AL51" s="119"/>
      <c r="AM51" s="156"/>
      <c r="AN51" s="119"/>
      <c r="AO51" s="118"/>
      <c r="AP51" s="123"/>
      <c r="AQ51" s="363"/>
      <c r="AR51" s="363"/>
      <c r="AS51" s="363"/>
      <c r="AT51" s="363"/>
      <c r="AU51" s="363"/>
      <c r="AV51" s="125"/>
      <c r="AW51" s="372"/>
      <c r="AX51" s="372"/>
      <c r="AY51" s="156"/>
      <c r="AZ51" s="156"/>
    </row>
    <row r="52" customFormat="false" ht="12.95" hidden="false" customHeight="true" outlineLevel="0" collapsed="false">
      <c r="A52" s="11" t="s">
        <v>108</v>
      </c>
      <c r="B52" s="354"/>
      <c r="C52" s="94"/>
      <c r="D52" s="94"/>
      <c r="E52" s="94"/>
      <c r="F52" s="146" t="n">
        <f aca="false">F13+F46</f>
        <v>23873.4560120998</v>
      </c>
      <c r="G52" s="80" t="n">
        <f aca="false">G13+G46</f>
        <v>35865</v>
      </c>
      <c r="H52" s="80" t="n">
        <f aca="false">H13+H46</f>
        <v>1187.78</v>
      </c>
      <c r="I52" s="80" t="n">
        <f aca="false">I13+I46</f>
        <v>37052.16</v>
      </c>
      <c r="J52" s="80" t="n">
        <f aca="false">J13+J46</f>
        <v>6360.83263675321</v>
      </c>
      <c r="K52" s="80" t="n">
        <f aca="false">K13+K46</f>
        <v>43412.9926367532</v>
      </c>
      <c r="L52" s="80" t="n">
        <f aca="false">L13+L46</f>
        <v>5757.09601209982</v>
      </c>
      <c r="M52" s="98" t="n">
        <f aca="false">M13+M46</f>
        <v>5064.4</v>
      </c>
      <c r="N52" s="94" t="n">
        <f aca="false">N13+N46</f>
        <v>28.271955</v>
      </c>
      <c r="O52" s="94" t="n">
        <f aca="false">O13+O46</f>
        <v>2312.7405</v>
      </c>
      <c r="P52" s="83"/>
      <c r="Q52" s="94" t="n">
        <f aca="false">Q13+Q46</f>
        <v>291.357825261961</v>
      </c>
      <c r="R52" s="94" t="n">
        <f aca="false">R13+R46</f>
        <v>321.3646864</v>
      </c>
      <c r="S52" s="94" t="n">
        <f aca="false">S13+S46</f>
        <v>4.69581824</v>
      </c>
      <c r="T52" s="94" t="n">
        <f aca="false">T13+T46</f>
        <v>98.09309536</v>
      </c>
      <c r="U52" s="358" t="n">
        <f aca="false">U13+U46</f>
        <v>27.7983443318626</v>
      </c>
      <c r="V52" s="80" t="n">
        <f aca="false">V13+V46</f>
        <v>6183</v>
      </c>
      <c r="W52" s="80" t="n">
        <f aca="false">W13+W46</f>
        <v>503.4</v>
      </c>
      <c r="X52" s="80" t="n">
        <f aca="false">X13+X46</f>
        <v>8666.47777540618</v>
      </c>
      <c r="Y52" s="80" t="n">
        <f aca="false">Y13+Y46</f>
        <v>8044.85070328764</v>
      </c>
      <c r="Z52" s="150"/>
      <c r="AA52" s="80"/>
      <c r="AB52" s="150"/>
      <c r="AC52" s="150"/>
      <c r="AD52" s="97"/>
      <c r="AE52" s="80"/>
      <c r="AF52" s="98" t="n">
        <f aca="false">AF13+AF46</f>
        <v>51</v>
      </c>
      <c r="AG52" s="99" t="n">
        <f aca="false">AG13+AG46</f>
        <v>39</v>
      </c>
      <c r="AH52" s="80" t="n">
        <f aca="false">AH13+AH46</f>
        <v>6871</v>
      </c>
      <c r="AI52" s="80" t="n">
        <f aca="false">AI44</f>
        <v>14523.2578774893</v>
      </c>
      <c r="AJ52" s="97" t="n">
        <f aca="false">AJ13+AJ46</f>
        <v>33</v>
      </c>
      <c r="AK52" s="80" t="n">
        <f aca="false">AK13+AK46</f>
        <v>18935.8</v>
      </c>
      <c r="AL52" s="80" t="n">
        <f aca="false">AL13+AL46</f>
        <v>603.736624653391</v>
      </c>
      <c r="AM52" s="146" t="n">
        <f aca="false">AM13+AM46</f>
        <v>19539.5366246534</v>
      </c>
      <c r="AN52" s="94"/>
      <c r="AO52" s="142" t="n">
        <f aca="false">AO13+AO46</f>
        <v>621.627072118536</v>
      </c>
      <c r="AP52" s="150"/>
      <c r="AQ52" s="147"/>
      <c r="AR52" s="147"/>
      <c r="AS52" s="101"/>
      <c r="AU52" s="1"/>
      <c r="AV52" s="102" t="n">
        <f aca="false">AV13+AV46</f>
        <v>2.84</v>
      </c>
      <c r="AW52" s="103"/>
      <c r="AX52" s="103"/>
      <c r="AY52" s="294"/>
      <c r="AZ52" s="146" t="n">
        <f aca="false">AZ13+AZ46</f>
        <v>771.581724593824</v>
      </c>
    </row>
    <row r="53" customFormat="false" ht="12.95" hidden="false" customHeight="true" outlineLevel="0" collapsed="false">
      <c r="A53" s="11" t="s">
        <v>109</v>
      </c>
      <c r="B53" s="373"/>
      <c r="C53" s="374"/>
      <c r="D53" s="374" t="n">
        <f aca="false">D13+D47</f>
        <v>47279</v>
      </c>
      <c r="E53" s="374" t="n">
        <f aca="false">E44</f>
        <v>188964</v>
      </c>
      <c r="F53" s="161" t="n">
        <f aca="false">F52*$D$2</f>
        <v>47353</v>
      </c>
      <c r="G53" s="80" t="n">
        <f aca="false">G52*$D$2</f>
        <v>71138.2275</v>
      </c>
      <c r="H53" s="80" t="n">
        <f aca="false">H52*$D$2</f>
        <v>2355.96163</v>
      </c>
      <c r="I53" s="80" t="n">
        <f aca="false">I52*$D$2</f>
        <v>73492.95936</v>
      </c>
      <c r="J53" s="80" t="n">
        <f aca="false">J52*$D$2</f>
        <v>12616.711535</v>
      </c>
      <c r="K53" s="80" t="n">
        <f aca="false">K52*$D$2</f>
        <v>86109.670895</v>
      </c>
      <c r="L53" s="80" t="n">
        <f aca="false">L52*$D$2</f>
        <v>11419.19994</v>
      </c>
      <c r="M53" s="98" t="n">
        <f aca="false">M52*$D$2</f>
        <v>10045.2374</v>
      </c>
      <c r="N53" s="94" t="n">
        <f aca="false">N52*$D$2</f>
        <v>56.0774227425</v>
      </c>
      <c r="O53" s="94" t="n">
        <f aca="false">O52*$D$2</f>
        <v>4587.32078175</v>
      </c>
      <c r="P53" s="83"/>
      <c r="Q53" s="94" t="n">
        <f aca="false">Q52*$D$2</f>
        <v>577.9082464071</v>
      </c>
      <c r="R53" s="94" t="n">
        <f aca="false">R52*$D$2</f>
        <v>637.4268554744</v>
      </c>
      <c r="S53" s="94" t="n">
        <f aca="false">S52*$D$2</f>
        <v>9.31415547904</v>
      </c>
      <c r="T53" s="94" t="n">
        <f aca="false">T52*$D$2</f>
        <v>194.56765464656</v>
      </c>
      <c r="U53" s="358" t="n">
        <f aca="false">U52*$D$2</f>
        <v>55.1380159822495</v>
      </c>
      <c r="V53" s="80" t="n">
        <f aca="false">V52*$D$2</f>
        <v>12263.9805</v>
      </c>
      <c r="W53" s="80" t="n">
        <f aca="false">W52*$D$2</f>
        <v>998.4939</v>
      </c>
      <c r="X53" s="80" t="n">
        <f aca="false">X52*$D$2</f>
        <v>17189.9586675181</v>
      </c>
      <c r="Y53" s="80" t="n">
        <f aca="false">Y52*$D$2</f>
        <v>15956.961369971</v>
      </c>
      <c r="Z53" s="150"/>
      <c r="AA53" s="80"/>
      <c r="AB53" s="150"/>
      <c r="AC53" s="150"/>
      <c r="AD53" s="97"/>
      <c r="AE53" s="80"/>
      <c r="AF53" s="360" t="n">
        <f aca="false">AF52*$D$2</f>
        <v>101.1585</v>
      </c>
      <c r="AG53" s="359" t="n">
        <f aca="false">AG52*$D$2</f>
        <v>77.3565</v>
      </c>
      <c r="AH53" s="80" t="n">
        <f aca="false">AH52*$D$2</f>
        <v>13628.6285</v>
      </c>
      <c r="AI53" s="80" t="n">
        <f aca="false">AI52*$D$2</f>
        <v>28806.882</v>
      </c>
      <c r="AJ53" s="97" t="n">
        <f aca="false">AJ52*$D$2</f>
        <v>65.4555</v>
      </c>
      <c r="AK53" s="80" t="n">
        <f aca="false">AK52*$D$2</f>
        <v>37559.1593</v>
      </c>
      <c r="AL53" s="80" t="n">
        <f aca="false">AL52*$D$2</f>
        <v>1197.511595</v>
      </c>
      <c r="AM53" s="161" t="n">
        <f aca="false">AM52*$D$2</f>
        <v>38756.670895</v>
      </c>
      <c r="AN53" s="94" t="n">
        <f aca="false">AN13+AN47</f>
        <v>11712.1708</v>
      </c>
      <c r="AO53" s="142" t="n">
        <f aca="false">AO52*$D$2</f>
        <v>1232.99729754712</v>
      </c>
      <c r="AP53" s="150"/>
      <c r="AQ53" s="147" t="n">
        <f aca="false">AQ47</f>
        <v>129.197617284703</v>
      </c>
      <c r="AR53" s="147"/>
      <c r="AS53" s="101"/>
      <c r="AU53" s="1"/>
      <c r="AV53" s="102"/>
      <c r="AW53" s="103"/>
      <c r="AX53" s="103"/>
      <c r="AY53" s="294"/>
      <c r="AZ53" s="161" t="n">
        <f aca="false">AZ52*$D$2</f>
        <v>1530.43235073185</v>
      </c>
    </row>
    <row r="54" customFormat="false" ht="3" hidden="false" customHeight="true" outlineLevel="0" collapsed="false">
      <c r="A54" s="109"/>
      <c r="B54" s="143"/>
      <c r="C54" s="111"/>
      <c r="D54" s="109"/>
      <c r="E54" s="111"/>
      <c r="F54" s="112"/>
      <c r="G54" s="109"/>
      <c r="H54" s="109"/>
      <c r="I54" s="109"/>
      <c r="J54" s="109"/>
      <c r="K54" s="109"/>
      <c r="L54" s="109"/>
      <c r="M54" s="114"/>
      <c r="N54" s="109"/>
      <c r="O54" s="109"/>
      <c r="P54" s="115"/>
      <c r="Q54" s="109"/>
      <c r="R54" s="109"/>
      <c r="S54" s="109"/>
      <c r="T54" s="109"/>
      <c r="U54" s="375"/>
      <c r="V54" s="109"/>
      <c r="W54" s="109"/>
      <c r="X54" s="109"/>
      <c r="Y54" s="109"/>
      <c r="Z54" s="160"/>
      <c r="AA54" s="109"/>
      <c r="AB54" s="160"/>
      <c r="AC54" s="160"/>
      <c r="AD54" s="164"/>
      <c r="AE54" s="109"/>
      <c r="AF54" s="114"/>
      <c r="AG54" s="165"/>
      <c r="AH54" s="109"/>
      <c r="AI54" s="111"/>
      <c r="AJ54" s="376"/>
      <c r="AK54" s="109"/>
      <c r="AL54" s="109"/>
      <c r="AM54" s="109"/>
      <c r="AN54" s="377"/>
      <c r="AO54" s="164"/>
      <c r="AP54" s="160"/>
      <c r="AQ54" s="115"/>
      <c r="AR54" s="115"/>
      <c r="AS54" s="115"/>
      <c r="AT54" s="378"/>
      <c r="AU54" s="379"/>
      <c r="AV54" s="143"/>
      <c r="AW54" s="109"/>
      <c r="AX54" s="109"/>
      <c r="AY54" s="156"/>
      <c r="AZ54" s="109"/>
    </row>
    <row r="55" customFormat="false" ht="14.1" hidden="false" customHeight="true" outlineLevel="0" collapsed="false">
      <c r="A55" s="170"/>
      <c r="B55" s="171"/>
      <c r="D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Q55" s="11"/>
      <c r="R55" s="11"/>
      <c r="S55" s="11"/>
      <c r="T55" s="11"/>
      <c r="V55" s="11"/>
      <c r="W55" s="11"/>
      <c r="X55" s="11"/>
      <c r="Y55" s="11"/>
      <c r="Z55" s="9"/>
      <c r="AA55" s="11"/>
      <c r="AB55" s="9"/>
      <c r="AC55" s="9"/>
      <c r="AD55" s="4"/>
      <c r="AE55" s="11"/>
      <c r="AF55" s="11"/>
      <c r="AG55" s="11"/>
      <c r="AH55" s="11"/>
      <c r="AI55" s="2"/>
      <c r="AK55" s="11"/>
      <c r="AL55" s="11"/>
      <c r="AM55" s="26"/>
      <c r="AN55" s="2"/>
      <c r="AO55" s="4"/>
      <c r="AP55" s="380"/>
      <c r="AQ55" s="67"/>
      <c r="AR55" s="67"/>
      <c r="AS55" s="1"/>
      <c r="AT55" s="87"/>
      <c r="AU55" s="87"/>
      <c r="AV55" s="381"/>
      <c r="AW55" s="127"/>
      <c r="AX55" s="127"/>
      <c r="AZ55" s="0"/>
    </row>
    <row r="56" customFormat="false" ht="11.1" hidden="false" customHeight="true" outlineLevel="0" collapsed="false">
      <c r="A56" s="11"/>
      <c r="B56" s="173"/>
      <c r="F56" s="11"/>
      <c r="G56" s="11"/>
      <c r="H56" s="11"/>
      <c r="I56" s="12"/>
      <c r="J56" s="11"/>
      <c r="K56" s="174"/>
      <c r="L56" s="11"/>
      <c r="M56" s="11"/>
      <c r="N56" s="11"/>
      <c r="O56" s="11"/>
      <c r="Q56" s="11"/>
      <c r="R56" s="11"/>
      <c r="S56" s="11"/>
      <c r="T56" s="11"/>
      <c r="V56" s="11"/>
      <c r="W56" s="11"/>
      <c r="X56" s="11"/>
      <c r="Y56" s="11"/>
      <c r="Z56" s="9"/>
      <c r="AA56" s="11"/>
      <c r="AB56" s="9"/>
      <c r="AC56" s="9"/>
      <c r="AD56" s="4"/>
      <c r="AE56" s="11"/>
      <c r="AF56" s="11"/>
      <c r="AG56" s="11"/>
      <c r="AH56" s="11"/>
      <c r="AI56" s="2"/>
      <c r="AK56" s="11"/>
      <c r="AL56" s="11"/>
      <c r="AM56" s="130"/>
      <c r="AN56" s="2"/>
      <c r="AO56" s="4"/>
      <c r="AP56" s="380"/>
      <c r="AQ56" s="67"/>
      <c r="AR56" s="67"/>
      <c r="AS56" s="1"/>
      <c r="AT56" s="87"/>
      <c r="AU56" s="87"/>
      <c r="AV56" s="381"/>
      <c r="AW56" s="127"/>
      <c r="AX56" s="127"/>
    </row>
    <row r="57" customFormat="false" ht="11.1" hidden="false" customHeight="true" outlineLevel="0" collapsed="false">
      <c r="D57" s="2"/>
      <c r="H57" s="11"/>
      <c r="S57" s="4"/>
      <c r="T57" s="4"/>
      <c r="X57" s="1"/>
      <c r="Y57" s="1"/>
      <c r="Z57" s="9"/>
      <c r="AA57" s="1"/>
      <c r="AB57" s="9"/>
      <c r="AC57" s="9"/>
      <c r="AD57" s="4"/>
      <c r="AH57" s="1"/>
      <c r="AI57" s="2"/>
      <c r="AM57" s="26"/>
      <c r="AN57" s="2"/>
      <c r="AO57" s="4"/>
      <c r="AP57" s="380"/>
      <c r="AQ57" s="67"/>
      <c r="AR57" s="67"/>
      <c r="AS57" s="1"/>
      <c r="AT57" s="87"/>
      <c r="AU57" s="87"/>
      <c r="AV57" s="381"/>
      <c r="AW57" s="127"/>
      <c r="AX57" s="127"/>
    </row>
    <row r="58" customFormat="false" ht="11.1" hidden="false" customHeight="true" outlineLevel="0" collapsed="false">
      <c r="B58" s="176"/>
      <c r="C58" s="177"/>
      <c r="D58" s="177"/>
      <c r="E58" s="382"/>
      <c r="H58" s="179"/>
      <c r="K58" s="383"/>
      <c r="L58" s="179"/>
      <c r="O58" s="179"/>
      <c r="P58" s="8"/>
      <c r="Q58" s="179"/>
      <c r="R58" s="179"/>
      <c r="S58" s="26"/>
      <c r="T58" s="26"/>
      <c r="U58" s="93"/>
      <c r="V58" s="26"/>
      <c r="W58" s="26"/>
      <c r="X58" s="90"/>
      <c r="Y58" s="90"/>
      <c r="Z58" s="182"/>
      <c r="AA58" s="90"/>
      <c r="AC58" s="182"/>
      <c r="AD58" s="182"/>
      <c r="AE58" s="177"/>
      <c r="AF58" s="177"/>
      <c r="AG58" s="177"/>
      <c r="AI58" s="177"/>
      <c r="AJ58" s="325"/>
      <c r="AN58" s="87"/>
      <c r="AO58" s="87"/>
      <c r="AP58" s="87"/>
    </row>
    <row r="59" customFormat="false" ht="11.1" hidden="false" customHeight="true" outlineLevel="0" collapsed="false">
      <c r="B59" s="8"/>
      <c r="C59" s="177"/>
      <c r="D59" s="177"/>
      <c r="E59" s="382"/>
      <c r="F59" s="384"/>
      <c r="G59" s="176"/>
      <c r="K59" s="174"/>
      <c r="Z59" s="2"/>
      <c r="AC59" s="2"/>
      <c r="AD59" s="2"/>
      <c r="AN59" s="87"/>
      <c r="AO59" s="87"/>
      <c r="AP59" s="87"/>
    </row>
    <row r="61" customFormat="false" ht="11.1" hidden="false" customHeight="true" outlineLevel="0" collapsed="false">
      <c r="B61" s="171"/>
    </row>
  </sheetData>
  <mergeCells count="1">
    <mergeCell ref="M5:U5"/>
  </mergeCells>
  <printOptions headings="true" gridLines="true" gridLinesSet="true" horizontalCentered="false" verticalCentered="true"/>
  <pageMargins left="0.25" right="0.25" top="0.5" bottom="0" header="0.5" footer="0.511811023622047"/>
  <pageSetup paperSize="3" scale="90" fitToWidth="1" fitToHeight="1" pageOrder="downThenOver" orientation="landscape" blackAndWhite="false" draft="false" cellComments="atEnd" horizontalDpi="300" verticalDpi="300" copies="1"/>
  <headerFooter differentFirst="false" differentOddEven="false">
    <oddHeader>&amp;C2012 Approved</oddHeader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Z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Y15" activePane="bottomRight" state="frozen"/>
      <selection pane="topLeft" activeCell="A1" activeCellId="0" sqref="A1"/>
      <selection pane="topRight" activeCell="Y1" activeCellId="0" sqref="Y1"/>
      <selection pane="bottomLeft" activeCell="A15" activeCellId="0" sqref="A15"/>
      <selection pane="bottomRight" activeCell="AQ16" activeCellId="0" sqref="AQ16"/>
    </sheetView>
  </sheetViews>
  <sheetFormatPr defaultColWidth="9.328125" defaultRowHeight="11.1" zeroHeight="false" outlineLevelRow="0" outlineLevelCol="0"/>
  <cols>
    <col collapsed="false" customWidth="true" hidden="false" outlineLevel="0" max="1" min="1" style="176" width="4.66"/>
    <col collapsed="false" customWidth="true" hidden="false" outlineLevel="0" max="2" min="2" style="176" width="6.99"/>
    <col collapsed="false" customWidth="true" hidden="false" outlineLevel="0" max="3" min="3" style="177" width="6.32"/>
    <col collapsed="false" customWidth="true" hidden="false" outlineLevel="0" max="4" min="4" style="176" width="6.32"/>
    <col collapsed="false" customWidth="true" hidden="false" outlineLevel="0" max="5" min="5" style="177" width="6.99"/>
    <col collapsed="false" customWidth="true" hidden="false" outlineLevel="0" max="6" min="6" style="176" width="7.32"/>
    <col collapsed="false" customWidth="true" hidden="false" outlineLevel="0" max="7" min="7" style="176" width="6.82"/>
    <col collapsed="false" customWidth="true" hidden="false" outlineLevel="0" max="8" min="8" style="179" width="5.66"/>
    <col collapsed="false" customWidth="true" hidden="false" outlineLevel="0" max="11" min="9" style="176" width="6.32"/>
    <col collapsed="false" customWidth="true" hidden="false" outlineLevel="0" max="12" min="12" style="176" width="6.82"/>
    <col collapsed="false" customWidth="true" hidden="false" outlineLevel="0" max="13" min="13" style="179" width="5.49"/>
    <col collapsed="false" customWidth="true" hidden="false" outlineLevel="0" max="14" min="14" style="8" width="4.49"/>
    <col collapsed="false" customWidth="true" hidden="false" outlineLevel="0" max="15" min="15" style="179" width="5.49"/>
    <col collapsed="false" customWidth="true" hidden="false" outlineLevel="0" max="16" min="16" style="8" width="4.82"/>
    <col collapsed="false" customWidth="true" hidden="false" outlineLevel="0" max="18" min="17" style="179" width="4.32"/>
    <col collapsed="false" customWidth="true" hidden="false" outlineLevel="0" max="20" min="19" style="272" width="4.32"/>
    <col collapsed="false" customWidth="true" hidden="false" outlineLevel="0" max="21" min="21" style="8" width="5.16"/>
    <col collapsed="false" customWidth="true" hidden="false" outlineLevel="0" max="23" min="22" style="176" width="5.49"/>
    <col collapsed="false" customWidth="true" hidden="false" outlineLevel="0" max="25" min="24" style="177" width="6.32"/>
    <col collapsed="false" customWidth="true" hidden="false" outlineLevel="0" max="26" min="26" style="176" width="5.49"/>
    <col collapsed="false" customWidth="true" hidden="false" outlineLevel="0" max="27" min="27" style="177" width="6.32"/>
    <col collapsed="false" customWidth="true" hidden="false" outlineLevel="0" max="28" min="28" style="176" width="5.49"/>
    <col collapsed="false" customWidth="true" hidden="false" outlineLevel="0" max="29" min="29" style="176" width="5.82"/>
    <col collapsed="false" customWidth="true" hidden="false" outlineLevel="0" max="33" min="30" style="176" width="5.49"/>
    <col collapsed="false" customWidth="true" hidden="false" outlineLevel="0" max="34" min="34" style="182" width="6.32"/>
    <col collapsed="false" customWidth="true" hidden="false" outlineLevel="0" max="35" min="35" style="176" width="5.49"/>
    <col collapsed="false" customWidth="true" hidden="false" outlineLevel="0" max="36" min="36" style="325" width="6.32"/>
    <col collapsed="false" customWidth="true" hidden="false" outlineLevel="0" max="37" min="37" style="176" width="6.32"/>
    <col collapsed="false" customWidth="true" hidden="false" outlineLevel="0" max="38" min="38" style="176" width="6.82"/>
    <col collapsed="false" customWidth="true" hidden="false" outlineLevel="0" max="39" min="39" style="8" width="6.82"/>
    <col collapsed="false" customWidth="true" hidden="false" outlineLevel="0" max="40" min="40" style="177" width="5.49"/>
    <col collapsed="false" customWidth="true" hidden="false" outlineLevel="0" max="41" min="41" style="176" width="5.49"/>
    <col collapsed="false" customWidth="true" hidden="false" outlineLevel="0" max="42" min="42" style="176" width="6.32"/>
    <col collapsed="false" customWidth="true" hidden="false" outlineLevel="0" max="43" min="43" style="193" width="6.32"/>
    <col collapsed="false" customWidth="true" hidden="false" outlineLevel="0" max="44" min="44" style="194" width="5.49"/>
    <col collapsed="false" customWidth="true" hidden="false" outlineLevel="0" max="45" min="45" style="176" width="5.32"/>
    <col collapsed="false" customWidth="true" hidden="false" outlineLevel="0" max="46" min="46" style="325" width="5.82"/>
    <col collapsed="false" customWidth="true" hidden="false" outlineLevel="0" max="47" min="47" style="180" width="4.99"/>
    <col collapsed="false" customWidth="true" hidden="false" outlineLevel="0" max="48" min="48" style="178" width="5.32"/>
    <col collapsed="false" customWidth="true" hidden="false" outlineLevel="0" max="49" min="49" style="182" width="3.82"/>
    <col collapsed="false" customWidth="true" hidden="false" outlineLevel="0" max="50" min="50" style="183" width="3.82"/>
    <col collapsed="false" customWidth="true" hidden="false" outlineLevel="0" max="51" min="51" style="176" width="3.82"/>
    <col collapsed="false" customWidth="true" hidden="false" outlineLevel="0" max="52" min="52" style="176" width="5.49"/>
    <col collapsed="false" customWidth="false" hidden="false" outlineLevel="0" max="257" min="53" style="184" width="9.32"/>
  </cols>
  <sheetData>
    <row r="1" customFormat="false" ht="14.1" hidden="false" customHeight="true" outlineLevel="0" collapsed="false">
      <c r="A1" s="185"/>
      <c r="B1" s="185"/>
      <c r="D1" s="185"/>
      <c r="F1" s="185"/>
      <c r="G1" s="185"/>
      <c r="I1" s="185"/>
      <c r="J1" s="185"/>
      <c r="K1" s="190" t="s">
        <v>0</v>
      </c>
      <c r="L1" s="185"/>
      <c r="M1" s="185"/>
      <c r="O1" s="185"/>
      <c r="Q1" s="185"/>
      <c r="R1" s="185"/>
      <c r="V1" s="185"/>
      <c r="W1" s="185"/>
      <c r="Z1" s="185"/>
      <c r="AB1" s="185"/>
      <c r="AC1" s="185"/>
      <c r="AD1" s="185"/>
      <c r="AE1" s="185"/>
      <c r="AF1" s="185"/>
      <c r="AG1" s="185"/>
      <c r="AI1" s="185"/>
      <c r="AK1" s="185"/>
      <c r="AL1" s="185"/>
      <c r="AN1" s="225"/>
      <c r="AO1" s="188"/>
      <c r="AP1" s="188"/>
    </row>
    <row r="2" customFormat="false" ht="14.1" hidden="false" customHeight="true" outlineLevel="0" collapsed="false">
      <c r="A2" s="188" t="s">
        <v>1</v>
      </c>
      <c r="B2" s="185"/>
      <c r="D2" s="189" t="n">
        <v>1.9835</v>
      </c>
      <c r="F2" s="185"/>
      <c r="G2" s="185"/>
      <c r="I2" s="185"/>
      <c r="J2" s="185"/>
      <c r="K2" s="190" t="s">
        <v>126</v>
      </c>
      <c r="L2" s="191"/>
      <c r="M2" s="192"/>
      <c r="N2" s="193"/>
      <c r="O2" s="192"/>
      <c r="P2" s="193"/>
      <c r="Q2" s="192"/>
      <c r="R2" s="192"/>
      <c r="S2" s="385"/>
      <c r="T2" s="385"/>
      <c r="U2" s="193"/>
      <c r="V2" s="192"/>
      <c r="W2" s="192"/>
      <c r="X2" s="84"/>
      <c r="Y2" s="84"/>
      <c r="Z2" s="192"/>
      <c r="AA2" s="84"/>
      <c r="AB2" s="192"/>
      <c r="AC2" s="192"/>
      <c r="AD2" s="192"/>
      <c r="AE2" s="185"/>
      <c r="AF2" s="185"/>
      <c r="AG2" s="185"/>
      <c r="AI2" s="185"/>
      <c r="AK2" s="185"/>
      <c r="AL2" s="185"/>
      <c r="AN2" s="225"/>
      <c r="AO2" s="188"/>
      <c r="AP2" s="188"/>
    </row>
    <row r="3" customFormat="false" ht="14.1" hidden="false" customHeight="true" outlineLevel="0" collapsed="false">
      <c r="A3" s="185"/>
      <c r="B3" s="185"/>
      <c r="D3" s="386"/>
      <c r="F3" s="185"/>
      <c r="G3" s="185"/>
      <c r="I3" s="185"/>
      <c r="J3" s="185"/>
      <c r="K3" s="185"/>
      <c r="L3" s="185"/>
      <c r="M3" s="185"/>
      <c r="O3" s="185"/>
      <c r="Q3" s="185"/>
      <c r="R3" s="185"/>
      <c r="V3" s="185"/>
      <c r="W3" s="185"/>
      <c r="Z3" s="185"/>
      <c r="AB3" s="185"/>
      <c r="AC3" s="185"/>
      <c r="AD3" s="185"/>
      <c r="AE3" s="185"/>
      <c r="AF3" s="185"/>
      <c r="AG3" s="185"/>
      <c r="AI3" s="185"/>
      <c r="AK3" s="185"/>
      <c r="AL3" s="185"/>
      <c r="AN3" s="225"/>
      <c r="AO3" s="201"/>
      <c r="AP3" s="201"/>
    </row>
    <row r="4" s="176" customFormat="true" ht="14.1" hidden="false" customHeight="true" outlineLevel="0" collapsed="false">
      <c r="A4" s="387"/>
      <c r="B4" s="388"/>
      <c r="C4" s="389"/>
      <c r="D4" s="390" t="s">
        <v>3</v>
      </c>
      <c r="E4" s="389"/>
      <c r="F4" s="387"/>
      <c r="G4" s="388"/>
      <c r="H4" s="391"/>
      <c r="I4" s="392" t="s">
        <v>111</v>
      </c>
      <c r="J4" s="387"/>
      <c r="K4" s="387"/>
      <c r="L4" s="393"/>
      <c r="M4" s="387"/>
      <c r="N4" s="394"/>
      <c r="O4" s="387"/>
      <c r="P4" s="394"/>
      <c r="Q4" s="387"/>
      <c r="R4" s="387"/>
      <c r="S4" s="395"/>
      <c r="T4" s="395"/>
      <c r="U4" s="394"/>
      <c r="V4" s="392"/>
      <c r="W4" s="387"/>
      <c r="X4" s="392" t="s">
        <v>5</v>
      </c>
      <c r="Y4" s="389"/>
      <c r="Z4" s="387"/>
      <c r="AA4" s="389"/>
      <c r="AB4" s="387"/>
      <c r="AC4" s="387"/>
      <c r="AD4" s="387"/>
      <c r="AE4" s="387"/>
      <c r="AF4" s="387"/>
      <c r="AG4" s="387"/>
      <c r="AH4" s="396"/>
      <c r="AI4" s="387"/>
      <c r="AJ4" s="397"/>
      <c r="AK4" s="387"/>
      <c r="AL4" s="387"/>
      <c r="AM4" s="394"/>
      <c r="AN4" s="43"/>
      <c r="AO4" s="30"/>
      <c r="AP4" s="398" t="s">
        <v>6</v>
      </c>
      <c r="AQ4" s="47"/>
      <c r="AR4" s="399"/>
      <c r="AS4" s="48"/>
      <c r="AT4" s="397"/>
      <c r="AU4" s="397"/>
      <c r="AV4" s="400"/>
      <c r="AW4" s="401" t="s">
        <v>7</v>
      </c>
      <c r="AX4" s="402"/>
      <c r="AY4" s="403"/>
      <c r="AZ4" s="404"/>
    </row>
    <row r="5" customFormat="false" ht="12.95" hidden="false" customHeight="true" outlineLevel="0" collapsed="false">
      <c r="A5" s="323" t="s">
        <v>8</v>
      </c>
      <c r="B5" s="405" t="s">
        <v>9</v>
      </c>
      <c r="C5" s="406" t="s">
        <v>9</v>
      </c>
      <c r="D5" s="323" t="s">
        <v>10</v>
      </c>
      <c r="E5" s="406" t="s">
        <v>11</v>
      </c>
      <c r="F5" s="323" t="s">
        <v>12</v>
      </c>
      <c r="G5" s="405" t="s">
        <v>13</v>
      </c>
      <c r="H5" s="407" t="s">
        <v>14</v>
      </c>
      <c r="I5" s="323" t="s">
        <v>15</v>
      </c>
      <c r="J5" s="323" t="s">
        <v>16</v>
      </c>
      <c r="K5" s="323" t="s">
        <v>17</v>
      </c>
      <c r="L5" s="323" t="s">
        <v>16</v>
      </c>
      <c r="M5" s="408" t="s">
        <v>18</v>
      </c>
      <c r="N5" s="408"/>
      <c r="O5" s="408"/>
      <c r="P5" s="408"/>
      <c r="Q5" s="408"/>
      <c r="R5" s="408"/>
      <c r="S5" s="408"/>
      <c r="T5" s="408"/>
      <c r="U5" s="408"/>
      <c r="V5" s="323" t="s">
        <v>19</v>
      </c>
      <c r="W5" s="323" t="s">
        <v>20</v>
      </c>
      <c r="X5" s="55" t="s">
        <v>17</v>
      </c>
      <c r="Y5" s="55" t="s">
        <v>17</v>
      </c>
      <c r="Z5" s="61" t="s">
        <v>21</v>
      </c>
      <c r="AA5" s="55" t="s">
        <v>21</v>
      </c>
      <c r="AB5" s="61" t="s">
        <v>21</v>
      </c>
      <c r="AC5" s="406" t="s">
        <v>22</v>
      </c>
      <c r="AD5" s="406" t="s">
        <v>21</v>
      </c>
      <c r="AE5" s="323" t="s">
        <v>23</v>
      </c>
      <c r="AF5" s="409" t="s">
        <v>127</v>
      </c>
      <c r="AG5" s="410"/>
      <c r="AH5" s="411" t="s">
        <v>25</v>
      </c>
      <c r="AI5" s="406" t="s">
        <v>128</v>
      </c>
      <c r="AJ5" s="407" t="s">
        <v>27</v>
      </c>
      <c r="AK5" s="323" t="s">
        <v>15</v>
      </c>
      <c r="AL5" s="323" t="s">
        <v>16</v>
      </c>
      <c r="AM5" s="323" t="s">
        <v>17</v>
      </c>
      <c r="AN5" s="66" t="s">
        <v>28</v>
      </c>
      <c r="AO5" s="61" t="s">
        <v>21</v>
      </c>
      <c r="AP5" s="67" t="s">
        <v>29</v>
      </c>
      <c r="AQ5" s="67" t="s">
        <v>29</v>
      </c>
      <c r="AR5" s="62" t="s">
        <v>30</v>
      </c>
      <c r="AS5" s="68" t="s">
        <v>31</v>
      </c>
      <c r="AT5" s="407" t="s">
        <v>32</v>
      </c>
      <c r="AU5" s="210" t="s">
        <v>33</v>
      </c>
      <c r="AV5" s="412" t="s">
        <v>34</v>
      </c>
      <c r="AW5" s="411" t="s">
        <v>35</v>
      </c>
      <c r="AX5" s="411" t="s">
        <v>36</v>
      </c>
      <c r="AY5" s="274"/>
      <c r="AZ5" s="72" t="s">
        <v>17</v>
      </c>
    </row>
    <row r="6" customFormat="false" ht="12.95" hidden="false" customHeight="true" outlineLevel="0" collapsed="false">
      <c r="A6" s="413" t="s">
        <v>129</v>
      </c>
      <c r="B6" s="405" t="s">
        <v>38</v>
      </c>
      <c r="C6" s="406"/>
      <c r="D6" s="323" t="s">
        <v>39</v>
      </c>
      <c r="E6" s="406" t="s">
        <v>40</v>
      </c>
      <c r="F6" s="323" t="s">
        <v>41</v>
      </c>
      <c r="G6" s="405" t="s">
        <v>42</v>
      </c>
      <c r="H6" s="407" t="s">
        <v>43</v>
      </c>
      <c r="I6" s="323" t="s">
        <v>44</v>
      </c>
      <c r="J6" s="323" t="s">
        <v>44</v>
      </c>
      <c r="K6" s="323" t="s">
        <v>44</v>
      </c>
      <c r="L6" s="323" t="s">
        <v>45</v>
      </c>
      <c r="M6" s="414" t="s">
        <v>46</v>
      </c>
      <c r="N6" s="69" t="s">
        <v>47</v>
      </c>
      <c r="O6" s="323" t="s">
        <v>48</v>
      </c>
      <c r="P6" s="69" t="s">
        <v>49</v>
      </c>
      <c r="Q6" s="58" t="s">
        <v>50</v>
      </c>
      <c r="R6" s="58" t="s">
        <v>51</v>
      </c>
      <c r="S6" s="58"/>
      <c r="T6" s="58" t="s">
        <v>48</v>
      </c>
      <c r="U6" s="415" t="s">
        <v>52</v>
      </c>
      <c r="V6" s="323" t="s">
        <v>53</v>
      </c>
      <c r="W6" s="323" t="s">
        <v>54</v>
      </c>
      <c r="X6" s="55" t="s">
        <v>21</v>
      </c>
      <c r="Y6" s="55" t="s">
        <v>21</v>
      </c>
      <c r="Z6" s="61" t="s">
        <v>55</v>
      </c>
      <c r="AA6" s="55" t="s">
        <v>55</v>
      </c>
      <c r="AB6" s="61" t="s">
        <v>56</v>
      </c>
      <c r="AC6" s="406" t="s">
        <v>57</v>
      </c>
      <c r="AD6" s="406" t="s">
        <v>58</v>
      </c>
      <c r="AE6" s="323" t="s">
        <v>59</v>
      </c>
      <c r="AF6" s="74" t="s">
        <v>60</v>
      </c>
      <c r="AG6" s="77" t="s">
        <v>61</v>
      </c>
      <c r="AH6" s="411" t="s">
        <v>62</v>
      </c>
      <c r="AI6" s="406" t="s">
        <v>63</v>
      </c>
      <c r="AJ6" s="407"/>
      <c r="AK6" s="323" t="s">
        <v>64</v>
      </c>
      <c r="AL6" s="323" t="s">
        <v>64</v>
      </c>
      <c r="AM6" s="323" t="s">
        <v>64</v>
      </c>
      <c r="AN6" s="66" t="s">
        <v>65</v>
      </c>
      <c r="AO6" s="61" t="s">
        <v>66</v>
      </c>
      <c r="AP6" s="67" t="s">
        <v>67</v>
      </c>
      <c r="AQ6" s="67" t="s">
        <v>67</v>
      </c>
      <c r="AR6" s="62" t="s">
        <v>68</v>
      </c>
      <c r="AS6" s="68" t="s">
        <v>69</v>
      </c>
      <c r="AT6" s="407" t="s">
        <v>70</v>
      </c>
      <c r="AU6" s="210" t="s">
        <v>71</v>
      </c>
      <c r="AV6" s="416"/>
      <c r="AW6" s="411" t="s">
        <v>72</v>
      </c>
      <c r="AX6" s="411" t="s">
        <v>72</v>
      </c>
      <c r="AY6" s="274"/>
      <c r="AZ6" s="72" t="s">
        <v>73</v>
      </c>
    </row>
    <row r="7" customFormat="false" ht="12.95" hidden="false" customHeight="true" outlineLevel="0" collapsed="false">
      <c r="A7" s="323"/>
      <c r="B7" s="405"/>
      <c r="C7" s="406"/>
      <c r="D7" s="323"/>
      <c r="E7" s="406"/>
      <c r="F7" s="323"/>
      <c r="G7" s="405"/>
      <c r="H7" s="407"/>
      <c r="I7" s="323"/>
      <c r="J7" s="323"/>
      <c r="K7" s="323"/>
      <c r="L7" s="417"/>
      <c r="M7" s="323"/>
      <c r="N7" s="69" t="s">
        <v>74</v>
      </c>
      <c r="O7" s="323" t="s">
        <v>75</v>
      </c>
      <c r="P7" s="69"/>
      <c r="Q7" s="58" t="s">
        <v>76</v>
      </c>
      <c r="R7" s="58" t="s">
        <v>76</v>
      </c>
      <c r="S7" s="58" t="s">
        <v>61</v>
      </c>
      <c r="T7" s="58" t="s">
        <v>61</v>
      </c>
      <c r="U7" s="415" t="s">
        <v>77</v>
      </c>
      <c r="V7" s="323"/>
      <c r="W7" s="323"/>
      <c r="X7" s="65" t="s">
        <v>78</v>
      </c>
      <c r="Y7" s="57" t="s">
        <v>79</v>
      </c>
      <c r="Z7" s="61" t="s">
        <v>80</v>
      </c>
      <c r="AA7" s="55" t="s">
        <v>81</v>
      </c>
      <c r="AB7" s="61" t="s">
        <v>82</v>
      </c>
      <c r="AC7" s="406"/>
      <c r="AD7" s="406"/>
      <c r="AE7" s="323"/>
      <c r="AF7" s="79" t="n">
        <v>1.7</v>
      </c>
      <c r="AG7" s="79" t="n">
        <v>1.3</v>
      </c>
      <c r="AH7" s="411"/>
      <c r="AI7" s="406"/>
      <c r="AJ7" s="407"/>
      <c r="AK7" s="323"/>
      <c r="AL7" s="323"/>
      <c r="AM7" s="323"/>
      <c r="AN7" s="66"/>
      <c r="AO7" s="61" t="s">
        <v>41</v>
      </c>
      <c r="AP7" s="67" t="s">
        <v>83</v>
      </c>
      <c r="AQ7" s="67" t="s">
        <v>84</v>
      </c>
      <c r="AR7" s="62" t="s">
        <v>85</v>
      </c>
      <c r="AS7" s="68" t="s">
        <v>86</v>
      </c>
      <c r="AT7" s="407" t="s">
        <v>87</v>
      </c>
      <c r="AU7" s="210" t="s">
        <v>88</v>
      </c>
      <c r="AV7" s="416"/>
      <c r="AW7" s="411"/>
      <c r="AX7" s="411"/>
      <c r="AY7" s="274"/>
      <c r="AZ7" s="72" t="s">
        <v>89</v>
      </c>
    </row>
    <row r="8" customFormat="false" ht="12.95" hidden="false" customHeight="true" outlineLevel="0" collapsed="false">
      <c r="A8" s="323"/>
      <c r="B8" s="405"/>
      <c r="C8" s="406"/>
      <c r="D8" s="323"/>
      <c r="E8" s="406"/>
      <c r="F8" s="323"/>
      <c r="G8" s="405"/>
      <c r="H8" s="407"/>
      <c r="I8" s="323"/>
      <c r="J8" s="323"/>
      <c r="K8" s="323"/>
      <c r="L8" s="417"/>
      <c r="M8" s="323"/>
      <c r="N8" s="69"/>
      <c r="O8" s="323"/>
      <c r="P8" s="69"/>
      <c r="Q8" s="58" t="s">
        <v>61</v>
      </c>
      <c r="R8" s="58" t="s">
        <v>61</v>
      </c>
      <c r="S8" s="58"/>
      <c r="T8" s="58"/>
      <c r="U8" s="415"/>
      <c r="V8" s="323"/>
      <c r="W8" s="323"/>
      <c r="X8" s="65" t="s">
        <v>90</v>
      </c>
      <c r="Y8" s="57" t="s">
        <v>78</v>
      </c>
      <c r="Z8" s="61"/>
      <c r="AA8" s="57" t="s">
        <v>91</v>
      </c>
      <c r="AB8" s="61" t="s">
        <v>92</v>
      </c>
      <c r="AC8" s="406"/>
      <c r="AD8" s="406"/>
      <c r="AE8" s="323"/>
      <c r="AF8" s="418"/>
      <c r="AG8" s="419"/>
      <c r="AH8" s="411"/>
      <c r="AI8" s="406"/>
      <c r="AJ8" s="407"/>
      <c r="AK8" s="323"/>
      <c r="AL8" s="323"/>
      <c r="AM8" s="323"/>
      <c r="AN8" s="66"/>
      <c r="AO8" s="61"/>
      <c r="AP8" s="67"/>
      <c r="AQ8" s="67"/>
      <c r="AR8" s="62"/>
      <c r="AS8" s="68"/>
      <c r="AT8" s="407"/>
      <c r="AU8" s="210"/>
      <c r="AV8" s="416"/>
      <c r="AW8" s="411"/>
      <c r="AX8" s="411"/>
      <c r="AY8" s="274"/>
      <c r="AZ8" s="72"/>
    </row>
    <row r="9" customFormat="false" ht="12.95" hidden="false" customHeight="true" outlineLevel="0" collapsed="false">
      <c r="A9" s="323"/>
      <c r="B9" s="405"/>
      <c r="C9" s="406"/>
      <c r="D9" s="323"/>
      <c r="E9" s="406"/>
      <c r="F9" s="323"/>
      <c r="G9" s="405"/>
      <c r="H9" s="407"/>
      <c r="I9" s="323"/>
      <c r="J9" s="323"/>
      <c r="K9" s="323"/>
      <c r="L9" s="417"/>
      <c r="M9" s="323"/>
      <c r="N9" s="69"/>
      <c r="O9" s="323"/>
      <c r="P9" s="69"/>
      <c r="Q9" s="58"/>
      <c r="R9" s="81" t="n">
        <v>4.2</v>
      </c>
      <c r="S9" s="58"/>
      <c r="T9" s="58"/>
      <c r="U9" s="415"/>
      <c r="V9" s="323"/>
      <c r="W9" s="323"/>
      <c r="X9" s="65"/>
      <c r="Y9" s="57" t="s">
        <v>90</v>
      </c>
      <c r="Z9" s="61"/>
      <c r="AA9" s="57" t="s">
        <v>90</v>
      </c>
      <c r="AB9" s="61" t="s">
        <v>93</v>
      </c>
      <c r="AC9" s="406"/>
      <c r="AD9" s="406"/>
      <c r="AE9" s="323"/>
      <c r="AF9" s="418"/>
      <c r="AG9" s="419"/>
      <c r="AH9" s="411"/>
      <c r="AI9" s="406"/>
      <c r="AJ9" s="407"/>
      <c r="AK9" s="323"/>
      <c r="AL9" s="323"/>
      <c r="AM9" s="323"/>
      <c r="AN9" s="66"/>
      <c r="AO9" s="61"/>
      <c r="AP9" s="67"/>
      <c r="AQ9" s="67"/>
      <c r="AR9" s="62"/>
      <c r="AS9" s="68"/>
      <c r="AT9" s="407"/>
      <c r="AU9" s="210"/>
      <c r="AV9" s="416"/>
      <c r="AW9" s="411"/>
      <c r="AX9" s="411"/>
      <c r="AY9" s="274"/>
      <c r="AZ9" s="72"/>
    </row>
    <row r="10" customFormat="false" ht="12.95" hidden="false" customHeight="true" outlineLevel="0" collapsed="false">
      <c r="A10" s="323"/>
      <c r="B10" s="405"/>
      <c r="C10" s="406" t="s">
        <v>10</v>
      </c>
      <c r="D10" s="323"/>
      <c r="E10" s="406" t="s">
        <v>95</v>
      </c>
      <c r="F10" s="323"/>
      <c r="G10" s="405" t="s">
        <v>41</v>
      </c>
      <c r="H10" s="407" t="s">
        <v>41</v>
      </c>
      <c r="I10" s="407" t="s">
        <v>41</v>
      </c>
      <c r="J10" s="407" t="s">
        <v>41</v>
      </c>
      <c r="K10" s="407" t="s">
        <v>41</v>
      </c>
      <c r="L10" s="420" t="s">
        <v>41</v>
      </c>
      <c r="M10" s="407" t="s">
        <v>41</v>
      </c>
      <c r="N10" s="407" t="s">
        <v>41</v>
      </c>
      <c r="O10" s="407" t="s">
        <v>41</v>
      </c>
      <c r="P10" s="407" t="s">
        <v>41</v>
      </c>
      <c r="Q10" s="58" t="s">
        <v>41</v>
      </c>
      <c r="R10" s="58" t="s">
        <v>41</v>
      </c>
      <c r="S10" s="58" t="s">
        <v>41</v>
      </c>
      <c r="T10" s="58" t="s">
        <v>41</v>
      </c>
      <c r="U10" s="420" t="s">
        <v>41</v>
      </c>
      <c r="V10" s="407" t="s">
        <v>41</v>
      </c>
      <c r="W10" s="407" t="s">
        <v>41</v>
      </c>
      <c r="X10" s="57" t="n">
        <v>153400</v>
      </c>
      <c r="Y10" s="57" t="n">
        <v>150400</v>
      </c>
      <c r="Z10" s="58" t="s">
        <v>41</v>
      </c>
      <c r="AA10" s="57"/>
      <c r="AB10" s="57" t="n">
        <v>72000</v>
      </c>
      <c r="AC10" s="407" t="s">
        <v>41</v>
      </c>
      <c r="AD10" s="407" t="s">
        <v>41</v>
      </c>
      <c r="AE10" s="407" t="s">
        <v>41</v>
      </c>
      <c r="AF10" s="421" t="s">
        <v>41</v>
      </c>
      <c r="AG10" s="420" t="s">
        <v>41</v>
      </c>
      <c r="AH10" s="407" t="s">
        <v>41</v>
      </c>
      <c r="AI10" s="407" t="s">
        <v>41</v>
      </c>
      <c r="AJ10" s="407" t="s">
        <v>41</v>
      </c>
      <c r="AK10" s="407" t="s">
        <v>41</v>
      </c>
      <c r="AL10" s="407" t="s">
        <v>41</v>
      </c>
      <c r="AM10" s="407" t="s">
        <v>41</v>
      </c>
      <c r="AN10" s="61" t="s">
        <v>41</v>
      </c>
      <c r="AO10" s="61" t="s">
        <v>41</v>
      </c>
      <c r="AP10" s="61" t="s">
        <v>41</v>
      </c>
      <c r="AQ10" s="67" t="s">
        <v>96</v>
      </c>
      <c r="AR10" s="62" t="s">
        <v>41</v>
      </c>
      <c r="AS10" s="61" t="s">
        <v>41</v>
      </c>
      <c r="AT10" s="62" t="s">
        <v>41</v>
      </c>
      <c r="AU10" s="61" t="s">
        <v>41</v>
      </c>
      <c r="AV10" s="416"/>
      <c r="AW10" s="411"/>
      <c r="AX10" s="411"/>
      <c r="AY10" s="274"/>
      <c r="AZ10" s="72" t="s">
        <v>97</v>
      </c>
    </row>
    <row r="11" customFormat="false" ht="12.95" hidden="false" customHeight="true" outlineLevel="0" collapsed="false">
      <c r="A11" s="323"/>
      <c r="B11" s="405"/>
      <c r="C11" s="406"/>
      <c r="D11" s="323"/>
      <c r="E11" s="406"/>
      <c r="F11" s="323"/>
      <c r="G11" s="405"/>
      <c r="H11" s="407"/>
      <c r="I11" s="323"/>
      <c r="J11" s="323"/>
      <c r="K11" s="323"/>
      <c r="L11" s="323"/>
      <c r="M11" s="414"/>
      <c r="N11" s="69" t="n">
        <v>1.03</v>
      </c>
      <c r="O11" s="422" t="n">
        <v>1.05</v>
      </c>
      <c r="P11" s="69" t="n">
        <v>1.02</v>
      </c>
      <c r="Q11" s="82" t="n">
        <v>1.02</v>
      </c>
      <c r="R11" s="83" t="n">
        <v>1.04</v>
      </c>
      <c r="S11" s="58"/>
      <c r="T11" s="82" t="n">
        <v>1.04</v>
      </c>
      <c r="U11" s="415"/>
      <c r="V11" s="323"/>
      <c r="W11" s="323"/>
      <c r="X11" s="58" t="s">
        <v>41</v>
      </c>
      <c r="Y11" s="58" t="s">
        <v>41</v>
      </c>
      <c r="Z11" s="58" t="s">
        <v>41</v>
      </c>
      <c r="AA11" s="57" t="s">
        <v>41</v>
      </c>
      <c r="AB11" s="84" t="s">
        <v>98</v>
      </c>
      <c r="AC11" s="406"/>
      <c r="AD11" s="406"/>
      <c r="AE11" s="323"/>
      <c r="AF11" s="418"/>
      <c r="AG11" s="419"/>
      <c r="AH11" s="411"/>
      <c r="AI11" s="406"/>
      <c r="AJ11" s="407"/>
      <c r="AK11" s="323"/>
      <c r="AL11" s="323"/>
      <c r="AM11" s="323"/>
      <c r="AN11" s="66"/>
      <c r="AO11" s="61"/>
      <c r="AP11" s="67"/>
      <c r="AQ11" s="67"/>
      <c r="AR11" s="62"/>
      <c r="AS11" s="87"/>
      <c r="AV11" s="416"/>
      <c r="AW11" s="411"/>
      <c r="AX11" s="411"/>
      <c r="AY11" s="274"/>
      <c r="AZ11" s="72" t="s">
        <v>41</v>
      </c>
    </row>
    <row r="12" customFormat="false" ht="12.95" hidden="false" customHeight="true" outlineLevel="0" collapsed="false">
      <c r="A12" s="188" t="s">
        <v>99</v>
      </c>
      <c r="B12" s="213"/>
      <c r="C12" s="107"/>
      <c r="D12" s="107"/>
      <c r="E12" s="107"/>
      <c r="F12" s="107" t="n">
        <f aca="false">APR!F49</f>
        <v>19055.7096042349</v>
      </c>
      <c r="G12" s="369" t="n">
        <f aca="false">APR!G49</f>
        <v>23801</v>
      </c>
      <c r="H12" s="136" t="n">
        <f aca="false">APR!H49</f>
        <v>705.7</v>
      </c>
      <c r="I12" s="107" t="n">
        <f aca="false">APR!I49</f>
        <v>24506.7</v>
      </c>
      <c r="J12" s="107" t="n">
        <f aca="false">APR!J49</f>
        <v>1466.64479455508</v>
      </c>
      <c r="K12" s="107" t="n">
        <f aca="false">APR!K49</f>
        <v>25973.3447945551</v>
      </c>
      <c r="L12" s="107" t="n">
        <f aca="false">APR!L49</f>
        <v>1459.60960423494</v>
      </c>
      <c r="M12" s="216" t="n">
        <f aca="false">APR!M49</f>
        <v>4275.7</v>
      </c>
      <c r="N12" s="136" t="n">
        <f aca="false">APR!N49</f>
        <v>28.271955</v>
      </c>
      <c r="O12" s="107" t="n">
        <f aca="false">APR!O49</f>
        <v>2312.7405</v>
      </c>
      <c r="P12" s="158" t="n">
        <f aca="false">APR!P49</f>
        <v>0</v>
      </c>
      <c r="Q12" s="107"/>
      <c r="R12" s="107"/>
      <c r="S12" s="336"/>
      <c r="T12" s="336"/>
      <c r="U12" s="217"/>
      <c r="V12" s="107" t="n">
        <f aca="false">APR!V49</f>
        <v>336</v>
      </c>
      <c r="W12" s="107" t="n">
        <f aca="false">APR!W49</f>
        <v>443.9</v>
      </c>
      <c r="X12" s="107" t="n">
        <f aca="false">APR!X49</f>
        <v>2594.84882875989</v>
      </c>
      <c r="Y12" s="107" t="n">
        <f aca="false">APR!Y49</f>
        <v>2176.01882875989</v>
      </c>
      <c r="Z12" s="107" t="n">
        <f aca="false">APR!Z44</f>
        <v>17621.5603785977</v>
      </c>
      <c r="AA12" s="107"/>
      <c r="AB12" s="107" t="n">
        <f aca="false">APR!AB44</f>
        <v>39046.3463577938</v>
      </c>
      <c r="AC12" s="107" t="n">
        <f aca="false">APR!AC44</f>
        <v>1652.50012947074</v>
      </c>
      <c r="AD12" s="107"/>
      <c r="AE12" s="107" t="n">
        <f aca="false">APR!AE49</f>
        <v>314</v>
      </c>
      <c r="AF12" s="216" t="n">
        <f aca="false">APR!AF49</f>
        <v>51</v>
      </c>
      <c r="AG12" s="218" t="n">
        <f aca="false">APR!AG49</f>
        <v>39</v>
      </c>
      <c r="AH12" s="215"/>
      <c r="AI12" s="107"/>
      <c r="AJ12" s="136" t="n">
        <f aca="false">APR!AJ49</f>
        <v>33</v>
      </c>
      <c r="AK12" s="107" t="n">
        <f aca="false">APR!AK49</f>
        <v>6910.6</v>
      </c>
      <c r="AL12" s="107" t="n">
        <f aca="false">APR!AL49</f>
        <v>7.03519032014117</v>
      </c>
      <c r="AM12" s="107" t="n">
        <f aca="false">APR!AM49</f>
        <v>6917.63519032014</v>
      </c>
      <c r="AN12" s="369"/>
      <c r="AO12" s="215"/>
      <c r="AP12" s="135"/>
      <c r="AQ12" s="158" t="n">
        <f aca="false">APR!AQ50</f>
        <v>129.197617284703</v>
      </c>
      <c r="AR12" s="136"/>
      <c r="AS12" s="107" t="n">
        <f aca="false">APR!AS49</f>
        <v>0</v>
      </c>
      <c r="AT12" s="136" t="n">
        <f aca="false">APR!AT49</f>
        <v>0</v>
      </c>
      <c r="AV12" s="222"/>
      <c r="AW12" s="215"/>
      <c r="AX12" s="215"/>
      <c r="AY12" s="274"/>
      <c r="AZ12" s="423"/>
    </row>
    <row r="13" s="230" customFormat="true" ht="12.95" hidden="false" customHeight="true" outlineLevel="0" collapsed="false">
      <c r="A13" s="225" t="s">
        <v>100</v>
      </c>
      <c r="B13" s="106" t="n">
        <f aca="false">APR!B44</f>
        <v>6914.66</v>
      </c>
      <c r="C13" s="107" t="n">
        <f aca="false">APR!C44</f>
        <v>340964</v>
      </c>
      <c r="D13" s="107" t="n">
        <f aca="false">APR!D53</f>
        <v>47279</v>
      </c>
      <c r="E13" s="107" t="n">
        <f aca="false">APR!E53</f>
        <v>188964</v>
      </c>
      <c r="F13" s="107" t="n">
        <f aca="false">APR!F52</f>
        <v>23873.4560120998</v>
      </c>
      <c r="G13" s="369" t="n">
        <f aca="false">APR!G52</f>
        <v>35865</v>
      </c>
      <c r="H13" s="136" t="n">
        <f aca="false">APR!H52</f>
        <v>1187.78</v>
      </c>
      <c r="I13" s="107" t="n">
        <f aca="false">APR!I52</f>
        <v>37052.16</v>
      </c>
      <c r="J13" s="107" t="n">
        <f aca="false">APR!J52</f>
        <v>6360.83263675321</v>
      </c>
      <c r="K13" s="107" t="n">
        <f aca="false">APR!K52</f>
        <v>43412.9926367532</v>
      </c>
      <c r="L13" s="107" t="n">
        <f aca="false">APR!L52</f>
        <v>5757.09601209982</v>
      </c>
      <c r="M13" s="216" t="n">
        <f aca="false">APR!M52</f>
        <v>5064.4</v>
      </c>
      <c r="N13" s="136" t="n">
        <f aca="false">APR!N52</f>
        <v>28.271955</v>
      </c>
      <c r="O13" s="107" t="n">
        <f aca="false">APR!O52</f>
        <v>2312.7405</v>
      </c>
      <c r="P13" s="158"/>
      <c r="Q13" s="107" t="n">
        <f aca="false">APR!Q52</f>
        <v>291.357825261961</v>
      </c>
      <c r="R13" s="107" t="n">
        <f aca="false">APR!R52</f>
        <v>321.3646864</v>
      </c>
      <c r="S13" s="278" t="n">
        <f aca="false">APR!S52</f>
        <v>4.69581824</v>
      </c>
      <c r="T13" s="226" t="n">
        <f aca="false">APR!T52</f>
        <v>98.09309536</v>
      </c>
      <c r="U13" s="424" t="n">
        <f aca="false">APR!U52</f>
        <v>27.7983443318626</v>
      </c>
      <c r="V13" s="107" t="n">
        <f aca="false">APR!V52</f>
        <v>6183</v>
      </c>
      <c r="W13" s="107" t="n">
        <f aca="false">APR!W52</f>
        <v>503.4</v>
      </c>
      <c r="X13" s="107" t="n">
        <f aca="false">APR!X52</f>
        <v>8666.47777540618</v>
      </c>
      <c r="Y13" s="80" t="n">
        <f aca="false">APR!Y52</f>
        <v>8044.85070328764</v>
      </c>
      <c r="Z13" s="107"/>
      <c r="AA13" s="80"/>
      <c r="AB13" s="107"/>
      <c r="AC13" s="107"/>
      <c r="AD13" s="107"/>
      <c r="AE13" s="107"/>
      <c r="AF13" s="216"/>
      <c r="AG13" s="218"/>
      <c r="AH13" s="215" t="n">
        <f aca="false">APR!AH52</f>
        <v>6871</v>
      </c>
      <c r="AI13" s="107" t="n">
        <f aca="false">APR!AI52</f>
        <v>14523.2578774893</v>
      </c>
      <c r="AJ13" s="136" t="n">
        <f aca="false">APR!AJ52</f>
        <v>33</v>
      </c>
      <c r="AK13" s="107" t="n">
        <f aca="false">APR!AK52</f>
        <v>18935.8</v>
      </c>
      <c r="AL13" s="107" t="n">
        <f aca="false">APR!AL52</f>
        <v>603.736624653391</v>
      </c>
      <c r="AM13" s="107" t="n">
        <f aca="false">APR!AM52</f>
        <v>19539.5366246534</v>
      </c>
      <c r="AN13" s="425" t="n">
        <f aca="false">APR!AN53</f>
        <v>11712.1708</v>
      </c>
      <c r="AO13" s="332" t="n">
        <f aca="false">APR!AO52</f>
        <v>621.627072118536</v>
      </c>
      <c r="AP13" s="107"/>
      <c r="AQ13" s="158"/>
      <c r="AR13" s="136"/>
      <c r="AS13" s="107" t="n">
        <f aca="false">APR!AS52</f>
        <v>0</v>
      </c>
      <c r="AT13" s="136"/>
      <c r="AU13" s="177"/>
      <c r="AV13" s="222" t="n">
        <f aca="false">APR!AV52</f>
        <v>2.84</v>
      </c>
      <c r="AW13" s="215"/>
      <c r="AX13" s="215"/>
      <c r="AY13" s="277"/>
      <c r="AZ13" s="426" t="n">
        <f aca="false">APR!AZ52</f>
        <v>771.581724593824</v>
      </c>
    </row>
    <row r="14" customFormat="false" ht="2.25" hidden="false" customHeight="true" outlineLevel="0" collapsed="false">
      <c r="A14" s="231"/>
      <c r="B14" s="232"/>
      <c r="C14" s="233"/>
      <c r="D14" s="234"/>
      <c r="E14" s="233"/>
      <c r="F14" s="234"/>
      <c r="G14" s="252"/>
      <c r="H14" s="240"/>
      <c r="I14" s="234"/>
      <c r="J14" s="234"/>
      <c r="K14" s="234"/>
      <c r="L14" s="234"/>
      <c r="M14" s="237"/>
      <c r="N14" s="238"/>
      <c r="O14" s="234"/>
      <c r="P14" s="238"/>
      <c r="Q14" s="234"/>
      <c r="R14" s="234"/>
      <c r="S14" s="427"/>
      <c r="T14" s="427"/>
      <c r="U14" s="239"/>
      <c r="V14" s="234"/>
      <c r="W14" s="234"/>
      <c r="X14" s="234"/>
      <c r="Y14" s="234"/>
      <c r="Z14" s="233"/>
      <c r="AA14" s="234"/>
      <c r="AB14" s="233"/>
      <c r="AC14" s="233"/>
      <c r="AD14" s="233"/>
      <c r="AE14" s="234"/>
      <c r="AF14" s="237"/>
      <c r="AG14" s="241"/>
      <c r="AH14" s="243"/>
      <c r="AI14" s="233"/>
      <c r="AJ14" s="240"/>
      <c r="AK14" s="234"/>
      <c r="AL14" s="234"/>
      <c r="AM14" s="234"/>
      <c r="AN14" s="261"/>
      <c r="AO14" s="243"/>
      <c r="AP14" s="243"/>
      <c r="AQ14" s="238"/>
      <c r="AR14" s="240"/>
      <c r="AS14" s="238"/>
      <c r="AT14" s="240"/>
      <c r="AU14" s="240"/>
      <c r="AV14" s="245"/>
      <c r="AW14" s="243"/>
      <c r="AX14" s="243"/>
      <c r="AY14" s="257"/>
      <c r="AZ14" s="317"/>
    </row>
    <row r="15" customFormat="false" ht="12.95" hidden="false" customHeight="true" outlineLevel="0" collapsed="false">
      <c r="A15" s="183" t="n">
        <v>1</v>
      </c>
      <c r="B15" s="106" t="n">
        <v>6914.83</v>
      </c>
      <c r="C15" s="107" t="n">
        <v>341668</v>
      </c>
      <c r="D15" s="215" t="n">
        <f aca="false">C15-C13</f>
        <v>704</v>
      </c>
      <c r="E15" s="107" t="n">
        <f aca="false">C15-152000</f>
        <v>189668</v>
      </c>
      <c r="F15" s="135" t="n">
        <f aca="false">D15/$D$2</f>
        <v>354.928157297706</v>
      </c>
      <c r="G15" s="213" t="n">
        <v>916</v>
      </c>
      <c r="H15" s="136" t="n">
        <v>3.6</v>
      </c>
      <c r="I15" s="135" t="n">
        <f aca="false">G15+H15</f>
        <v>919.6</v>
      </c>
      <c r="J15" s="136" t="n">
        <f aca="false">IF(L15&gt;0,L15,0)</f>
        <v>0</v>
      </c>
      <c r="K15" s="135" t="n">
        <f aca="false">I15+J15</f>
        <v>919.6</v>
      </c>
      <c r="L15" s="135" t="n">
        <f aca="false">F15-(I15-AK15)</f>
        <v>-42.6718427022939</v>
      </c>
      <c r="M15" s="248" t="n">
        <v>303</v>
      </c>
      <c r="N15" s="158" t="n">
        <f aca="false">(1.8299*1.03)/2</f>
        <v>0.9423985</v>
      </c>
      <c r="O15" s="135" t="n">
        <f aca="false">105*1.05</f>
        <v>110.25</v>
      </c>
      <c r="P15" s="158" t="n">
        <v>0</v>
      </c>
      <c r="Q15" s="336" t="n">
        <f aca="false">1276400/325851/1.9835*1.02</f>
        <v>2.01435357818262</v>
      </c>
      <c r="R15" s="131" t="n">
        <f aca="false">(4*1.04)-T15</f>
        <v>3.23530688</v>
      </c>
      <c r="S15" s="131" t="n">
        <v>0</v>
      </c>
      <c r="T15" s="131" t="n">
        <f aca="false">(0.8388*1.06)*1.04</f>
        <v>0.92469312</v>
      </c>
      <c r="U15" s="355" t="n">
        <v>0</v>
      </c>
      <c r="V15" s="135" t="n">
        <v>34</v>
      </c>
      <c r="W15" s="135" t="n">
        <v>67</v>
      </c>
      <c r="X15" s="135" t="n">
        <f aca="false">M15-N15-O15-P15-Q15-R15-S15-T15-U15+V15+W15-AT15+AR15</f>
        <v>288.633247921817</v>
      </c>
      <c r="Y15" s="135" t="n">
        <f aca="false">X15-AO15</f>
        <v>281.633247921817</v>
      </c>
      <c r="Z15" s="107" t="n">
        <f aca="false">Z12+AP15</f>
        <v>18127.9271306759</v>
      </c>
      <c r="AA15" s="135"/>
      <c r="AB15" s="107" t="n">
        <f aca="false">AB12+(Y15+AP15)*1.9835</f>
        <v>40609.3443577938</v>
      </c>
      <c r="AC15" s="107" t="n">
        <f aca="false">AC12-(APR!AQ44/1.9835)</f>
        <v>1649.01381785495</v>
      </c>
      <c r="AD15" s="107"/>
      <c r="AE15" s="135" t="n">
        <v>69</v>
      </c>
      <c r="AF15" s="248" t="n">
        <v>1.7</v>
      </c>
      <c r="AG15" s="249" t="n">
        <v>1.3</v>
      </c>
      <c r="AH15" s="136" t="n">
        <v>49</v>
      </c>
      <c r="AI15" s="107" t="n">
        <f aca="false">AI13-AH15</f>
        <v>14474.2578774893</v>
      </c>
      <c r="AJ15" s="97"/>
      <c r="AK15" s="134" t="n">
        <f aca="false">N15+O15+P15+Q15+R15+S15+T15+U15+X15+AE15+AH15+AT15-AR15</f>
        <v>522</v>
      </c>
      <c r="AL15" s="135" t="n">
        <f aca="false">IF(L15&lt;0,L15*-1,0)</f>
        <v>42.6718427022939</v>
      </c>
      <c r="AM15" s="135" t="n">
        <f aca="false">AK15+AL15</f>
        <v>564.671842702294</v>
      </c>
      <c r="AN15" s="369" t="n">
        <v>0</v>
      </c>
      <c r="AO15" s="215" t="n">
        <v>7</v>
      </c>
      <c r="AP15" s="150" t="n">
        <f aca="false">795-X15</f>
        <v>506.366752078183</v>
      </c>
      <c r="AQ15" s="158" t="n">
        <f aca="false">47.9*(Z15*1.9835+AC15*1.9835)/E15</f>
        <v>9.90678573924216</v>
      </c>
      <c r="AR15" s="136" t="n">
        <v>2</v>
      </c>
      <c r="AS15" s="221"/>
      <c r="AT15" s="179"/>
      <c r="AU15" s="176"/>
      <c r="AV15" s="222" t="n">
        <v>0</v>
      </c>
      <c r="AW15" s="215" t="n">
        <v>72</v>
      </c>
      <c r="AX15" s="215" t="n">
        <v>39</v>
      </c>
      <c r="AY15" s="274"/>
      <c r="AZ15" s="250" t="n">
        <f aca="false">SUM(N15,P15:U15)</f>
        <v>7.11675207818262</v>
      </c>
    </row>
    <row r="16" customFormat="false" ht="12.95" hidden="false" customHeight="true" outlineLevel="0" collapsed="false">
      <c r="A16" s="183" t="n">
        <f aca="false">A15+1</f>
        <v>2</v>
      </c>
      <c r="B16" s="106" t="n">
        <v>6914.98</v>
      </c>
      <c r="C16" s="107" t="n">
        <v>342289</v>
      </c>
      <c r="D16" s="215" t="n">
        <f aca="false">C16-C15</f>
        <v>621</v>
      </c>
      <c r="E16" s="107" t="n">
        <f aca="false">C16-152000</f>
        <v>190289</v>
      </c>
      <c r="F16" s="135" t="n">
        <f aca="false">D16/$D$2</f>
        <v>313.082934207209</v>
      </c>
      <c r="G16" s="213" t="n">
        <v>905</v>
      </c>
      <c r="H16" s="136" t="n">
        <v>3</v>
      </c>
      <c r="I16" s="135" t="n">
        <f aca="false">G16+H16</f>
        <v>908</v>
      </c>
      <c r="J16" s="136" t="n">
        <f aca="false">IF(L16&gt;0,L16,0)</f>
        <v>0</v>
      </c>
      <c r="K16" s="135" t="n">
        <f aca="false">I16+J16</f>
        <v>908</v>
      </c>
      <c r="L16" s="135" t="n">
        <f aca="false">F16-(I16-AK16)</f>
        <v>-23.9170657927905</v>
      </c>
      <c r="M16" s="248" t="n">
        <v>319</v>
      </c>
      <c r="N16" s="158" t="n">
        <f aca="false">(1.8299*1.03)/2</f>
        <v>0.9423985</v>
      </c>
      <c r="O16" s="135" t="n">
        <f aca="false">112*1.05</f>
        <v>117.6</v>
      </c>
      <c r="P16" s="158" t="n">
        <v>0</v>
      </c>
      <c r="Q16" s="336" t="n">
        <f aca="false">1428100/325851/1.9835*1.02</f>
        <v>2.25375928000831</v>
      </c>
      <c r="R16" s="131" t="n">
        <f aca="false">(4*1.04)-T16</f>
        <v>3.23530688</v>
      </c>
      <c r="S16" s="131" t="n">
        <v>0</v>
      </c>
      <c r="T16" s="131" t="n">
        <f aca="false">(0.8388*1.06)*1.04</f>
        <v>0.92469312</v>
      </c>
      <c r="U16" s="355" t="n">
        <v>0</v>
      </c>
      <c r="V16" s="135" t="n">
        <v>38</v>
      </c>
      <c r="W16" s="135" t="n">
        <v>69</v>
      </c>
      <c r="X16" s="135" t="n">
        <f aca="false">M16-N16-O16-P16-Q16-R16-S16-T16-U16+V16+W16-AT16+AR16</f>
        <v>311.043842219992</v>
      </c>
      <c r="Y16" s="135" t="n">
        <f aca="false">X16-AO16</f>
        <v>304.043842219992</v>
      </c>
      <c r="Z16" s="107" t="n">
        <f aca="false">Z15+AP16</f>
        <v>18611.8832884559</v>
      </c>
      <c r="AA16" s="135"/>
      <c r="AB16" s="107" t="n">
        <f aca="false">AB15+(Y16+AP16)*1.9835</f>
        <v>42172.3423577938</v>
      </c>
      <c r="AC16" s="107" t="n">
        <f aca="false">AC15-(AQ15/1.9835)</f>
        <v>1644.01921954931</v>
      </c>
      <c r="AD16" s="107"/>
      <c r="AE16" s="135" t="n">
        <v>96</v>
      </c>
      <c r="AF16" s="248" t="n">
        <v>1.7</v>
      </c>
      <c r="AG16" s="249" t="n">
        <v>1.3</v>
      </c>
      <c r="AH16" s="136" t="n">
        <v>49</v>
      </c>
      <c r="AI16" s="107" t="n">
        <f aca="false">AI15-AH16</f>
        <v>14425.2578774893</v>
      </c>
      <c r="AJ16" s="97"/>
      <c r="AK16" s="134" t="n">
        <f aca="false">N16+O16+P16+Q16+R16+S16+T16+U16+X16+AE16+AH16+AT16-AR16</f>
        <v>571</v>
      </c>
      <c r="AL16" s="135" t="n">
        <f aca="false">IF(L16&lt;0,L16*-1,0)</f>
        <v>23.9170657927905</v>
      </c>
      <c r="AM16" s="135" t="n">
        <f aca="false">AK16+AL16</f>
        <v>594.91706579279</v>
      </c>
      <c r="AN16" s="369" t="n">
        <v>0</v>
      </c>
      <c r="AO16" s="215" t="n">
        <v>7</v>
      </c>
      <c r="AP16" s="150" t="n">
        <f aca="false">795-X16</f>
        <v>483.956157780008</v>
      </c>
      <c r="AQ16" s="158" t="n">
        <f aca="false">47.9*(Z16*1.9835+AC16*1.9835)/E16</f>
        <v>10.1135967277126</v>
      </c>
      <c r="AR16" s="136" t="n">
        <v>10</v>
      </c>
      <c r="AS16" s="221"/>
      <c r="AT16" s="179"/>
      <c r="AU16" s="176"/>
      <c r="AV16" s="222" t="n">
        <v>0</v>
      </c>
      <c r="AW16" s="215" t="n">
        <v>72</v>
      </c>
      <c r="AX16" s="215" t="n">
        <v>39</v>
      </c>
      <c r="AY16" s="274"/>
      <c r="AZ16" s="250" t="n">
        <f aca="false">SUM(N16,P16:U16)</f>
        <v>7.35615778000831</v>
      </c>
    </row>
    <row r="17" customFormat="false" ht="12.95" hidden="false" customHeight="true" outlineLevel="0" collapsed="false">
      <c r="A17" s="183" t="n">
        <f aca="false">A16+1</f>
        <v>3</v>
      </c>
      <c r="B17" s="106" t="n">
        <v>6915.18</v>
      </c>
      <c r="C17" s="107" t="n">
        <v>343124</v>
      </c>
      <c r="D17" s="215" t="n">
        <f aca="false">C17-C16</f>
        <v>835</v>
      </c>
      <c r="E17" s="107" t="n">
        <f aca="false">C17-152000</f>
        <v>191124</v>
      </c>
      <c r="F17" s="135" t="n">
        <f aca="false">D17/$D$2</f>
        <v>420.973027476683</v>
      </c>
      <c r="G17" s="213" t="n">
        <v>979</v>
      </c>
      <c r="H17" s="136" t="n">
        <v>2.5</v>
      </c>
      <c r="I17" s="135" t="n">
        <f aca="false">G17+H17</f>
        <v>981.5</v>
      </c>
      <c r="J17" s="136" t="n">
        <f aca="false">IF(L17&gt;0,L17,0)</f>
        <v>20.4730274766826</v>
      </c>
      <c r="K17" s="135" t="n">
        <f aca="false">I17+J17</f>
        <v>1001.97302747668</v>
      </c>
      <c r="L17" s="135" t="n">
        <f aca="false">F17-(I17-AK17)</f>
        <v>20.4730274766826</v>
      </c>
      <c r="M17" s="248" t="n">
        <v>317</v>
      </c>
      <c r="N17" s="158" t="n">
        <f aca="false">(1.8299*1.03)/2</f>
        <v>0.9423985</v>
      </c>
      <c r="O17" s="135" t="n">
        <f aca="false">109*1.05</f>
        <v>114.45</v>
      </c>
      <c r="P17" s="158" t="n">
        <v>0</v>
      </c>
      <c r="Q17" s="336" t="n">
        <f aca="false">1402600/325851/1.9835*1.02</f>
        <v>2.21351639670867</v>
      </c>
      <c r="R17" s="131" t="n">
        <v>4.2</v>
      </c>
      <c r="S17" s="131" t="n">
        <f aca="false">((6.5*1.04)-T17)-4.2</f>
        <v>1.63530688</v>
      </c>
      <c r="T17" s="131" t="n">
        <f aca="false">(0.8388*1.06)*1.04</f>
        <v>0.92469312</v>
      </c>
      <c r="U17" s="355" t="n">
        <v>0</v>
      </c>
      <c r="V17" s="135" t="n">
        <v>43</v>
      </c>
      <c r="W17" s="135" t="n">
        <v>71</v>
      </c>
      <c r="X17" s="135" t="n">
        <f aca="false">M17-N17-O17-P17-Q17-R17-S17-T17-U17+V17+W17-AT17+AR17</f>
        <v>326.634085103291</v>
      </c>
      <c r="Y17" s="135" t="n">
        <f aca="false">X17-AO17</f>
        <v>319.634085103291</v>
      </c>
      <c r="Z17" s="107" t="n">
        <f aca="false">Z16+AP17</f>
        <v>19080.2492033526</v>
      </c>
      <c r="AA17" s="135"/>
      <c r="AB17" s="107" t="n">
        <f aca="false">AB16+(Y17+AP17)*1.9835</f>
        <v>43735.3403577938</v>
      </c>
      <c r="AC17" s="107" t="n">
        <f aca="false">AC16-(AQ16/1.9835)</f>
        <v>1638.92035555752</v>
      </c>
      <c r="AD17" s="107"/>
      <c r="AE17" s="135" t="n">
        <v>101</v>
      </c>
      <c r="AF17" s="248" t="n">
        <v>1.7</v>
      </c>
      <c r="AG17" s="249" t="n">
        <v>1.3</v>
      </c>
      <c r="AH17" s="136" t="n">
        <v>49</v>
      </c>
      <c r="AI17" s="107" t="n">
        <f aca="false">AI16-AH17</f>
        <v>14376.2578774893</v>
      </c>
      <c r="AJ17" s="97"/>
      <c r="AK17" s="134" t="n">
        <f aca="false">N17+O17+P17+Q17+R17+S17+T17+U17+X17+AE17+AH17+AT17-AR17</f>
        <v>581</v>
      </c>
      <c r="AL17" s="135" t="n">
        <f aca="false">IF(L17&lt;0,L17*-1,0)</f>
        <v>0</v>
      </c>
      <c r="AM17" s="135" t="n">
        <f aca="false">AK17+AL17</f>
        <v>581</v>
      </c>
      <c r="AN17" s="369" t="n">
        <v>0</v>
      </c>
      <c r="AO17" s="215" t="n">
        <v>7</v>
      </c>
      <c r="AP17" s="150" t="n">
        <f aca="false">795-X17</f>
        <v>468.365914896709</v>
      </c>
      <c r="AQ17" s="158" t="n">
        <f aca="false">47.9*(Z17*1.9835+AC17*1.9835)/E17</f>
        <v>10.2997062016424</v>
      </c>
      <c r="AR17" s="136" t="n">
        <v>20</v>
      </c>
      <c r="AS17" s="221"/>
      <c r="AT17" s="179"/>
      <c r="AU17" s="176"/>
      <c r="AV17" s="222" t="n">
        <v>0</v>
      </c>
      <c r="AW17" s="215" t="n">
        <v>76</v>
      </c>
      <c r="AX17" s="215" t="n">
        <v>41</v>
      </c>
      <c r="AY17" s="274"/>
      <c r="AZ17" s="250" t="n">
        <f aca="false">SUM(N17,P17:U17)</f>
        <v>9.91591489670867</v>
      </c>
    </row>
    <row r="18" customFormat="false" ht="12.95" hidden="false" customHeight="true" outlineLevel="0" collapsed="false">
      <c r="A18" s="183" t="n">
        <f aca="false">A17+1</f>
        <v>4</v>
      </c>
      <c r="B18" s="106" t="n">
        <v>6915.42</v>
      </c>
      <c r="C18" s="107" t="n">
        <v>344126</v>
      </c>
      <c r="D18" s="215" t="n">
        <f aca="false">C18-C17</f>
        <v>1002</v>
      </c>
      <c r="E18" s="107" t="n">
        <f aca="false">C18-152000</f>
        <v>192126</v>
      </c>
      <c r="F18" s="135" t="n">
        <f aca="false">D18/$D$2</f>
        <v>505.167632972019</v>
      </c>
      <c r="G18" s="213" t="n">
        <v>1100</v>
      </c>
      <c r="H18" s="136" t="n">
        <v>1.9</v>
      </c>
      <c r="I18" s="135" t="n">
        <f aca="false">G18+H18</f>
        <v>1101.9</v>
      </c>
      <c r="J18" s="136" t="n">
        <f aca="false">IF(L18&gt;0,L18,0)</f>
        <v>22.267632972019</v>
      </c>
      <c r="K18" s="135" t="n">
        <f aca="false">I18+J18</f>
        <v>1124.16763297202</v>
      </c>
      <c r="L18" s="135" t="n">
        <f aca="false">F18-(I18-AK18)</f>
        <v>22.267632972019</v>
      </c>
      <c r="M18" s="248" t="n">
        <v>300</v>
      </c>
      <c r="N18" s="158" t="n">
        <f aca="false">(1.8299*1.03)/2</f>
        <v>0.9423985</v>
      </c>
      <c r="O18" s="135" t="n">
        <f aca="false">84*1.05</f>
        <v>88.2</v>
      </c>
      <c r="P18" s="158" t="n">
        <v>0</v>
      </c>
      <c r="Q18" s="336" t="n">
        <f aca="false">1676000/325851/1.9835*1.02</f>
        <v>2.64498323177223</v>
      </c>
      <c r="R18" s="131" t="n">
        <v>4.2</v>
      </c>
      <c r="S18" s="131" t="n">
        <f aca="false">((6.5*1.04)-T18)-4.2</f>
        <v>1.50213696</v>
      </c>
      <c r="T18" s="131" t="n">
        <f aca="false">(0.9596*1.06)*1.04</f>
        <v>1.05786304</v>
      </c>
      <c r="U18" s="355" t="n">
        <v>0</v>
      </c>
      <c r="V18" s="135" t="n">
        <v>49</v>
      </c>
      <c r="W18" s="135" t="n">
        <v>71</v>
      </c>
      <c r="X18" s="135" t="n">
        <f aca="false">M18-N18-O18-P18-Q18-R18-S18-T18-U18+V18+W18-AT18+AR18</f>
        <v>351.452618268228</v>
      </c>
      <c r="Y18" s="135" t="n">
        <f aca="false">X18-AO18</f>
        <v>344.452618268228</v>
      </c>
      <c r="Z18" s="107" t="n">
        <f aca="false">Z17+AP18</f>
        <v>19523.7965850844</v>
      </c>
      <c r="AA18" s="135"/>
      <c r="AB18" s="107" t="n">
        <f aca="false">AB17+(Y18+AP18)*1.9835</f>
        <v>45298.3383577938</v>
      </c>
      <c r="AC18" s="107" t="n">
        <f aca="false">AC17-(AQ17/1.9835)</f>
        <v>1633.72766274096</v>
      </c>
      <c r="AD18" s="107"/>
      <c r="AE18" s="135" t="n">
        <v>150</v>
      </c>
      <c r="AF18" s="248" t="n">
        <v>1.7</v>
      </c>
      <c r="AG18" s="249" t="n">
        <v>1.3</v>
      </c>
      <c r="AH18" s="136" t="n">
        <v>49</v>
      </c>
      <c r="AI18" s="107" t="n">
        <f aca="false">AI17-AH18</f>
        <v>14327.2578774893</v>
      </c>
      <c r="AJ18" s="97"/>
      <c r="AK18" s="134" t="n">
        <f aca="false">N18+O18+P18+Q18+R18+S18+T18+U18+X18+AE18+AH18+AT18-AR18</f>
        <v>619</v>
      </c>
      <c r="AL18" s="135" t="n">
        <f aca="false">IF(L18&lt;0,L18*-1,0)</f>
        <v>0</v>
      </c>
      <c r="AM18" s="135" t="n">
        <f aca="false">AK18+AL18</f>
        <v>619</v>
      </c>
      <c r="AN18" s="369" t="n">
        <v>0</v>
      </c>
      <c r="AO18" s="215" t="n">
        <v>7</v>
      </c>
      <c r="AP18" s="150" t="n">
        <f aca="false">795-X18</f>
        <v>443.547381731772</v>
      </c>
      <c r="AQ18" s="158" t="n">
        <f aca="false">47.9*(Z18*1.9835+AC18*1.9835)/E18</f>
        <v>10.4627638823085</v>
      </c>
      <c r="AR18" s="136" t="n">
        <v>30</v>
      </c>
      <c r="AS18" s="221"/>
      <c r="AT18" s="179"/>
      <c r="AU18" s="176"/>
      <c r="AV18" s="222" t="n">
        <v>0</v>
      </c>
      <c r="AW18" s="215" t="n">
        <v>79</v>
      </c>
      <c r="AX18" s="215" t="n">
        <v>40</v>
      </c>
      <c r="AY18" s="274"/>
      <c r="AZ18" s="250" t="n">
        <f aca="false">SUM(N18,P18:U18)</f>
        <v>10.3473817317722</v>
      </c>
    </row>
    <row r="19" customFormat="false" ht="12.95" hidden="false" customHeight="true" outlineLevel="0" collapsed="false">
      <c r="A19" s="183" t="n">
        <f aca="false">A18+1</f>
        <v>5</v>
      </c>
      <c r="B19" s="106" t="n">
        <v>6915.72</v>
      </c>
      <c r="C19" s="107" t="n">
        <v>345378</v>
      </c>
      <c r="D19" s="215" t="n">
        <f aca="false">C19-C18</f>
        <v>1252</v>
      </c>
      <c r="E19" s="107" t="n">
        <f aca="false">C19-152000</f>
        <v>193378</v>
      </c>
      <c r="F19" s="135" t="n">
        <f aca="false">D19/$D$2</f>
        <v>631.207461557852</v>
      </c>
      <c r="G19" s="213" t="n">
        <v>1180</v>
      </c>
      <c r="H19" s="136" t="n">
        <v>1.5</v>
      </c>
      <c r="I19" s="135" t="n">
        <f aca="false">G19+H19</f>
        <v>1181.5</v>
      </c>
      <c r="J19" s="136" t="n">
        <f aca="false">IF(L19&gt;0,L19,0)</f>
        <v>23.7074615578523</v>
      </c>
      <c r="K19" s="135" t="n">
        <f aca="false">I19+J19</f>
        <v>1205.20746155785</v>
      </c>
      <c r="L19" s="135" t="n">
        <f aca="false">F19-(I19-AK19)</f>
        <v>23.7074615578523</v>
      </c>
      <c r="M19" s="248" t="n">
        <v>251</v>
      </c>
      <c r="N19" s="158" t="n">
        <f aca="false">(1.8299*1.03)/2</f>
        <v>0.9423985</v>
      </c>
      <c r="O19" s="135" t="n">
        <f aca="false">46*1.05</f>
        <v>48.3</v>
      </c>
      <c r="P19" s="158" t="n">
        <v>0</v>
      </c>
      <c r="Q19" s="336" t="n">
        <f aca="false">1706100/325851/1.9835*1.02</f>
        <v>2.69248561558867</v>
      </c>
      <c r="R19" s="131" t="n">
        <v>4.2</v>
      </c>
      <c r="S19" s="131" t="n">
        <f aca="false">((6.5*1.04)-T19)-4.2</f>
        <v>1.50213696</v>
      </c>
      <c r="T19" s="131" t="n">
        <f aca="false">(0.9596*1.06)*1.04</f>
        <v>1.05786304</v>
      </c>
      <c r="U19" s="355" t="n">
        <v>0</v>
      </c>
      <c r="V19" s="135" t="n">
        <v>42</v>
      </c>
      <c r="W19" s="135" t="n">
        <v>71</v>
      </c>
      <c r="X19" s="135" t="n">
        <f aca="false">M19-N19-O19-P19-Q19-R19-S19-T19-U19+V19+W19-AT19+AR19</f>
        <v>341.305115884411</v>
      </c>
      <c r="Y19" s="135" t="n">
        <f aca="false">X19-AO19</f>
        <v>334.305115884411</v>
      </c>
      <c r="Z19" s="107" t="n">
        <f aca="false">Z18+AP19</f>
        <v>19977.4914692</v>
      </c>
      <c r="AA19" s="135"/>
      <c r="AB19" s="107" t="n">
        <f aca="false">AB18+(Y19+AP19)*1.9835</f>
        <v>46861.3363577938</v>
      </c>
      <c r="AC19" s="107" t="n">
        <f aca="false">AC18-(AQ18/1.9835)</f>
        <v>1628.45276287592</v>
      </c>
      <c r="AD19" s="107"/>
      <c r="AE19" s="135" t="n">
        <v>161</v>
      </c>
      <c r="AF19" s="248" t="n">
        <v>1.7</v>
      </c>
      <c r="AG19" s="249" t="n">
        <v>1.3</v>
      </c>
      <c r="AH19" s="136" t="n">
        <v>49</v>
      </c>
      <c r="AI19" s="107" t="n">
        <f aca="false">AI18-AH19</f>
        <v>14278.2578774893</v>
      </c>
      <c r="AJ19" s="97"/>
      <c r="AK19" s="134" t="n">
        <f aca="false">N19+O19+P19+Q19+R19+S19+T19+U19+X19+AE19+AH19+AT19-AR19</f>
        <v>574</v>
      </c>
      <c r="AL19" s="135" t="n">
        <f aca="false">IF(L19&lt;0,L19*-1,0)</f>
        <v>0</v>
      </c>
      <c r="AM19" s="135" t="n">
        <f aca="false">AK19+AL19</f>
        <v>574</v>
      </c>
      <c r="AN19" s="369" t="n">
        <v>0</v>
      </c>
      <c r="AO19" s="215" t="n">
        <v>7</v>
      </c>
      <c r="AP19" s="150" t="n">
        <f aca="false">795-X19</f>
        <v>453.694884115589</v>
      </c>
      <c r="AQ19" s="158" t="n">
        <f aca="false">47.9*(Z19*1.9835+AC19*1.9835)/E19</f>
        <v>10.6153399011731</v>
      </c>
      <c r="AR19" s="136" t="n">
        <v>36</v>
      </c>
      <c r="AS19" s="221"/>
      <c r="AT19" s="179"/>
      <c r="AU19" s="176"/>
      <c r="AV19" s="222" t="n">
        <v>0</v>
      </c>
      <c r="AW19" s="215" t="n">
        <v>75</v>
      </c>
      <c r="AX19" s="215" t="n">
        <v>41</v>
      </c>
      <c r="AY19" s="274"/>
      <c r="AZ19" s="250" t="n">
        <f aca="false">SUM(N19,P19:U19)</f>
        <v>10.3948841155887</v>
      </c>
    </row>
    <row r="20" customFormat="false" ht="12.95" hidden="false" customHeight="true" outlineLevel="0" collapsed="false">
      <c r="A20" s="183" t="n">
        <f aca="false">A19+1</f>
        <v>6</v>
      </c>
      <c r="B20" s="106" t="n">
        <v>6916.01</v>
      </c>
      <c r="C20" s="107" t="n">
        <v>346589</v>
      </c>
      <c r="D20" s="215" t="n">
        <f aca="false">C20-C19</f>
        <v>1211</v>
      </c>
      <c r="E20" s="107" t="n">
        <f aca="false">C20-152000</f>
        <v>194589</v>
      </c>
      <c r="F20" s="135" t="n">
        <f aca="false">D20/$D$2</f>
        <v>610.536929669776</v>
      </c>
      <c r="G20" s="213" t="n">
        <v>1160</v>
      </c>
      <c r="H20" s="136" t="n">
        <v>1.3</v>
      </c>
      <c r="I20" s="135" t="n">
        <f aca="false">G20+H20</f>
        <v>1161.3</v>
      </c>
      <c r="J20" s="136" t="n">
        <f aca="false">IF(L20&gt;0,L20,0)</f>
        <v>12.2369296697757</v>
      </c>
      <c r="K20" s="135" t="n">
        <f aca="false">I20+J20</f>
        <v>1173.53692966978</v>
      </c>
      <c r="L20" s="135" t="n">
        <f aca="false">F20-(I20-AK20)</f>
        <v>12.2369296697757</v>
      </c>
      <c r="M20" s="248" t="n">
        <v>244</v>
      </c>
      <c r="N20" s="158" t="n">
        <f aca="false">(1.8299*1.03)/2</f>
        <v>0.9423985</v>
      </c>
      <c r="O20" s="135" t="n">
        <f aca="false">36*1.05</f>
        <v>37.8</v>
      </c>
      <c r="P20" s="158" t="n">
        <v>0</v>
      </c>
      <c r="Q20" s="336" t="n">
        <f aca="false">1746900/325851/1.9835*1.02</f>
        <v>2.75687422886809</v>
      </c>
      <c r="R20" s="131" t="n">
        <v>4.2</v>
      </c>
      <c r="S20" s="131" t="n">
        <f aca="false">((6*1.04)-T20)-4.2</f>
        <v>0.98213696</v>
      </c>
      <c r="T20" s="131" t="n">
        <f aca="false">(0.9596*1.06)*1.04</f>
        <v>1.05786304</v>
      </c>
      <c r="U20" s="355" t="n">
        <v>0</v>
      </c>
      <c r="V20" s="135" t="n">
        <v>42</v>
      </c>
      <c r="W20" s="135" t="n">
        <v>72</v>
      </c>
      <c r="X20" s="135" t="n">
        <f aca="false">M20-N20-O20-P20-Q20-R20-S20-T20-U20+V20+W20-AT20+AR20</f>
        <v>346.260727271132</v>
      </c>
      <c r="Y20" s="135" t="n">
        <f aca="false">X20-AO20</f>
        <v>339.260727271132</v>
      </c>
      <c r="Z20" s="107" t="n">
        <f aca="false">Z19+AP20</f>
        <v>20426.2307419288</v>
      </c>
      <c r="AA20" s="135"/>
      <c r="AB20" s="107" t="n">
        <f aca="false">AB19+(Y20+AP20)*1.9835</f>
        <v>48424.3343577938</v>
      </c>
      <c r="AC20" s="107" t="n">
        <f aca="false">AC19-(AQ19/1.9835)</f>
        <v>1623.10094038983</v>
      </c>
      <c r="AD20" s="107"/>
      <c r="AE20" s="135" t="n">
        <v>156</v>
      </c>
      <c r="AF20" s="248" t="n">
        <v>1.7</v>
      </c>
      <c r="AG20" s="249" t="n">
        <v>1.3</v>
      </c>
      <c r="AH20" s="136" t="n">
        <v>49</v>
      </c>
      <c r="AI20" s="107" t="n">
        <f aca="false">AI19-AH20</f>
        <v>14229.2578774893</v>
      </c>
      <c r="AJ20" s="97"/>
      <c r="AK20" s="134" t="n">
        <f aca="false">N20+O20+P20+Q20+R20+S20+T20+U20+X20+AE20+AH20+AT20-AR20</f>
        <v>563</v>
      </c>
      <c r="AL20" s="135" t="n">
        <f aca="false">IF(L20&lt;0,L20*-1,0)</f>
        <v>0</v>
      </c>
      <c r="AM20" s="135" t="n">
        <f aca="false">AK20+AL20</f>
        <v>563</v>
      </c>
      <c r="AN20" s="369" t="n">
        <v>0</v>
      </c>
      <c r="AO20" s="215" t="n">
        <v>7</v>
      </c>
      <c r="AP20" s="150" t="n">
        <f aca="false">795-X20</f>
        <v>448.739272728868</v>
      </c>
      <c r="AQ20" s="158" t="n">
        <f aca="false">47.9*(Z20*1.9835+AC20*1.9835)/E20</f>
        <v>10.7657641792239</v>
      </c>
      <c r="AR20" s="136" t="n">
        <v>36</v>
      </c>
      <c r="AS20" s="221"/>
      <c r="AT20" s="179"/>
      <c r="AU20" s="176"/>
      <c r="AV20" s="222" t="n">
        <v>0</v>
      </c>
      <c r="AW20" s="215" t="n">
        <v>71</v>
      </c>
      <c r="AX20" s="215" t="n">
        <v>40</v>
      </c>
      <c r="AY20" s="274"/>
      <c r="AZ20" s="250" t="n">
        <f aca="false">SUM(N20,P20:U20)</f>
        <v>9.93927272886809</v>
      </c>
    </row>
    <row r="21" customFormat="false" ht="12.95" hidden="false" customHeight="true" outlineLevel="0" collapsed="false">
      <c r="A21" s="183" t="n">
        <f aca="false">A20+1</f>
        <v>7</v>
      </c>
      <c r="B21" s="106" t="n">
        <v>6916.18</v>
      </c>
      <c r="C21" s="107" t="n">
        <v>347304</v>
      </c>
      <c r="D21" s="215" t="n">
        <f aca="false">C21-C20</f>
        <v>715</v>
      </c>
      <c r="E21" s="107" t="n">
        <f aca="false">C21-152000</f>
        <v>195304</v>
      </c>
      <c r="F21" s="135" t="n">
        <f aca="false">D21/$D$2</f>
        <v>360.473909755483</v>
      </c>
      <c r="G21" s="213" t="n">
        <v>1020</v>
      </c>
      <c r="H21" s="136" t="n">
        <v>1.3</v>
      </c>
      <c r="I21" s="135" t="n">
        <f aca="false">G21+H21</f>
        <v>1021.3</v>
      </c>
      <c r="J21" s="136" t="n">
        <f aca="false">IF(L21&gt;0,L21,0)</f>
        <v>0</v>
      </c>
      <c r="K21" s="135" t="n">
        <f aca="false">I21+J21</f>
        <v>1021.3</v>
      </c>
      <c r="L21" s="135" t="n">
        <f aca="false">F21-(I21-AK21)</f>
        <v>-33.8260902445172</v>
      </c>
      <c r="M21" s="248" t="n">
        <v>263</v>
      </c>
      <c r="N21" s="158" t="n">
        <f aca="false">(1.8299*1.03)/2</f>
        <v>0.9423985</v>
      </c>
      <c r="O21" s="135" t="n">
        <f aca="false">56*1.05</f>
        <v>58.8</v>
      </c>
      <c r="P21" s="158" t="n">
        <v>0</v>
      </c>
      <c r="Q21" s="336" t="n">
        <f aca="false">1494500/325851/1.9835*1.02</f>
        <v>2.35854859181599</v>
      </c>
      <c r="R21" s="131" t="n">
        <v>4.2</v>
      </c>
      <c r="S21" s="131" t="n">
        <f aca="false">((6*1.04)-T21)-4.2</f>
        <v>0.98213696</v>
      </c>
      <c r="T21" s="131" t="n">
        <f aca="false">(0.9596*1.06)*1.04</f>
        <v>1.05786304</v>
      </c>
      <c r="U21" s="355" t="n">
        <v>0</v>
      </c>
      <c r="V21" s="135" t="n">
        <v>57</v>
      </c>
      <c r="W21" s="135" t="n">
        <v>73</v>
      </c>
      <c r="X21" s="135" t="n">
        <f aca="false">M21-N21-O21-P21-Q21-R21-S21-T21-U21+V21+W21-AT21+AR21</f>
        <v>360.659052908184</v>
      </c>
      <c r="Y21" s="135" t="n">
        <f aca="false">X21-AO21</f>
        <v>353.659052908184</v>
      </c>
      <c r="Z21" s="107" t="n">
        <f aca="false">Z20+AP21</f>
        <v>20860.5716890206</v>
      </c>
      <c r="AA21" s="135"/>
      <c r="AB21" s="107" t="n">
        <f aca="false">AB20+(Y21+AP21)*1.9835</f>
        <v>49987.3323577938</v>
      </c>
      <c r="AC21" s="107" t="n">
        <f aca="false">AC20-(AQ20/1.9835)</f>
        <v>1617.67328010285</v>
      </c>
      <c r="AD21" s="107"/>
      <c r="AE21" s="135" t="n">
        <v>185</v>
      </c>
      <c r="AF21" s="248" t="n">
        <v>1.7</v>
      </c>
      <c r="AG21" s="249" t="n">
        <v>1.3</v>
      </c>
      <c r="AH21" s="136" t="n">
        <v>49</v>
      </c>
      <c r="AI21" s="107" t="n">
        <f aca="false">AI20-AH21</f>
        <v>14180.2578774893</v>
      </c>
      <c r="AJ21" s="97"/>
      <c r="AK21" s="134" t="n">
        <f aca="false">N21+O21+P21+Q21+R21+S21+T21+U21+X21+AE21+AH21+AT21-AR21</f>
        <v>627</v>
      </c>
      <c r="AL21" s="135" t="n">
        <f aca="false">IF(L21&lt;0,L21*-1,0)</f>
        <v>33.8260902445172</v>
      </c>
      <c r="AM21" s="135" t="n">
        <f aca="false">AK21+AL21</f>
        <v>660.826090244517</v>
      </c>
      <c r="AN21" s="369" t="n">
        <v>0</v>
      </c>
      <c r="AO21" s="215" t="n">
        <v>7</v>
      </c>
      <c r="AP21" s="150" t="n">
        <f aca="false">795-X21</f>
        <v>434.340947091816</v>
      </c>
      <c r="AQ21" s="158" t="n">
        <f aca="false">47.9*(Z21*1.9835+AC21*1.9835)/E21</f>
        <v>10.9350048495201</v>
      </c>
      <c r="AR21" s="136" t="n">
        <v>36</v>
      </c>
      <c r="AS21" s="221"/>
      <c r="AT21" s="179"/>
      <c r="AU21" s="176"/>
      <c r="AV21" s="222" t="n">
        <v>0</v>
      </c>
      <c r="AW21" s="215" t="n">
        <v>68</v>
      </c>
      <c r="AX21" s="215" t="n">
        <v>39</v>
      </c>
      <c r="AY21" s="274"/>
      <c r="AZ21" s="250" t="n">
        <f aca="false">SUM(N21,P21:U21)</f>
        <v>9.54094709181599</v>
      </c>
    </row>
    <row r="22" customFormat="false" ht="12.95" hidden="false" customHeight="true" outlineLevel="0" collapsed="false">
      <c r="A22" s="183" t="n">
        <f aca="false">A21+1</f>
        <v>8</v>
      </c>
      <c r="B22" s="106" t="n">
        <v>6916.22</v>
      </c>
      <c r="C22" s="107" t="n">
        <v>347472</v>
      </c>
      <c r="D22" s="215" t="n">
        <f aca="false">C22-C21</f>
        <v>168</v>
      </c>
      <c r="E22" s="107" t="n">
        <f aca="false">C22-152000</f>
        <v>195472</v>
      </c>
      <c r="F22" s="135" t="n">
        <f aca="false">D22/$D$2</f>
        <v>84.6987648096799</v>
      </c>
      <c r="G22" s="213" t="n">
        <v>842</v>
      </c>
      <c r="H22" s="136" t="n">
        <v>1.2</v>
      </c>
      <c r="I22" s="135" t="n">
        <f aca="false">G22+H22</f>
        <v>843.2</v>
      </c>
      <c r="J22" s="136" t="n">
        <f aca="false">IF(L22&gt;0,L22,0)</f>
        <v>0</v>
      </c>
      <c r="K22" s="135" t="n">
        <f aca="false">I22+J22</f>
        <v>843.2</v>
      </c>
      <c r="L22" s="135" t="n">
        <f aca="false">F22-(I22-AK22)</f>
        <v>-56.5012351903202</v>
      </c>
      <c r="M22" s="248" t="n">
        <v>303</v>
      </c>
      <c r="N22" s="158" t="n">
        <f aca="false">(1.8299*1.03)/2</f>
        <v>0.9423985</v>
      </c>
      <c r="O22" s="135" t="n">
        <f aca="false">95*1.05</f>
        <v>99.75</v>
      </c>
      <c r="P22" s="158" t="n">
        <v>0</v>
      </c>
      <c r="Q22" s="336" t="n">
        <f aca="false">1362770/325851/1.9835*1.02</f>
        <v>2.15065859114692</v>
      </c>
      <c r="R22" s="131" t="n">
        <v>4.2</v>
      </c>
      <c r="S22" s="131" t="n">
        <f aca="false">((6*1.04)-T22)-4.2</f>
        <v>0.98213696</v>
      </c>
      <c r="T22" s="131" t="n">
        <f aca="false">(0.9596*1.06)*1.04</f>
        <v>1.05786304</v>
      </c>
      <c r="U22" s="355" t="n">
        <v>0</v>
      </c>
      <c r="V22" s="135" t="n">
        <v>80</v>
      </c>
      <c r="W22" s="135" t="n">
        <v>75</v>
      </c>
      <c r="X22" s="135" t="n">
        <f aca="false">M22-N22-O22-P22-Q22-R22-S22-T22-U22+V22+W22-AT22+AR22</f>
        <v>384.916942908853</v>
      </c>
      <c r="Y22" s="135" t="n">
        <f aca="false">X22-AO22</f>
        <v>377.916942908853</v>
      </c>
      <c r="Z22" s="107" t="n">
        <f aca="false">Z21+AP22</f>
        <v>21270.6547461118</v>
      </c>
      <c r="AA22" s="135"/>
      <c r="AB22" s="107" t="n">
        <f aca="false">AB21+(Y22+AP22)*1.9835</f>
        <v>51550.3303577938</v>
      </c>
      <c r="AC22" s="107" t="n">
        <f aca="false">AC21-(AQ21/1.9835)</f>
        <v>1612.16029555557</v>
      </c>
      <c r="AD22" s="107"/>
      <c r="AE22" s="135" t="n">
        <v>195</v>
      </c>
      <c r="AF22" s="248" t="n">
        <v>1.7</v>
      </c>
      <c r="AG22" s="249" t="n">
        <v>1.3</v>
      </c>
      <c r="AH22" s="136" t="n">
        <v>49</v>
      </c>
      <c r="AI22" s="107" t="n">
        <f aca="false">AI21-AH22</f>
        <v>14131.2578774893</v>
      </c>
      <c r="AJ22" s="97"/>
      <c r="AK22" s="134" t="n">
        <f aca="false">N22+O22+P22+Q22+R22+S22+T22+U22+X22+AE22+AH22+AT22-AR22</f>
        <v>702</v>
      </c>
      <c r="AL22" s="135" t="n">
        <f aca="false">IF(L22&lt;0,L22*-1,0)</f>
        <v>56.5012351903202</v>
      </c>
      <c r="AM22" s="135" t="n">
        <f aca="false">AK22+AL22</f>
        <v>758.50123519032</v>
      </c>
      <c r="AN22" s="369" t="n">
        <v>0</v>
      </c>
      <c r="AO22" s="215" t="n">
        <v>7</v>
      </c>
      <c r="AP22" s="150" t="n">
        <f aca="false">795-X22</f>
        <v>410.083057091147</v>
      </c>
      <c r="AQ22" s="158" t="n">
        <f aca="false">47.9*(Z22*1.9835+AC22*1.9835)/E22</f>
        <v>11.1222489570043</v>
      </c>
      <c r="AR22" s="136" t="n">
        <v>36</v>
      </c>
      <c r="AS22" s="221"/>
      <c r="AT22" s="179"/>
      <c r="AU22" s="176"/>
      <c r="AV22" s="222" t="n">
        <v>0</v>
      </c>
      <c r="AW22" s="215" t="n">
        <v>67</v>
      </c>
      <c r="AX22" s="215" t="n">
        <v>34</v>
      </c>
      <c r="AY22" s="274"/>
      <c r="AZ22" s="250" t="n">
        <f aca="false">SUM(N22,P22:U22)</f>
        <v>9.33305709114693</v>
      </c>
    </row>
    <row r="23" customFormat="false" ht="12.95" hidden="false" customHeight="true" outlineLevel="0" collapsed="false">
      <c r="A23" s="183" t="n">
        <f aca="false">A22+1</f>
        <v>9</v>
      </c>
      <c r="B23" s="106" t="n">
        <v>6916.22</v>
      </c>
      <c r="C23" s="107" t="n">
        <v>347472</v>
      </c>
      <c r="D23" s="215" t="n">
        <f aca="false">C23-C22</f>
        <v>0</v>
      </c>
      <c r="E23" s="107" t="n">
        <f aca="false">C23-152000</f>
        <v>195472</v>
      </c>
      <c r="F23" s="135" t="n">
        <f aca="false">D23/$D$2</f>
        <v>0</v>
      </c>
      <c r="G23" s="213" t="n">
        <v>736</v>
      </c>
      <c r="H23" s="136" t="n">
        <v>1</v>
      </c>
      <c r="I23" s="135" t="n">
        <f aca="false">G23+H23</f>
        <v>737</v>
      </c>
      <c r="J23" s="136" t="n">
        <f aca="false">IF(L23&gt;0,L23,0)</f>
        <v>30</v>
      </c>
      <c r="K23" s="135" t="n">
        <f aca="false">I23+J23</f>
        <v>767</v>
      </c>
      <c r="L23" s="135" t="n">
        <f aca="false">F23-(I23-AK23)</f>
        <v>30</v>
      </c>
      <c r="M23" s="248" t="n">
        <v>314</v>
      </c>
      <c r="N23" s="158" t="n">
        <f aca="false">(1.8299*1.03)/2</f>
        <v>0.9423985</v>
      </c>
      <c r="O23" s="135" t="n">
        <f aca="false">110*1.05</f>
        <v>115.5</v>
      </c>
      <c r="P23" s="158" t="n">
        <v>0</v>
      </c>
      <c r="Q23" s="336" t="n">
        <f aca="false">1336630/325851/1.9835*1.02</f>
        <v>2.10940569038408</v>
      </c>
      <c r="R23" s="131" t="n">
        <v>4.2</v>
      </c>
      <c r="S23" s="131" t="n">
        <f aca="false">((5.5*1.04)-T23)-4.2</f>
        <v>0.462136960000001</v>
      </c>
      <c r="T23" s="131" t="n">
        <f aca="false">(0.9596*1.06)*1.04</f>
        <v>1.05786304</v>
      </c>
      <c r="U23" s="355" t="n">
        <v>0</v>
      </c>
      <c r="V23" s="135" t="n">
        <v>109</v>
      </c>
      <c r="W23" s="135" t="n">
        <v>75</v>
      </c>
      <c r="X23" s="135" t="n">
        <f aca="false">M23-N23-O23-P23-Q23-R23-S23-T23-U23+V23+W23-AT23+AR23</f>
        <v>409.728195809616</v>
      </c>
      <c r="Y23" s="135" t="n">
        <f aca="false">X23-AO23</f>
        <v>402.728195809616</v>
      </c>
      <c r="Z23" s="107" t="n">
        <f aca="false">Z22+AP23</f>
        <v>21589.9171446118</v>
      </c>
      <c r="AA23" s="135"/>
      <c r="AB23" s="107" t="n">
        <f aca="false">AB22+(Y23+AP23)*1.9835</f>
        <v>52982.3987016069</v>
      </c>
      <c r="AC23" s="107" t="n">
        <f aca="false">AC22-(AQ22/1.9835)</f>
        <v>1606.55291014745</v>
      </c>
      <c r="AD23" s="107"/>
      <c r="AE23" s="135" t="n">
        <v>220</v>
      </c>
      <c r="AF23" s="248" t="n">
        <v>1.7</v>
      </c>
      <c r="AG23" s="249" t="n">
        <v>1.3</v>
      </c>
      <c r="AH23" s="136" t="n">
        <v>49</v>
      </c>
      <c r="AI23" s="107" t="n">
        <f aca="false">AI22-AH23</f>
        <v>14082.2578774893</v>
      </c>
      <c r="AJ23" s="97"/>
      <c r="AK23" s="134" t="n">
        <f aca="false">N23+O23+P23+Q23+R23+S23+T23+U23+X23+AE23+AH23+AT23-AR23</f>
        <v>767</v>
      </c>
      <c r="AL23" s="135" t="n">
        <f aca="false">IF(L23&lt;0,L23*-1,0)</f>
        <v>0</v>
      </c>
      <c r="AM23" s="135" t="n">
        <f aca="false">AK23+AL23</f>
        <v>767</v>
      </c>
      <c r="AN23" s="369" t="n">
        <v>0</v>
      </c>
      <c r="AO23" s="215" t="n">
        <v>7</v>
      </c>
      <c r="AP23" s="150" t="n">
        <f aca="false">I23-Q23-R23-X23-AF23</f>
        <v>319.2623985</v>
      </c>
      <c r="AQ23" s="158" t="n">
        <f aca="false">47.9*(Z23*1.9835+AC23*1.9835)/E23</f>
        <v>11.2747017533875</v>
      </c>
      <c r="AR23" s="136" t="n">
        <v>36</v>
      </c>
      <c r="AS23" s="221"/>
      <c r="AT23" s="179"/>
      <c r="AU23" s="176"/>
      <c r="AV23" s="222" t="n">
        <v>0</v>
      </c>
      <c r="AW23" s="215" t="n">
        <v>70</v>
      </c>
      <c r="AX23" s="215" t="n">
        <v>39</v>
      </c>
      <c r="AY23" s="274"/>
      <c r="AZ23" s="250" t="n">
        <f aca="false">SUM(N23,P23:U23)</f>
        <v>8.77180419038408</v>
      </c>
    </row>
    <row r="24" customFormat="false" ht="12.95" hidden="false" customHeight="true" outlineLevel="0" collapsed="false">
      <c r="A24" s="183" t="n">
        <f aca="false">A23+1</f>
        <v>10</v>
      </c>
      <c r="B24" s="106" t="n">
        <v>6916.18</v>
      </c>
      <c r="C24" s="107" t="n">
        <v>347304</v>
      </c>
      <c r="D24" s="215" t="n">
        <f aca="false">C24-C23</f>
        <v>-168</v>
      </c>
      <c r="E24" s="107" t="n">
        <f aca="false">C24-152000</f>
        <v>195304</v>
      </c>
      <c r="F24" s="135" t="n">
        <f aca="false">D24/$D$2</f>
        <v>-84.6987648096799</v>
      </c>
      <c r="G24" s="213" t="n">
        <v>703</v>
      </c>
      <c r="H24" s="136" t="n">
        <v>0.86</v>
      </c>
      <c r="I24" s="135" t="n">
        <f aca="false">G24+H24</f>
        <v>703.86</v>
      </c>
      <c r="J24" s="136" t="n">
        <f aca="false">IF(L24&gt;0,L24,0)</f>
        <v>6.44123519032013</v>
      </c>
      <c r="K24" s="135" t="n">
        <f aca="false">I24+J24</f>
        <v>710.30123519032</v>
      </c>
      <c r="L24" s="135" t="n">
        <f aca="false">F24-(I24-AK24)</f>
        <v>6.44123519032013</v>
      </c>
      <c r="M24" s="248" t="n">
        <v>305</v>
      </c>
      <c r="N24" s="158" t="n">
        <f aca="false">(1.8299*1.03)/2</f>
        <v>0.9423985</v>
      </c>
      <c r="O24" s="135" t="n">
        <f aca="false">98*1.05</f>
        <v>102.9</v>
      </c>
      <c r="P24" s="158" t="n">
        <v>0</v>
      </c>
      <c r="Q24" s="336" t="n">
        <f aca="false">1541100/325851/1.9835*1.02</f>
        <v>2.43209048835572</v>
      </c>
      <c r="R24" s="131" t="n">
        <f aca="false">(5*1.04)-T24</f>
        <v>4.14213696</v>
      </c>
      <c r="S24" s="131" t="n">
        <v>0</v>
      </c>
      <c r="T24" s="131" t="n">
        <f aca="false">(0.9596*1.06)*1.04</f>
        <v>1.05786304</v>
      </c>
      <c r="U24" s="355" t="n">
        <v>0</v>
      </c>
      <c r="V24" s="135" t="n">
        <v>128</v>
      </c>
      <c r="W24" s="135" t="n">
        <v>75</v>
      </c>
      <c r="X24" s="135" t="n">
        <f aca="false">M24-N24-O24-P24-Q24-R24-S24-T24-U24+V24+W24-AT24+AR24</f>
        <v>432.525511011644</v>
      </c>
      <c r="Y24" s="135" t="n">
        <f aca="false">X24-AO24</f>
        <v>425.525511011644</v>
      </c>
      <c r="Z24" s="107" t="n">
        <f aca="false">Z23+AP24</f>
        <v>21852.9774061518</v>
      </c>
      <c r="AA24" s="135"/>
      <c r="AB24" s="107" t="n">
        <f aca="false">AB23+(Y24+AP24)*1.9835</f>
        <v>54348.2085814631</v>
      </c>
      <c r="AC24" s="107" t="n">
        <f aca="false">AC23-(AQ23/1.9835)</f>
        <v>1600.86866424204</v>
      </c>
      <c r="AD24" s="107"/>
      <c r="AE24" s="135" t="n">
        <v>238</v>
      </c>
      <c r="AF24" s="248" t="n">
        <v>1.7</v>
      </c>
      <c r="AG24" s="249" t="n">
        <v>1.3</v>
      </c>
      <c r="AH24" s="136" t="n">
        <v>49</v>
      </c>
      <c r="AI24" s="107" t="n">
        <f aca="false">AI23-AH24</f>
        <v>14033.2578774893</v>
      </c>
      <c r="AJ24" s="97"/>
      <c r="AK24" s="134" t="n">
        <f aca="false">N24+O24+P24+Q24+R24+S24+T24+U24+X24+AE24+AH24+AT24-AR24</f>
        <v>795</v>
      </c>
      <c r="AL24" s="135" t="n">
        <f aca="false">IF(L24&lt;0,L24*-1,0)</f>
        <v>0</v>
      </c>
      <c r="AM24" s="135" t="n">
        <f aca="false">AK24+AL24</f>
        <v>795</v>
      </c>
      <c r="AN24" s="369" t="n">
        <v>0</v>
      </c>
      <c r="AO24" s="215" t="n">
        <v>7</v>
      </c>
      <c r="AP24" s="150" t="n">
        <f aca="false">I24-Q24-R24-X24-AF24</f>
        <v>263.06026154</v>
      </c>
      <c r="AQ24" s="158" t="n">
        <f aca="false">47.9*(Z24*1.9835+AC24*1.9835)/E24</f>
        <v>11.4096060823229</v>
      </c>
      <c r="AR24" s="136" t="n">
        <v>36</v>
      </c>
      <c r="AS24" s="221"/>
      <c r="AT24" s="179"/>
      <c r="AU24" s="176"/>
      <c r="AV24" s="222" t="n">
        <v>0</v>
      </c>
      <c r="AW24" s="215" t="n">
        <v>80</v>
      </c>
      <c r="AX24" s="215" t="n">
        <v>43</v>
      </c>
      <c r="AY24" s="274"/>
      <c r="AZ24" s="250" t="n">
        <f aca="false">SUM(N24,P24:U24)</f>
        <v>8.57448898835572</v>
      </c>
    </row>
    <row r="25" customFormat="false" ht="12.95" hidden="false" customHeight="true" outlineLevel="0" collapsed="false">
      <c r="A25" s="183" t="n">
        <f aca="false">A24+1</f>
        <v>11</v>
      </c>
      <c r="B25" s="106" t="n">
        <v>6916.14</v>
      </c>
      <c r="C25" s="107" t="n">
        <v>347136</v>
      </c>
      <c r="D25" s="215" t="n">
        <f aca="false">C25-C24</f>
        <v>-168</v>
      </c>
      <c r="E25" s="107" t="n">
        <f aca="false">C25-152000</f>
        <v>195136</v>
      </c>
      <c r="F25" s="135" t="n">
        <f aca="false">D25/$D$2</f>
        <v>-84.6987648096799</v>
      </c>
      <c r="G25" s="213" t="n">
        <v>717</v>
      </c>
      <c r="H25" s="136" t="n">
        <v>0.72</v>
      </c>
      <c r="I25" s="135" t="n">
        <f aca="false">G25+H25</f>
        <v>717.72</v>
      </c>
      <c r="J25" s="136" t="n">
        <f aca="false">IF(L25&gt;0,L25,0)</f>
        <v>0</v>
      </c>
      <c r="K25" s="135" t="n">
        <f aca="false">I25+J25</f>
        <v>717.72</v>
      </c>
      <c r="L25" s="135" t="n">
        <f aca="false">F25-(I25-AK25)</f>
        <v>-12.41876480968</v>
      </c>
      <c r="M25" s="248" t="n">
        <v>294</v>
      </c>
      <c r="N25" s="158" t="n">
        <f aca="false">(1.8299*1.03)/2</f>
        <v>0.9423985</v>
      </c>
      <c r="O25" s="135" t="n">
        <f aca="false">86*1.05</f>
        <v>90.3</v>
      </c>
      <c r="P25" s="158" t="n">
        <v>0</v>
      </c>
      <c r="Q25" s="336" t="n">
        <f aca="false">1729000/325851/1.9835*1.02</f>
        <v>2.72862530294403</v>
      </c>
      <c r="R25" s="131" t="n">
        <f aca="false">(5*1.04)-T25</f>
        <v>4.12482928</v>
      </c>
      <c r="S25" s="131" t="n">
        <v>0</v>
      </c>
      <c r="T25" s="131" t="n">
        <f aca="false">(0.9753*1.06)*1.04</f>
        <v>1.07517072</v>
      </c>
      <c r="U25" s="355" t="n">
        <v>0</v>
      </c>
      <c r="V25" s="135" t="n">
        <v>129</v>
      </c>
      <c r="W25" s="135" t="n">
        <v>76</v>
      </c>
      <c r="X25" s="135" t="n">
        <f aca="false">M25-N25-O25-P25-Q25-R25-S25-T25-U25+V25+W25-AT25+AR25</f>
        <v>435.828976197056</v>
      </c>
      <c r="Y25" s="135" t="n">
        <f aca="false">X25-AO25</f>
        <v>428.828976197056</v>
      </c>
      <c r="Z25" s="107" t="n">
        <f aca="false">Z24+AP25</f>
        <v>22126.3149753718</v>
      </c>
      <c r="AA25" s="135"/>
      <c r="AB25" s="107" t="n">
        <f aca="false">AB24+(Y25+AP25)*1.9835</f>
        <v>55740.9559242978</v>
      </c>
      <c r="AC25" s="107" t="n">
        <f aca="false">AC24-(AQ24/1.9835)</f>
        <v>1595.11640506265</v>
      </c>
      <c r="AD25" s="107"/>
      <c r="AE25" s="135" t="n">
        <v>242</v>
      </c>
      <c r="AF25" s="248" t="n">
        <v>1.7</v>
      </c>
      <c r="AG25" s="249" t="n">
        <v>1.3</v>
      </c>
      <c r="AH25" s="136" t="n">
        <v>49</v>
      </c>
      <c r="AI25" s="107" t="n">
        <f aca="false">AI24-AH25</f>
        <v>13984.2578774893</v>
      </c>
      <c r="AJ25" s="97"/>
      <c r="AK25" s="134" t="n">
        <f aca="false">N25+O25+P25+Q25+R25+S25+T25+U25+X25+AE25+AH25+AT25-AR25</f>
        <v>790</v>
      </c>
      <c r="AL25" s="135" t="n">
        <f aca="false">IF(L25&lt;0,L25*-1,0)</f>
        <v>12.41876480968</v>
      </c>
      <c r="AM25" s="135" t="n">
        <f aca="false">AK25+AL25</f>
        <v>802.41876480968</v>
      </c>
      <c r="AN25" s="369" t="n">
        <v>0</v>
      </c>
      <c r="AO25" s="215" t="n">
        <v>7</v>
      </c>
      <c r="AP25" s="150" t="n">
        <f aca="false">I25-Q25-R25-X25-AF25</f>
        <v>273.33756922</v>
      </c>
      <c r="AQ25" s="158" t="n">
        <f aca="false">47.9*(Z25*1.9835+AC25*1.9835)/E25</f>
        <v>11.5497134970179</v>
      </c>
      <c r="AR25" s="136" t="n">
        <v>36</v>
      </c>
      <c r="AS25" s="221"/>
      <c r="AT25" s="179"/>
      <c r="AU25" s="176"/>
      <c r="AV25" s="222" t="n">
        <v>0</v>
      </c>
      <c r="AW25" s="215" t="n">
        <v>78</v>
      </c>
      <c r="AX25" s="215" t="n">
        <v>43</v>
      </c>
      <c r="AY25" s="274"/>
      <c r="AZ25" s="250" t="n">
        <f aca="false">SUM(N25,P25:U25)</f>
        <v>8.87102380294403</v>
      </c>
    </row>
    <row r="26" customFormat="false" ht="12.95" hidden="false" customHeight="true" outlineLevel="0" collapsed="false">
      <c r="A26" s="183" t="n">
        <f aca="false">A25+1</f>
        <v>12</v>
      </c>
      <c r="B26" s="106" t="n">
        <v>6916.07</v>
      </c>
      <c r="C26" s="107" t="n">
        <v>346841</v>
      </c>
      <c r="D26" s="215" t="n">
        <f aca="false">C26-C25</f>
        <v>-295</v>
      </c>
      <c r="E26" s="107" t="n">
        <f aca="false">C26-152000</f>
        <v>194841</v>
      </c>
      <c r="F26" s="135" t="n">
        <f aca="false">D26/$D$2</f>
        <v>-148.726997731283</v>
      </c>
      <c r="G26" s="213" t="n">
        <v>693</v>
      </c>
      <c r="H26" s="136" t="n">
        <v>0.59</v>
      </c>
      <c r="I26" s="135" t="n">
        <f aca="false">G26+H26</f>
        <v>693.59</v>
      </c>
      <c r="J26" s="136" t="n">
        <f aca="false">IF(L26&gt;0,L26,0)</f>
        <v>0</v>
      </c>
      <c r="K26" s="135" t="n">
        <f aca="false">I26+J26</f>
        <v>693.59</v>
      </c>
      <c r="L26" s="135" t="n">
        <f aca="false">F26-(I26-AK26)</f>
        <v>-19.3169977312831</v>
      </c>
      <c r="M26" s="248" t="n">
        <v>310</v>
      </c>
      <c r="N26" s="158" t="n">
        <f aca="false">(1.8299*1.03)/2</f>
        <v>0.9423985</v>
      </c>
      <c r="O26" s="135" t="n">
        <f aca="false">87*1.05</f>
        <v>91.35</v>
      </c>
      <c r="P26" s="158" t="n">
        <v>0</v>
      </c>
      <c r="Q26" s="336" t="n">
        <f aca="false">1877600/325851/1.9835*1.02</f>
        <v>2.96313873268231</v>
      </c>
      <c r="R26" s="131" t="n">
        <f aca="false">(5*1.04)-T26</f>
        <v>4.12482928</v>
      </c>
      <c r="S26" s="131" t="n">
        <v>0</v>
      </c>
      <c r="T26" s="131" t="n">
        <f aca="false">(0.9753*1.06)*1.04</f>
        <v>1.07517072</v>
      </c>
      <c r="U26" s="355" t="n">
        <v>0</v>
      </c>
      <c r="V26" s="135" t="n">
        <v>129</v>
      </c>
      <c r="W26" s="135" t="n">
        <v>77</v>
      </c>
      <c r="X26" s="135" t="n">
        <f aca="false">M26-N26-O26-P26-Q26-R26-S26-T26-U26+V26+W26-AT26+AR26</f>
        <v>451.544462767318</v>
      </c>
      <c r="Y26" s="135" t="n">
        <f aca="false">X26-AO26</f>
        <v>444.544462767318</v>
      </c>
      <c r="Z26" s="107" t="n">
        <f aca="false">Z25+AP26</f>
        <v>22359.5725445918</v>
      </c>
      <c r="AA26" s="135"/>
      <c r="AB26" s="107" t="n">
        <f aca="false">AB25+(Y26+AP26)*1.9835</f>
        <v>57085.3762547447</v>
      </c>
      <c r="AC26" s="107" t="n">
        <f aca="false">AC25-(AQ25/1.9835)</f>
        <v>1589.29350942513</v>
      </c>
      <c r="AD26" s="107"/>
      <c r="AE26" s="135" t="n">
        <v>258</v>
      </c>
      <c r="AF26" s="248" t="n">
        <v>1.7</v>
      </c>
      <c r="AG26" s="249" t="n">
        <v>1.3</v>
      </c>
      <c r="AH26" s="136" t="n">
        <v>49</v>
      </c>
      <c r="AI26" s="107" t="n">
        <f aca="false">AI25-AH26</f>
        <v>13935.2578774893</v>
      </c>
      <c r="AJ26" s="97"/>
      <c r="AK26" s="134" t="n">
        <f aca="false">N26+O26+P26+Q26+R26+S26+T26+U26+X26+AE26+AH26+AT26-AR26</f>
        <v>823</v>
      </c>
      <c r="AL26" s="135" t="n">
        <f aca="false">IF(L26&lt;0,L26*-1,0)</f>
        <v>19.3169977312831</v>
      </c>
      <c r="AM26" s="135" t="n">
        <f aca="false">AK26+AL26</f>
        <v>842.316997731283</v>
      </c>
      <c r="AN26" s="369" t="n">
        <v>0</v>
      </c>
      <c r="AO26" s="215" t="n">
        <v>7</v>
      </c>
      <c r="AP26" s="150" t="n">
        <f aca="false">I26-Q26-R26-X26-AF26</f>
        <v>233.25756922</v>
      </c>
      <c r="AQ26" s="158" t="n">
        <f aca="false">47.9*(Z26*1.9835+AC26*1.9835)/E26</f>
        <v>11.6781035905637</v>
      </c>
      <c r="AR26" s="136" t="n">
        <v>36</v>
      </c>
      <c r="AS26" s="221"/>
      <c r="AT26" s="179"/>
      <c r="AU26" s="176"/>
      <c r="AV26" s="222" t="n">
        <v>0.01</v>
      </c>
      <c r="AW26" s="332" t="n">
        <v>76</v>
      </c>
      <c r="AX26" s="215" t="n">
        <v>42</v>
      </c>
      <c r="AY26" s="274"/>
      <c r="AZ26" s="250" t="n">
        <f aca="false">SUM(N26,P26:U26)</f>
        <v>9.10553723268231</v>
      </c>
    </row>
    <row r="27" customFormat="false" ht="12.95" hidden="false" customHeight="true" outlineLevel="0" collapsed="false">
      <c r="A27" s="183" t="n">
        <f aca="false">A26+1</f>
        <v>13</v>
      </c>
      <c r="B27" s="106" t="n">
        <v>6916.01</v>
      </c>
      <c r="C27" s="107" t="n">
        <v>346589</v>
      </c>
      <c r="D27" s="215" t="n">
        <f aca="false">C27-C26</f>
        <v>-252</v>
      </c>
      <c r="E27" s="107" t="n">
        <f aca="false">C27-152000</f>
        <v>194589</v>
      </c>
      <c r="F27" s="135" t="n">
        <f aca="false">D27/$D$2</f>
        <v>-127.04814721452</v>
      </c>
      <c r="G27" s="213" t="n">
        <v>711</v>
      </c>
      <c r="H27" s="136" t="n">
        <v>0.53</v>
      </c>
      <c r="I27" s="135" t="n">
        <f aca="false">G27+H27</f>
        <v>711.53</v>
      </c>
      <c r="J27" s="136" t="n">
        <f aca="false">IF(L27&gt;0,L27,0)</f>
        <v>0</v>
      </c>
      <c r="K27" s="135" t="n">
        <f aca="false">I27+J27</f>
        <v>711.53</v>
      </c>
      <c r="L27" s="135" t="n">
        <f aca="false">F27-(I27-AK27)</f>
        <v>-47.5781472145198</v>
      </c>
      <c r="M27" s="248" t="n">
        <v>293</v>
      </c>
      <c r="N27" s="158" t="n">
        <f aca="false">(1.8299*1.03)/2</f>
        <v>0.9423985</v>
      </c>
      <c r="O27" s="135" t="n">
        <f aca="false">83*1.05</f>
        <v>87.15</v>
      </c>
      <c r="P27" s="158" t="n">
        <v>0</v>
      </c>
      <c r="Q27" s="336" t="n">
        <f aca="false">1394400/325851/1.9835*1.02</f>
        <v>2.20057554796134</v>
      </c>
      <c r="R27" s="131" t="n">
        <f aca="false">(5*1.04)-T27</f>
        <v>4.12482928</v>
      </c>
      <c r="S27" s="131" t="n">
        <v>0</v>
      </c>
      <c r="T27" s="131" t="n">
        <f aca="false">(0.9753*1.06)*1.04</f>
        <v>1.07517072</v>
      </c>
      <c r="U27" s="355" t="n">
        <v>0</v>
      </c>
      <c r="V27" s="135" t="n">
        <v>130</v>
      </c>
      <c r="W27" s="135" t="n">
        <v>77</v>
      </c>
      <c r="X27" s="135" t="n">
        <f aca="false">M27-N27-O27-P27-Q27-R27-S27-T27-U27+V27+W27-AT27+AR27</f>
        <v>440.507025952039</v>
      </c>
      <c r="Y27" s="135" t="n">
        <f aca="false">X27-AO27</f>
        <v>433.507025952039</v>
      </c>
      <c r="Z27" s="107" t="n">
        <f aca="false">Z26+AP27</f>
        <v>22622.5701138118</v>
      </c>
      <c r="AA27" s="135"/>
      <c r="AB27" s="107" t="n">
        <f aca="false">AB26+(Y27+AP27)*1.9835</f>
        <v>58466.8931192684</v>
      </c>
      <c r="AC27" s="107" t="n">
        <f aca="false">AC26-(AQ26/1.9835)</f>
        <v>1583.40588472608</v>
      </c>
      <c r="AD27" s="107"/>
      <c r="AE27" s="135" t="n">
        <v>242</v>
      </c>
      <c r="AF27" s="248" t="n">
        <v>1.7</v>
      </c>
      <c r="AG27" s="249" t="n">
        <v>1.3</v>
      </c>
      <c r="AH27" s="136" t="n">
        <v>49</v>
      </c>
      <c r="AI27" s="107" t="n">
        <f aca="false">AI26-AH27</f>
        <v>13886.2578774893</v>
      </c>
      <c r="AJ27" s="97"/>
      <c r="AK27" s="134" t="n">
        <f aca="false">N27+O27+P27+Q27+R27+S27+T27+U27+X27+AE27+AH27+AT27-AR27</f>
        <v>791</v>
      </c>
      <c r="AL27" s="135" t="n">
        <f aca="false">IF(L27&lt;0,L27*-1,0)</f>
        <v>47.5781472145198</v>
      </c>
      <c r="AM27" s="135" t="n">
        <f aca="false">AK27+AL27</f>
        <v>838.57814721452</v>
      </c>
      <c r="AN27" s="369" t="n">
        <v>0</v>
      </c>
      <c r="AO27" s="215" t="n">
        <v>7</v>
      </c>
      <c r="AP27" s="150" t="n">
        <f aca="false">I27-Q27-R27-X27-AF27</f>
        <v>262.99756922</v>
      </c>
      <c r="AQ27" s="158" t="n">
        <f aca="false">47.9*(Z27*1.9835+AC27*1.9835)/E27</f>
        <v>11.8187631753567</v>
      </c>
      <c r="AR27" s="136" t="n">
        <v>36</v>
      </c>
      <c r="AS27" s="221"/>
      <c r="AT27" s="179"/>
      <c r="AU27" s="176"/>
      <c r="AV27" s="222" t="n">
        <v>0</v>
      </c>
      <c r="AW27" s="332" t="n">
        <v>72</v>
      </c>
      <c r="AX27" s="215" t="n">
        <v>40</v>
      </c>
      <c r="AY27" s="274"/>
      <c r="AZ27" s="250" t="n">
        <f aca="false">SUM(N27,P27:U27)</f>
        <v>8.34297404796134</v>
      </c>
    </row>
    <row r="28" customFormat="false" ht="12.95" hidden="false" customHeight="true" outlineLevel="0" collapsed="false">
      <c r="A28" s="183" t="n">
        <f aca="false">A27+1</f>
        <v>14</v>
      </c>
      <c r="B28" s="106" t="n">
        <v>6915.92</v>
      </c>
      <c r="C28" s="107" t="n">
        <v>346213</v>
      </c>
      <c r="D28" s="215" t="n">
        <f aca="false">C28-C27</f>
        <v>-376</v>
      </c>
      <c r="E28" s="107" t="n">
        <f aca="false">C28-152000</f>
        <v>194213</v>
      </c>
      <c r="F28" s="135" t="n">
        <f aca="false">D28/$D$2</f>
        <v>-189.563902193093</v>
      </c>
      <c r="G28" s="213" t="n">
        <v>632</v>
      </c>
      <c r="H28" s="136" t="n">
        <v>0.47</v>
      </c>
      <c r="I28" s="135" t="n">
        <f aca="false">G28+H28</f>
        <v>632.47</v>
      </c>
      <c r="J28" s="136" t="n">
        <f aca="false">IF(L28&gt;0,L28,0)</f>
        <v>0</v>
      </c>
      <c r="K28" s="135" t="n">
        <f aca="false">I28+J28</f>
        <v>632.47</v>
      </c>
      <c r="L28" s="135" t="n">
        <f aca="false">F28-(I28-AK28)</f>
        <v>-11.033902193093</v>
      </c>
      <c r="M28" s="248" t="n">
        <v>307</v>
      </c>
      <c r="N28" s="158" t="n">
        <f aca="false">(1.8299*1.03)/2</f>
        <v>0.9423985</v>
      </c>
      <c r="O28" s="135" t="n">
        <f aca="false">81*1.05</f>
        <v>85.05</v>
      </c>
      <c r="P28" s="158" t="n">
        <v>0</v>
      </c>
      <c r="Q28" s="336" t="n">
        <f aca="false">2082200/325851/1.9835*1.02</f>
        <v>3.28602869045116</v>
      </c>
      <c r="R28" s="131" t="n">
        <f aca="false">(5*1.04)-T28</f>
        <v>4.12482928</v>
      </c>
      <c r="S28" s="131" t="n">
        <v>0</v>
      </c>
      <c r="T28" s="131" t="n">
        <f aca="false">(0.9753*1.06)*1.04</f>
        <v>1.07517072</v>
      </c>
      <c r="U28" s="355" t="n">
        <v>0</v>
      </c>
      <c r="V28" s="135" t="n">
        <v>129</v>
      </c>
      <c r="W28" s="135" t="n">
        <v>77</v>
      </c>
      <c r="X28" s="135" t="n">
        <f aca="false">M28-N28-O28-P28-Q28-R28-S28-T28-U28+V28+W28-AT28+AR28</f>
        <v>454.521572809549</v>
      </c>
      <c r="Y28" s="135" t="n">
        <f aca="false">X28-AO28</f>
        <v>447.521572809549</v>
      </c>
      <c r="Z28" s="107" t="n">
        <f aca="false">Z27+AP28</f>
        <v>22791.4076830318</v>
      </c>
      <c r="AA28" s="135"/>
      <c r="AB28" s="107" t="n">
        <f aca="false">AB27+(Y28+AP28)*1.9835</f>
        <v>59689.441477484</v>
      </c>
      <c r="AC28" s="107" t="n">
        <f aca="false">AC27-(AQ27/1.9835)</f>
        <v>1577.44734518721</v>
      </c>
      <c r="AD28" s="107"/>
      <c r="AE28" s="135" t="n">
        <v>249</v>
      </c>
      <c r="AF28" s="248" t="n">
        <v>1.7</v>
      </c>
      <c r="AG28" s="249" t="n">
        <v>1.3</v>
      </c>
      <c r="AH28" s="136" t="n">
        <v>49</v>
      </c>
      <c r="AI28" s="107" t="n">
        <f aca="false">AI27-AH28</f>
        <v>13837.2578774893</v>
      </c>
      <c r="AJ28" s="97"/>
      <c r="AK28" s="134" t="n">
        <f aca="false">N28+O28+P28+Q28+R28+S28+T28+U28+X28+AE28+AH28+AT28-AR28</f>
        <v>811</v>
      </c>
      <c r="AL28" s="135" t="n">
        <f aca="false">IF(L28&lt;0,L28*-1,0)</f>
        <v>11.033902193093</v>
      </c>
      <c r="AM28" s="135" t="n">
        <f aca="false">AK28+AL28</f>
        <v>822.033902193093</v>
      </c>
      <c r="AN28" s="369" t="n">
        <v>0</v>
      </c>
      <c r="AO28" s="215" t="n">
        <v>7</v>
      </c>
      <c r="AP28" s="150" t="n">
        <f aca="false">I28-Q28-R28-X28-AF28</f>
        <v>168.83756922</v>
      </c>
      <c r="AQ28" s="158" t="n">
        <f aca="false">47.9*(Z28*1.9835+AC28*1.9835)/E28</f>
        <v>11.9213254886739</v>
      </c>
      <c r="AR28" s="136" t="n">
        <v>36</v>
      </c>
      <c r="AS28" s="221"/>
      <c r="AT28" s="179"/>
      <c r="AU28" s="176"/>
      <c r="AV28" s="222" t="n">
        <v>0</v>
      </c>
      <c r="AW28" s="332" t="n">
        <v>79</v>
      </c>
      <c r="AX28" s="215" t="n">
        <v>35</v>
      </c>
      <c r="AY28" s="274"/>
      <c r="AZ28" s="250" t="n">
        <f aca="false">SUM(N28,P28:U28)</f>
        <v>9.42842719045116</v>
      </c>
    </row>
    <row r="29" customFormat="false" ht="12.95" hidden="false" customHeight="true" outlineLevel="0" collapsed="false">
      <c r="A29" s="183" t="n">
        <f aca="false">A28+1</f>
        <v>15</v>
      </c>
      <c r="B29" s="106" t="n">
        <v>6915.86</v>
      </c>
      <c r="C29" s="107" t="n">
        <v>345962</v>
      </c>
      <c r="D29" s="215" t="n">
        <f aca="false">C29-C28</f>
        <v>-251</v>
      </c>
      <c r="E29" s="107" t="n">
        <f aca="false">C29-152000</f>
        <v>193962</v>
      </c>
      <c r="F29" s="135" t="n">
        <f aca="false">D29/$D$2</f>
        <v>-126.543987900176</v>
      </c>
      <c r="G29" s="213" t="n">
        <v>692</v>
      </c>
      <c r="H29" s="136" t="n">
        <v>0.36</v>
      </c>
      <c r="I29" s="135" t="n">
        <f aca="false">G29+H29</f>
        <v>692.36</v>
      </c>
      <c r="J29" s="136" t="n">
        <f aca="false">IF(L29&gt;0,L29,0)</f>
        <v>42.0960120998235</v>
      </c>
      <c r="K29" s="135" t="n">
        <f aca="false">I29+J29</f>
        <v>734.456012099824</v>
      </c>
      <c r="L29" s="135" t="n">
        <f aca="false">F29-(I29-AK29)</f>
        <v>42.0960120998235</v>
      </c>
      <c r="M29" s="248" t="n">
        <v>321</v>
      </c>
      <c r="N29" s="158" t="n">
        <f aca="false">(1.8299*1.03)/2</f>
        <v>0.9423985</v>
      </c>
      <c r="O29" s="135" t="n">
        <f aca="false">80*1.05</f>
        <v>84</v>
      </c>
      <c r="P29" s="158" t="n">
        <v>0</v>
      </c>
      <c r="Q29" s="336" t="n">
        <f aca="false">1386600/325851/1.9835*1.02</f>
        <v>2.18826596012851</v>
      </c>
      <c r="R29" s="131" t="n">
        <f aca="false">(5*1.04)-T29</f>
        <v>4.12482928</v>
      </c>
      <c r="S29" s="131" t="n">
        <v>0</v>
      </c>
      <c r="T29" s="131" t="n">
        <f aca="false">(0.9753*1.06)*1.04</f>
        <v>1.07517072</v>
      </c>
      <c r="U29" s="355" t="n">
        <v>0</v>
      </c>
      <c r="V29" s="135" t="n">
        <v>129</v>
      </c>
      <c r="W29" s="135" t="n">
        <v>78</v>
      </c>
      <c r="X29" s="135" t="n">
        <f aca="false">M29-N29-O29-P29-Q29-R29-S29-T29-U29+V29+W29-AT29+AR29</f>
        <v>472.669335539871</v>
      </c>
      <c r="Y29" s="135" t="n">
        <f aca="false">X29-AO29</f>
        <v>465.669335539871</v>
      </c>
      <c r="Z29" s="107" t="n">
        <f aca="false">Z28+AP29</f>
        <v>23003.0852522518</v>
      </c>
      <c r="AA29" s="135"/>
      <c r="AB29" s="107" t="n">
        <f aca="false">AB28+(Y29+AP29)*1.9835</f>
        <v>61032.9590630752</v>
      </c>
      <c r="AC29" s="107" t="n">
        <f aca="false">AC28-(AQ28/1.9835)</f>
        <v>1571.43709790277</v>
      </c>
      <c r="AD29" s="107"/>
      <c r="AE29" s="135" t="n">
        <v>285</v>
      </c>
      <c r="AF29" s="248" t="n">
        <v>1.7</v>
      </c>
      <c r="AG29" s="249" t="n">
        <v>1.3</v>
      </c>
      <c r="AH29" s="136" t="n">
        <v>48</v>
      </c>
      <c r="AI29" s="107" t="n">
        <f aca="false">AI28-AH29</f>
        <v>13789.2578774893</v>
      </c>
      <c r="AJ29" s="97"/>
      <c r="AK29" s="134" t="n">
        <f aca="false">N29+O29+P29+Q29+R29+S29+T29+U29+X29+AE29+AH29+AT29-AR29</f>
        <v>861</v>
      </c>
      <c r="AL29" s="135" t="n">
        <f aca="false">IF(L29&lt;0,L29*-1,0)</f>
        <v>0</v>
      </c>
      <c r="AM29" s="135" t="n">
        <f aca="false">AK29+AL29</f>
        <v>861</v>
      </c>
      <c r="AN29" s="369" t="n">
        <v>0</v>
      </c>
      <c r="AO29" s="215" t="n">
        <v>7</v>
      </c>
      <c r="AP29" s="150" t="n">
        <f aca="false">I29-Q29-R29-X29-AF29</f>
        <v>211.67756922</v>
      </c>
      <c r="AQ29" s="158" t="n">
        <f aca="false">47.9*(Z29*1.9835+AC29*1.9835)/E29</f>
        <v>12.0374958363255</v>
      </c>
      <c r="AR29" s="136" t="n">
        <v>37</v>
      </c>
      <c r="AS29" s="221"/>
      <c r="AT29" s="179"/>
      <c r="AU29" s="176"/>
      <c r="AV29" s="222" t="n">
        <v>0</v>
      </c>
      <c r="AW29" s="332" t="n">
        <v>81</v>
      </c>
      <c r="AX29" s="215" t="n">
        <v>45</v>
      </c>
      <c r="AY29" s="274"/>
      <c r="AZ29" s="250" t="n">
        <f aca="false">SUM(N29,P29:U29)</f>
        <v>8.33066446012851</v>
      </c>
    </row>
    <row r="30" customFormat="false" ht="12.95" hidden="false" customHeight="true" outlineLevel="0" collapsed="false">
      <c r="A30" s="183" t="n">
        <f aca="false">A29+1</f>
        <v>16</v>
      </c>
      <c r="B30" s="106" t="n">
        <v>6915.83</v>
      </c>
      <c r="C30" s="107" t="n">
        <v>345837</v>
      </c>
      <c r="D30" s="215" t="n">
        <f aca="false">C30-C29</f>
        <v>-125</v>
      </c>
      <c r="E30" s="107" t="n">
        <f aca="false">C30-152000</f>
        <v>193837</v>
      </c>
      <c r="F30" s="135" t="n">
        <f aca="false">D30/$D$2</f>
        <v>-63.0199142929166</v>
      </c>
      <c r="G30" s="213" t="n">
        <v>758</v>
      </c>
      <c r="H30" s="136" t="n">
        <v>0.31</v>
      </c>
      <c r="I30" s="135" t="n">
        <f aca="false">G30+H30</f>
        <v>758.31</v>
      </c>
      <c r="J30" s="136" t="n">
        <f aca="false">IF(L30&gt;0,L30,0)</f>
        <v>43.6700857070836</v>
      </c>
      <c r="K30" s="135" t="n">
        <f aca="false">I30+J30</f>
        <v>801.980085707084</v>
      </c>
      <c r="L30" s="135" t="n">
        <f aca="false">F30-(I30-AK30)</f>
        <v>43.6700857070836</v>
      </c>
      <c r="M30" s="248" t="n">
        <v>322</v>
      </c>
      <c r="N30" s="158" t="n">
        <f aca="false">(1.8299*1.03)/2</f>
        <v>0.9423985</v>
      </c>
      <c r="O30" s="135" t="n">
        <f aca="false">79*1.05</f>
        <v>82.95</v>
      </c>
      <c r="P30" s="158" t="n">
        <v>0</v>
      </c>
      <c r="Q30" s="336" t="n">
        <f aca="false">1524200/325851/1.9835*1.02</f>
        <v>2.40541971471792</v>
      </c>
      <c r="R30" s="131" t="n">
        <v>4.2</v>
      </c>
      <c r="S30" s="131" t="n">
        <f aca="false">((5.5*1.04)-T30)-4.2</f>
        <v>0.44482928</v>
      </c>
      <c r="T30" s="131" t="n">
        <f aca="false">(0.9753*1.06)*1.04</f>
        <v>1.07517072</v>
      </c>
      <c r="U30" s="355" t="n">
        <v>0</v>
      </c>
      <c r="V30" s="135" t="n">
        <v>132</v>
      </c>
      <c r="W30" s="135" t="n">
        <v>78</v>
      </c>
      <c r="X30" s="135" t="n">
        <f aca="false">M30-N30-O30-P30-Q30-R30-S30-T30-U30+V30+W30-AT30+AR30</f>
        <v>478.982181785282</v>
      </c>
      <c r="Y30" s="135" t="n">
        <f aca="false">X30-AO30</f>
        <v>471.982181785282</v>
      </c>
      <c r="Z30" s="107" t="n">
        <f aca="false">Z29+AP30</f>
        <v>23274.1076507518</v>
      </c>
      <c r="AA30" s="135"/>
      <c r="AB30" s="107" t="n">
        <f aca="false">AB29+(Y30+AP30)*1.9835</f>
        <v>62506.708648071</v>
      </c>
      <c r="AC30" s="107" t="n">
        <f aca="false">AC29-(AQ29/1.9835)</f>
        <v>1565.36828225552</v>
      </c>
      <c r="AD30" s="107"/>
      <c r="AE30" s="135" t="n">
        <v>285</v>
      </c>
      <c r="AF30" s="248" t="n">
        <v>1.7</v>
      </c>
      <c r="AG30" s="249" t="n">
        <v>1.3</v>
      </c>
      <c r="AH30" s="136" t="n">
        <v>48</v>
      </c>
      <c r="AI30" s="107" t="n">
        <f aca="false">AI29-AH30</f>
        <v>13741.2578774893</v>
      </c>
      <c r="AJ30" s="97"/>
      <c r="AK30" s="134" t="n">
        <f aca="false">N30+O30+P30+Q30+R30+S30+T30+U30+X30+AE30+AH30+AT30-AR30</f>
        <v>865</v>
      </c>
      <c r="AL30" s="135" t="n">
        <f aca="false">IF(L30&lt;0,L30*-1,0)</f>
        <v>0</v>
      </c>
      <c r="AM30" s="135" t="n">
        <f aca="false">AK30+AL30</f>
        <v>865</v>
      </c>
      <c r="AN30" s="369" t="n">
        <v>0</v>
      </c>
      <c r="AO30" s="215" t="n">
        <v>7</v>
      </c>
      <c r="AP30" s="150" t="n">
        <f aca="false">I30-Q30-R30-X30-AF30</f>
        <v>271.0223985</v>
      </c>
      <c r="AQ30" s="158" t="n">
        <f aca="false">47.9*(Z30*1.9835+AC30*1.9835)/E30</f>
        <v>12.1751260831443</v>
      </c>
      <c r="AR30" s="136" t="n">
        <v>39</v>
      </c>
      <c r="AS30" s="221"/>
      <c r="AT30" s="179"/>
      <c r="AU30" s="176"/>
      <c r="AV30" s="222" t="n">
        <v>0</v>
      </c>
      <c r="AW30" s="215" t="n">
        <v>81</v>
      </c>
      <c r="AX30" s="215" t="n">
        <v>51</v>
      </c>
      <c r="AY30" s="274"/>
      <c r="AZ30" s="250" t="n">
        <f aca="false">SUM(N30,P30:U30)</f>
        <v>9.06781821471792</v>
      </c>
    </row>
    <row r="31" customFormat="false" ht="12.95" hidden="false" customHeight="true" outlineLevel="0" collapsed="false">
      <c r="A31" s="183" t="n">
        <f aca="false">A30+1</f>
        <v>17</v>
      </c>
      <c r="B31" s="106" t="n">
        <v>6915.77</v>
      </c>
      <c r="C31" s="107" t="n">
        <v>345587</v>
      </c>
      <c r="D31" s="215" t="n">
        <f aca="false">C31-C30</f>
        <v>-250</v>
      </c>
      <c r="E31" s="107" t="n">
        <f aca="false">C31-152000</f>
        <v>193587</v>
      </c>
      <c r="F31" s="135" t="n">
        <f aca="false">D31/$D$2</f>
        <v>-126.039828585833</v>
      </c>
      <c r="G31" s="213" t="n">
        <v>765</v>
      </c>
      <c r="H31" s="136" t="n">
        <v>0.29</v>
      </c>
      <c r="I31" s="135" t="n">
        <f aca="false">G31+H31</f>
        <v>765.29</v>
      </c>
      <c r="J31" s="136" t="n">
        <f aca="false">IF(L31&gt;0,L31,0)</f>
        <v>0</v>
      </c>
      <c r="K31" s="135" t="n">
        <f aca="false">I31+J31</f>
        <v>765.29</v>
      </c>
      <c r="L31" s="135" t="n">
        <f aca="false">F31-(I31-AK31)</f>
        <v>-48.3298285858331</v>
      </c>
      <c r="M31" s="248" t="n">
        <v>293</v>
      </c>
      <c r="N31" s="158" t="n">
        <f aca="false">(1.8299*1.03)/2</f>
        <v>0.9423985</v>
      </c>
      <c r="O31" s="135" t="n">
        <f aca="false">67*1.05</f>
        <v>70.35</v>
      </c>
      <c r="P31" s="158" t="n">
        <v>0</v>
      </c>
      <c r="Q31" s="336" t="n">
        <f aca="false">1862600/325851/1.9835*1.02</f>
        <v>2.9394664483884</v>
      </c>
      <c r="R31" s="131" t="n">
        <v>4.2</v>
      </c>
      <c r="S31" s="131" t="n">
        <f aca="false">((5.5*1.04)-T31)-4.2</f>
        <v>0.44482928</v>
      </c>
      <c r="T31" s="131" t="n">
        <f aca="false">(0.9753*1.06)*1.04</f>
        <v>1.07517072</v>
      </c>
      <c r="U31" s="355" t="n">
        <v>0</v>
      </c>
      <c r="V31" s="135" t="n">
        <v>143</v>
      </c>
      <c r="W31" s="135" t="n">
        <v>78</v>
      </c>
      <c r="X31" s="135" t="n">
        <f aca="false">M31-N31-O31-P31-Q31-R31-S31-T31-U31+V31+W31-AT31+AR31</f>
        <v>474.048135051612</v>
      </c>
      <c r="Y31" s="135" t="n">
        <f aca="false">X31-AO31</f>
        <v>467.048135051612</v>
      </c>
      <c r="Z31" s="107" t="n">
        <f aca="false">Z30+AP31</f>
        <v>23556.5100492518</v>
      </c>
      <c r="AA31" s="135"/>
      <c r="AB31" s="107" t="n">
        <f aca="false">AB30+(Y31+AP31)*1.9835</f>
        <v>63993.2437813707</v>
      </c>
      <c r="AC31" s="107" t="n">
        <f aca="false">AC30-(AQ30/1.9835)</f>
        <v>1559.2300790374</v>
      </c>
      <c r="AD31" s="107"/>
      <c r="AE31" s="135" t="n">
        <v>281</v>
      </c>
      <c r="AF31" s="248" t="n">
        <v>1.7</v>
      </c>
      <c r="AG31" s="249" t="n">
        <v>1.3</v>
      </c>
      <c r="AH31" s="136" t="n">
        <v>48</v>
      </c>
      <c r="AI31" s="107" t="n">
        <f aca="false">AI30-AH31</f>
        <v>13693.2578774893</v>
      </c>
      <c r="AJ31" s="97"/>
      <c r="AK31" s="134" t="n">
        <f aca="false">N31+O31+P31+Q31+R31+S31+T31+U31+X31+AE31+AH31+AT31-AR31</f>
        <v>843</v>
      </c>
      <c r="AL31" s="135" t="n">
        <f aca="false">IF(L31&lt;0,L31*-1,0)</f>
        <v>48.3298285858331</v>
      </c>
      <c r="AM31" s="135" t="n">
        <f aca="false">AK31+AL31</f>
        <v>891.329828585833</v>
      </c>
      <c r="AN31" s="369" t="n">
        <v>0</v>
      </c>
      <c r="AO31" s="215" t="n">
        <v>7</v>
      </c>
      <c r="AP31" s="150" t="n">
        <f aca="false">I31-Q31-R31-X31-AF31</f>
        <v>282.4023985</v>
      </c>
      <c r="AQ31" s="158" t="n">
        <f aca="false">47.9*(Z31*1.9835+AC31*1.9835)/E31</f>
        <v>12.3264355513527</v>
      </c>
      <c r="AR31" s="136" t="n">
        <v>40</v>
      </c>
      <c r="AS31" s="221"/>
      <c r="AT31" s="179"/>
      <c r="AU31" s="176"/>
      <c r="AV31" s="222" t="n">
        <v>0</v>
      </c>
      <c r="AW31" s="215" t="n">
        <v>82</v>
      </c>
      <c r="AX31" s="215" t="n">
        <v>46</v>
      </c>
      <c r="AY31" s="274"/>
      <c r="AZ31" s="250" t="n">
        <f aca="false">SUM(N31,P31:U31)</f>
        <v>9.6018649483884</v>
      </c>
    </row>
    <row r="32" customFormat="false" ht="12.95" hidden="false" customHeight="true" outlineLevel="0" collapsed="false">
      <c r="A32" s="183" t="n">
        <f aca="false">A31+1</f>
        <v>18</v>
      </c>
      <c r="B32" s="106" t="n">
        <v>6915.7</v>
      </c>
      <c r="C32" s="107" t="n">
        <v>345294</v>
      </c>
      <c r="D32" s="215" t="n">
        <f aca="false">C32-C31</f>
        <v>-293</v>
      </c>
      <c r="E32" s="107" t="n">
        <f aca="false">C32-152000</f>
        <v>193294</v>
      </c>
      <c r="F32" s="135" t="n">
        <f aca="false">D32/$D$2</f>
        <v>-147.718679102596</v>
      </c>
      <c r="G32" s="213" t="n">
        <v>783</v>
      </c>
      <c r="H32" s="136" t="n">
        <v>0.26</v>
      </c>
      <c r="I32" s="135" t="n">
        <f aca="false">G32+H32</f>
        <v>783.26</v>
      </c>
      <c r="J32" s="136" t="n">
        <f aca="false">IF(L32&gt;0,L32,0)</f>
        <v>0</v>
      </c>
      <c r="K32" s="135" t="n">
        <f aca="false">I32+J32</f>
        <v>783.26</v>
      </c>
      <c r="L32" s="135" t="n">
        <f aca="false">F32-(I32-AK32)</f>
        <v>-53.9786791025964</v>
      </c>
      <c r="M32" s="248" t="n">
        <v>313</v>
      </c>
      <c r="N32" s="158" t="n">
        <f aca="false">(1.8299*1.03)/2</f>
        <v>0.9423985</v>
      </c>
      <c r="O32" s="135" t="n">
        <f aca="false">67*1.05</f>
        <v>70.35</v>
      </c>
      <c r="P32" s="158" t="n">
        <v>0</v>
      </c>
      <c r="Q32" s="336" t="n">
        <f aca="false">1515900/325851/1.9835*1.02</f>
        <v>2.39232105074196</v>
      </c>
      <c r="R32" s="131" t="n">
        <v>4.2</v>
      </c>
      <c r="S32" s="131" t="n">
        <f aca="false">((6.6*1.04)-T32)-4.2</f>
        <v>1.4006496</v>
      </c>
      <c r="T32" s="131" t="n">
        <f aca="false">(1.146*1.06)*1.04</f>
        <v>1.2633504</v>
      </c>
      <c r="U32" s="355" t="n">
        <v>0</v>
      </c>
      <c r="V32" s="135" t="n">
        <v>141</v>
      </c>
      <c r="W32" s="135" t="n">
        <v>78</v>
      </c>
      <c r="X32" s="135" t="n">
        <f aca="false">M32-N32-O32-P32-Q32-R32-S32-T32-U32+V32+W32-AT32+AR32</f>
        <v>491.451280449258</v>
      </c>
      <c r="Y32" s="135" t="n">
        <f aca="false">X32-AO32</f>
        <v>484.451280449258</v>
      </c>
      <c r="Z32" s="107" t="n">
        <f aca="false">Z31+AP32</f>
        <v>23840.0264477518</v>
      </c>
      <c r="AA32" s="135"/>
      <c r="AB32" s="107" t="n">
        <f aca="false">AB31+(Y32+AP32)*1.9835</f>
        <v>65516.5076725665</v>
      </c>
      <c r="AC32" s="107" t="n">
        <f aca="false">AC31-(AQ31/1.9835)</f>
        <v>1553.01559174153</v>
      </c>
      <c r="AD32" s="107"/>
      <c r="AE32" s="135" t="n">
        <v>297</v>
      </c>
      <c r="AF32" s="248" t="n">
        <v>1.7</v>
      </c>
      <c r="AG32" s="249" t="n">
        <v>1.3</v>
      </c>
      <c r="AH32" s="136" t="n">
        <v>48</v>
      </c>
      <c r="AI32" s="107" t="n">
        <f aca="false">AI31-AH32</f>
        <v>13645.2578774893</v>
      </c>
      <c r="AJ32" s="97"/>
      <c r="AK32" s="134" t="n">
        <f aca="false">N32+O32+P32+Q32+R32+S32+T32+U32+X32+AE32+AH32+AT32-AR32</f>
        <v>877</v>
      </c>
      <c r="AL32" s="135" t="n">
        <f aca="false">IF(L32&lt;0,L32*-1,0)</f>
        <v>53.9786791025964</v>
      </c>
      <c r="AM32" s="135" t="n">
        <f aca="false">AK32+AL32</f>
        <v>930.978679102596</v>
      </c>
      <c r="AN32" s="369" t="n">
        <v>0</v>
      </c>
      <c r="AO32" s="215" t="n">
        <v>7</v>
      </c>
      <c r="AP32" s="150" t="n">
        <f aca="false">I32-Q32-R32-X32-AF32</f>
        <v>283.5163985</v>
      </c>
      <c r="AQ32" s="158" t="n">
        <f aca="false">47.9*(Z32*1.9835+AC32*1.9835)/E32</f>
        <v>12.4814222718116</v>
      </c>
      <c r="AR32" s="136" t="n">
        <v>40</v>
      </c>
      <c r="AS32" s="221"/>
      <c r="AT32" s="179"/>
      <c r="AU32" s="176"/>
      <c r="AV32" s="222" t="n">
        <v>0</v>
      </c>
      <c r="AW32" s="215" t="n">
        <v>79</v>
      </c>
      <c r="AX32" s="215" t="n">
        <v>50</v>
      </c>
      <c r="AY32" s="274"/>
      <c r="AZ32" s="250" t="n">
        <f aca="false">SUM(N32,P32:U32)</f>
        <v>10.198719550742</v>
      </c>
    </row>
    <row r="33" customFormat="false" ht="12.95" hidden="false" customHeight="true" outlineLevel="0" collapsed="false">
      <c r="A33" s="183" t="n">
        <f aca="false">A32+1</f>
        <v>19</v>
      </c>
      <c r="B33" s="106" t="n">
        <v>6915.63</v>
      </c>
      <c r="C33" s="308" t="n">
        <v>345002</v>
      </c>
      <c r="D33" s="215" t="n">
        <f aca="false">C33-C32</f>
        <v>-292</v>
      </c>
      <c r="E33" s="107" t="n">
        <f aca="false">C33-152000</f>
        <v>193002</v>
      </c>
      <c r="F33" s="135" t="n">
        <f aca="false">D33/$D$2</f>
        <v>-147.214519788253</v>
      </c>
      <c r="G33" s="213" t="n">
        <v>715</v>
      </c>
      <c r="H33" s="136" t="n">
        <v>0.2</v>
      </c>
      <c r="I33" s="135" t="n">
        <f aca="false">G33+H33</f>
        <v>715.2</v>
      </c>
      <c r="J33" s="136" t="n">
        <f aca="false">IF(L33&gt;0,L33,0)</f>
        <v>0</v>
      </c>
      <c r="K33" s="135" t="n">
        <f aca="false">I33+J33</f>
        <v>715.2</v>
      </c>
      <c r="L33" s="135" t="n">
        <f aca="false">F33-(I33-AK33)</f>
        <v>-32.4145197882531</v>
      </c>
      <c r="M33" s="248" t="n">
        <v>318</v>
      </c>
      <c r="N33" s="158" t="n">
        <f aca="false">(1.8299*1.03)/2</f>
        <v>0.9423985</v>
      </c>
      <c r="O33" s="135" t="n">
        <f aca="false">76*1.05</f>
        <v>79.8</v>
      </c>
      <c r="P33" s="158" t="n">
        <v>0</v>
      </c>
      <c r="Q33" s="336" t="n">
        <f aca="false">1955100/325851/1.9835*1.02</f>
        <v>3.08544553486748</v>
      </c>
      <c r="R33" s="131" t="n">
        <v>4.2</v>
      </c>
      <c r="S33" s="131" t="n">
        <f aca="false">((6.6*1.04)-T33)-4.2</f>
        <v>1.4006496</v>
      </c>
      <c r="T33" s="131" t="n">
        <f aca="false">(1.146*1.06)*1.04</f>
        <v>1.2633504</v>
      </c>
      <c r="U33" s="355" t="n">
        <v>0</v>
      </c>
      <c r="V33" s="135" t="n">
        <v>137</v>
      </c>
      <c r="W33" s="135" t="n">
        <v>78</v>
      </c>
      <c r="X33" s="135" t="n">
        <f aca="false">M33-N33-O33-P33-Q33-R33-S33-T33-U33+V33+W33-AT33+AR33</f>
        <v>484.308155965133</v>
      </c>
      <c r="Y33" s="135" t="n">
        <f aca="false">X33-AO33</f>
        <v>477.308155965133</v>
      </c>
      <c r="Z33" s="107" t="n">
        <f aca="false">Z32+AP33</f>
        <v>24061.9328462518</v>
      </c>
      <c r="AA33" s="135"/>
      <c r="AB33" s="107" t="n">
        <f aca="false">AB32+(Y33+AP33)*1.9835</f>
        <v>66903.3997413481</v>
      </c>
      <c r="AC33" s="107" t="n">
        <f aca="false">AC32-(AQ32/1.9835)</f>
        <v>1546.72296644694</v>
      </c>
      <c r="AD33" s="107"/>
      <c r="AE33" s="135" t="n">
        <v>249</v>
      </c>
      <c r="AF33" s="248" t="n">
        <v>1.7</v>
      </c>
      <c r="AG33" s="249" t="n">
        <v>1.3</v>
      </c>
      <c r="AH33" s="136" t="n">
        <v>48</v>
      </c>
      <c r="AI33" s="107" t="n">
        <f aca="false">AI32-AH33</f>
        <v>13597.2578774893</v>
      </c>
      <c r="AJ33" s="97"/>
      <c r="AK33" s="134" t="n">
        <f aca="false">N33+O33+P33+Q33+R33+S33+T33+U33+X33+AE33+AH33+AT33-AR33</f>
        <v>830</v>
      </c>
      <c r="AL33" s="135" t="n">
        <f aca="false">IF(L33&lt;0,L33*-1,0)</f>
        <v>32.4145197882531</v>
      </c>
      <c r="AM33" s="135" t="n">
        <f aca="false">AK33+AL33</f>
        <v>862.414519788253</v>
      </c>
      <c r="AN33" s="369" t="n">
        <v>0</v>
      </c>
      <c r="AO33" s="215" t="n">
        <v>7</v>
      </c>
      <c r="AP33" s="150" t="n">
        <f aca="false">I33-Q33-R33-X33-AF33</f>
        <v>221.9063985</v>
      </c>
      <c r="AQ33" s="158" t="n">
        <f aca="false">47.9*(Z33*1.9835+AC33*1.9835)/E33</f>
        <v>12.606446698661</v>
      </c>
      <c r="AR33" s="136" t="n">
        <v>42</v>
      </c>
      <c r="AS33" s="221"/>
      <c r="AT33" s="179"/>
      <c r="AU33" s="176"/>
      <c r="AV33" s="222" t="n">
        <v>0</v>
      </c>
      <c r="AW33" s="215" t="n">
        <v>73</v>
      </c>
      <c r="AX33" s="215" t="n">
        <v>38</v>
      </c>
      <c r="AY33" s="274"/>
      <c r="AZ33" s="250" t="n">
        <f aca="false">SUM(N33,P33:U33)</f>
        <v>10.8918440348675</v>
      </c>
    </row>
    <row r="34" customFormat="false" ht="12.95" hidden="false" customHeight="true" outlineLevel="0" collapsed="false">
      <c r="A34" s="183" t="n">
        <f aca="false">A33+1</f>
        <v>20</v>
      </c>
      <c r="B34" s="106" t="n">
        <v>6915.56</v>
      </c>
      <c r="C34" s="107" t="n">
        <v>344710</v>
      </c>
      <c r="D34" s="215" t="n">
        <f aca="false">C34-C33</f>
        <v>-292</v>
      </c>
      <c r="E34" s="107" t="n">
        <f aca="false">C34-152000</f>
        <v>192710</v>
      </c>
      <c r="F34" s="135" t="n">
        <f aca="false">D34/$D$2</f>
        <v>-147.214519788253</v>
      </c>
      <c r="G34" s="213" t="n">
        <v>688</v>
      </c>
      <c r="H34" s="136" t="n">
        <v>0.15</v>
      </c>
      <c r="I34" s="135" t="n">
        <f aca="false">G34+H34</f>
        <v>688.15</v>
      </c>
      <c r="J34" s="136" t="n">
        <f aca="false">IF(L34&gt;0,L34,0)</f>
        <v>0</v>
      </c>
      <c r="K34" s="135" t="n">
        <f aca="false">I34+J34</f>
        <v>688.15</v>
      </c>
      <c r="L34" s="135" t="n">
        <f aca="false">F34-(I34-AK34)</f>
        <v>-12.3645197882531</v>
      </c>
      <c r="M34" s="248" t="n">
        <v>307</v>
      </c>
      <c r="N34" s="158" t="n">
        <f aca="false">(1.8299*1.03)/2</f>
        <v>0.9423985</v>
      </c>
      <c r="O34" s="135" t="n">
        <f aca="false">63*1.05</f>
        <v>66.15</v>
      </c>
      <c r="P34" s="158" t="n">
        <v>0</v>
      </c>
      <c r="Q34" s="336" t="n">
        <f aca="false">2051200/325851/1.9835*1.02</f>
        <v>3.23710596957709</v>
      </c>
      <c r="R34" s="131" t="n">
        <v>4.2</v>
      </c>
      <c r="S34" s="131" t="n">
        <f aca="false">((6.6*1.04)-T34)-4.2</f>
        <v>1.4006496</v>
      </c>
      <c r="T34" s="131" t="n">
        <f aca="false">(1.146*1.06)*1.04</f>
        <v>1.2633504</v>
      </c>
      <c r="U34" s="355" t="n">
        <v>0</v>
      </c>
      <c r="V34" s="135" t="n">
        <v>140</v>
      </c>
      <c r="W34" s="135" t="n">
        <v>78</v>
      </c>
      <c r="X34" s="135" t="n">
        <f aca="false">M34-N34-O34-P34-Q34-R34-S34-T34-U34+V34+W34-AT34+AR34</f>
        <v>491.806495530423</v>
      </c>
      <c r="Y34" s="135" t="n">
        <f aca="false">X34-AO34</f>
        <v>484.806495530423</v>
      </c>
      <c r="Z34" s="107" t="n">
        <f aca="false">Z33+AP34</f>
        <v>24249.1392447518</v>
      </c>
      <c r="AA34" s="135"/>
      <c r="AB34" s="107" t="n">
        <f aca="false">AB33+(Y34+AP34)*1.9835</f>
        <v>68236.3373166575</v>
      </c>
      <c r="AC34" s="107" t="n">
        <f aca="false">AC33-(AQ33/1.9835)</f>
        <v>1540.36730892304</v>
      </c>
      <c r="AD34" s="107"/>
      <c r="AE34" s="135" t="n">
        <v>250</v>
      </c>
      <c r="AF34" s="248" t="n">
        <v>1.7</v>
      </c>
      <c r="AG34" s="249" t="n">
        <v>1.3</v>
      </c>
      <c r="AH34" s="136" t="n">
        <v>48</v>
      </c>
      <c r="AI34" s="107" t="n">
        <f aca="false">AI33-AH34</f>
        <v>13549.2578774893</v>
      </c>
      <c r="AJ34" s="97"/>
      <c r="AK34" s="134" t="n">
        <f aca="false">N34+O34+P34+Q34+R34+S34+T34+U34+X34+AE34+AH34+AT34-AR34</f>
        <v>823</v>
      </c>
      <c r="AL34" s="135" t="n">
        <f aca="false">IF(L34&lt;0,L34*-1,0)</f>
        <v>12.3645197882531</v>
      </c>
      <c r="AM34" s="135" t="n">
        <f aca="false">AK34+AL34</f>
        <v>835.364519788253</v>
      </c>
      <c r="AN34" s="369" t="n">
        <v>0</v>
      </c>
      <c r="AO34" s="215" t="n">
        <v>7</v>
      </c>
      <c r="AP34" s="150" t="n">
        <f aca="false">I34-Q34-R34-X34-AF34</f>
        <v>187.2063985</v>
      </c>
      <c r="AQ34" s="158" t="n">
        <f aca="false">47.9*(Z34*1.9835+AC34*1.9835)/E34</f>
        <v>12.7147111791674</v>
      </c>
      <c r="AR34" s="136" t="n">
        <v>44</v>
      </c>
      <c r="AS34" s="221"/>
      <c r="AT34" s="179"/>
      <c r="AU34" s="176"/>
      <c r="AV34" s="222" t="n">
        <v>0</v>
      </c>
      <c r="AW34" s="215" t="n">
        <v>81</v>
      </c>
      <c r="AX34" s="215" t="n">
        <v>41</v>
      </c>
      <c r="AY34" s="274"/>
      <c r="AZ34" s="250" t="n">
        <f aca="false">SUM(N34,P34:U34)</f>
        <v>11.0435044695771</v>
      </c>
    </row>
    <row r="35" customFormat="false" ht="12.95" hidden="false" customHeight="true" outlineLevel="0" collapsed="false">
      <c r="A35" s="183" t="n">
        <f aca="false">A34+1</f>
        <v>21</v>
      </c>
      <c r="B35" s="428" t="n">
        <v>6915.47</v>
      </c>
      <c r="C35" s="107" t="n">
        <v>344334</v>
      </c>
      <c r="D35" s="215" t="n">
        <f aca="false">C35-C34</f>
        <v>-376</v>
      </c>
      <c r="E35" s="107" t="n">
        <f aca="false">C35-152000</f>
        <v>192334</v>
      </c>
      <c r="F35" s="135" t="n">
        <f aca="false">D35/$D$2</f>
        <v>-189.563902193093</v>
      </c>
      <c r="G35" s="213" t="n">
        <v>730</v>
      </c>
      <c r="H35" s="136" t="n">
        <v>0.13</v>
      </c>
      <c r="I35" s="135" t="n">
        <f aca="false">G35+H35</f>
        <v>730.13</v>
      </c>
      <c r="J35" s="136" t="n">
        <f aca="false">IF(L35&gt;0,L35,0)</f>
        <v>0</v>
      </c>
      <c r="K35" s="135" t="n">
        <f aca="false">I35+J35</f>
        <v>730.13</v>
      </c>
      <c r="L35" s="135" t="n">
        <f aca="false">F35-(I35-AK35)</f>
        <v>-60.693902193093</v>
      </c>
      <c r="M35" s="248" t="n">
        <v>311</v>
      </c>
      <c r="N35" s="158" t="n">
        <f aca="false">(1.8299*1.03)/2</f>
        <v>0.9423985</v>
      </c>
      <c r="O35" s="135" t="n">
        <f aca="false">63*1.05</f>
        <v>66.15</v>
      </c>
      <c r="P35" s="158" t="n">
        <v>0</v>
      </c>
      <c r="Q35" s="336" t="n">
        <f aca="false">1906600/325851/1.9835*1.02</f>
        <v>3.00890514898385</v>
      </c>
      <c r="R35" s="131" t="n">
        <v>4.2</v>
      </c>
      <c r="S35" s="131" t="n">
        <f aca="false">((7*1.04)-T35)-4.2</f>
        <v>1.8166496</v>
      </c>
      <c r="T35" s="131" t="n">
        <f aca="false">(1.146*1.06)*1.04</f>
        <v>1.2633504</v>
      </c>
      <c r="U35" s="355" t="n">
        <v>0</v>
      </c>
      <c r="V35" s="135" t="n">
        <v>143</v>
      </c>
      <c r="W35" s="135" t="n">
        <v>78</v>
      </c>
      <c r="X35" s="135" t="n">
        <f aca="false">M35-N35-O35-P35-Q35-R35-S35-T35-U35+V35+W35-AT35+AR35</f>
        <v>497.618696351016</v>
      </c>
      <c r="Y35" s="135" t="n">
        <f aca="false">X35-AO35</f>
        <v>490.618696351016</v>
      </c>
      <c r="Z35" s="107" t="n">
        <f aca="false">Z34+AP35</f>
        <v>24472.7416432518</v>
      </c>
      <c r="AA35" s="135"/>
      <c r="AB35" s="107" t="n">
        <f aca="false">AB34+(Y35+AP35)*1.9835</f>
        <v>69652.9948582945</v>
      </c>
      <c r="AC35" s="107" t="n">
        <f aca="false">AC34-(AQ34/1.9835)</f>
        <v>1533.95706885288</v>
      </c>
      <c r="AD35" s="107"/>
      <c r="AE35" s="135" t="n">
        <v>279</v>
      </c>
      <c r="AF35" s="248" t="n">
        <v>1.7</v>
      </c>
      <c r="AG35" s="249" t="n">
        <v>1.3</v>
      </c>
      <c r="AH35" s="136" t="n">
        <v>48</v>
      </c>
      <c r="AI35" s="107" t="n">
        <f aca="false">AI34-AH35</f>
        <v>13501.2578774893</v>
      </c>
      <c r="AJ35" s="97"/>
      <c r="AK35" s="134" t="n">
        <f aca="false">N35+O35+P35+Q35+R35+S35+T35+U35+X35+AE35+AH35+AT35-AR35</f>
        <v>859</v>
      </c>
      <c r="AL35" s="135" t="n">
        <f aca="false">IF(L35&lt;0,L35*-1,0)</f>
        <v>60.693902193093</v>
      </c>
      <c r="AM35" s="135" t="n">
        <f aca="false">AK35+AL35</f>
        <v>919.693902193093</v>
      </c>
      <c r="AN35" s="369" t="n">
        <v>0</v>
      </c>
      <c r="AO35" s="215" t="n">
        <v>7</v>
      </c>
      <c r="AP35" s="150" t="n">
        <f aca="false">I35-Q35-R35-X35-AF35</f>
        <v>223.6023985</v>
      </c>
      <c r="AQ35" s="158" t="n">
        <f aca="false">47.9*(Z35*1.9835+AC35*1.9835)/E35</f>
        <v>12.8468567299204</v>
      </c>
      <c r="AR35" s="136" t="n">
        <v>43</v>
      </c>
      <c r="AS35" s="221"/>
      <c r="AT35" s="179"/>
      <c r="AU35" s="176"/>
      <c r="AV35" s="222" t="n">
        <v>0</v>
      </c>
      <c r="AW35" s="215" t="n">
        <v>85</v>
      </c>
      <c r="AX35" s="215" t="n">
        <v>48</v>
      </c>
      <c r="AY35" s="274"/>
      <c r="AZ35" s="250" t="n">
        <f aca="false">SUM(N35,P35:U35)</f>
        <v>11.2313036489839</v>
      </c>
    </row>
    <row r="36" customFormat="false" ht="12.95" hidden="false" customHeight="true" outlineLevel="0" collapsed="false">
      <c r="A36" s="183" t="n">
        <f aca="false">A35+1</f>
        <v>22</v>
      </c>
      <c r="B36" s="106" t="n">
        <v>6915.39</v>
      </c>
      <c r="C36" s="107" t="n">
        <v>344000</v>
      </c>
      <c r="D36" s="215" t="n">
        <f aca="false">C36-C35</f>
        <v>-334</v>
      </c>
      <c r="E36" s="107" t="n">
        <f aca="false">C36-152000</f>
        <v>192000</v>
      </c>
      <c r="F36" s="135" t="n">
        <f aca="false">D36/$D$2</f>
        <v>-168.389210990673</v>
      </c>
      <c r="G36" s="213" t="n">
        <v>756</v>
      </c>
      <c r="H36" s="136" t="n">
        <v>0.1</v>
      </c>
      <c r="I36" s="135" t="n">
        <f aca="false">G36+H36</f>
        <v>756.1</v>
      </c>
      <c r="J36" s="136" t="n">
        <f aca="false">IF(L36&gt;0,L36,0)</f>
        <v>0</v>
      </c>
      <c r="K36" s="135" t="n">
        <f aca="false">I36+J36</f>
        <v>756.1</v>
      </c>
      <c r="L36" s="135" t="n">
        <f aca="false">F36-(I36-AK36)</f>
        <v>-27.4892109906731</v>
      </c>
      <c r="M36" s="248" t="n">
        <v>320</v>
      </c>
      <c r="N36" s="158" t="n">
        <f aca="false">(1.8299*1.03)/2</f>
        <v>0.9423985</v>
      </c>
      <c r="O36" s="135" t="n">
        <f aca="false">58*1.05</f>
        <v>60.9</v>
      </c>
      <c r="P36" s="158" t="n">
        <v>3.5</v>
      </c>
      <c r="Q36" s="336" t="n">
        <f aca="false">1690000/325851/1.9835*1.02</f>
        <v>2.66707736377988</v>
      </c>
      <c r="R36" s="131" t="n">
        <v>4.2</v>
      </c>
      <c r="S36" s="131" t="n">
        <f aca="false">((7*1.04)-T36)-4.2</f>
        <v>1.8166496</v>
      </c>
      <c r="T36" s="131" t="n">
        <f aca="false">(1.146*1.06)*1.04</f>
        <v>1.2633504</v>
      </c>
      <c r="U36" s="355" t="n">
        <v>0</v>
      </c>
      <c r="V36" s="135" t="n">
        <v>147</v>
      </c>
      <c r="W36" s="135" t="n">
        <v>78</v>
      </c>
      <c r="X36" s="135" t="n">
        <f aca="false">M36-N36-O36-P36-Q36-R36-S36-T36-U36+V36+W36-AT36+AR36</f>
        <v>512.71052413622</v>
      </c>
      <c r="Y36" s="135" t="n">
        <f aca="false">X36-AO36</f>
        <v>505.71052413622</v>
      </c>
      <c r="Z36" s="107" t="n">
        <f aca="false">Z35+AP36</f>
        <v>24707.5640417518</v>
      </c>
      <c r="AA36" s="135"/>
      <c r="AB36" s="107" t="n">
        <f aca="false">AB35+(Y36+AP36)*1.9835</f>
        <v>71121.8419103434</v>
      </c>
      <c r="AC36" s="107" t="n">
        <f aca="false">AC35-(AQ35/1.9835)</f>
        <v>1527.48020637246</v>
      </c>
      <c r="AD36" s="107"/>
      <c r="AE36" s="135" t="n">
        <v>304</v>
      </c>
      <c r="AF36" s="248" t="n">
        <v>1.7</v>
      </c>
      <c r="AG36" s="249" t="n">
        <v>1.3</v>
      </c>
      <c r="AH36" s="136" t="n">
        <v>48</v>
      </c>
      <c r="AI36" s="107" t="n">
        <f aca="false">AI35-AH36</f>
        <v>13453.2578774893</v>
      </c>
      <c r="AJ36" s="97"/>
      <c r="AK36" s="134" t="n">
        <f aca="false">N36+O36+P36+Q36+R36+S36+T36+U36+X36+AE36+AH36+AT36-AR36</f>
        <v>897</v>
      </c>
      <c r="AL36" s="135" t="n">
        <f aca="false">IF(L36&lt;0,L36*-1,0)</f>
        <v>27.4892109906731</v>
      </c>
      <c r="AM36" s="135" t="n">
        <f aca="false">AK36+AL36</f>
        <v>924.489210990673</v>
      </c>
      <c r="AN36" s="369" t="n">
        <v>0</v>
      </c>
      <c r="AO36" s="215" t="n">
        <v>7</v>
      </c>
      <c r="AP36" s="150" t="n">
        <f aca="false">I36-Q36-R36-X36-AF36</f>
        <v>234.8223985</v>
      </c>
      <c r="AQ36" s="158" t="n">
        <f aca="false">47.9*(Z36*1.9835+AC36*1.9835)/E36</f>
        <v>12.9821998528583</v>
      </c>
      <c r="AR36" s="136" t="n">
        <v>43</v>
      </c>
      <c r="AS36" s="221"/>
      <c r="AT36" s="179"/>
      <c r="AU36" s="176"/>
      <c r="AV36" s="222" t="n">
        <v>0</v>
      </c>
      <c r="AW36" s="215" t="n">
        <v>87</v>
      </c>
      <c r="AX36" s="215" t="n">
        <v>49</v>
      </c>
      <c r="AY36" s="274"/>
      <c r="AZ36" s="250" t="n">
        <f aca="false">SUM(N36,P36:U36)</f>
        <v>14.3894758637799</v>
      </c>
    </row>
    <row r="37" customFormat="false" ht="12.95" hidden="false" customHeight="true" outlineLevel="0" collapsed="false">
      <c r="A37" s="183" t="n">
        <f aca="false">A36+1</f>
        <v>23</v>
      </c>
      <c r="B37" s="106" t="n">
        <v>6915.29</v>
      </c>
      <c r="C37" s="107" t="n">
        <v>343583</v>
      </c>
      <c r="D37" s="215" t="n">
        <f aca="false">C37-C36</f>
        <v>-417</v>
      </c>
      <c r="E37" s="107" t="n">
        <f aca="false">C37-152000</f>
        <v>191583</v>
      </c>
      <c r="F37" s="135" t="n">
        <f aca="false">D37/$D$2</f>
        <v>-210.23443408117</v>
      </c>
      <c r="G37" s="213" t="n">
        <v>806</v>
      </c>
      <c r="H37" s="136" t="n">
        <v>0.08</v>
      </c>
      <c r="I37" s="135" t="n">
        <f aca="false">G37+H37</f>
        <v>806.08</v>
      </c>
      <c r="J37" s="136" t="n">
        <f aca="false">IF(L37&gt;0,L37,0)</f>
        <v>0</v>
      </c>
      <c r="K37" s="135" t="n">
        <f aca="false">I37+J37</f>
        <v>806.08</v>
      </c>
      <c r="L37" s="135" t="n">
        <f aca="false">F37-(I37-AK37)</f>
        <v>-102.31443408117</v>
      </c>
      <c r="M37" s="248" t="n">
        <v>333</v>
      </c>
      <c r="N37" s="158" t="n">
        <f aca="false">(1.8299*1.03)/2</f>
        <v>0.9423985</v>
      </c>
      <c r="O37" s="135" t="n">
        <f aca="false">78*1.05</f>
        <v>81.9</v>
      </c>
      <c r="P37" s="158" t="n">
        <v>3.82</v>
      </c>
      <c r="Q37" s="336" t="n">
        <f aca="false">1713100/325851/1.9835*1.02</f>
        <v>2.70353268159249</v>
      </c>
      <c r="R37" s="131" t="n">
        <v>4.2</v>
      </c>
      <c r="S37" s="131" t="n">
        <f aca="false">((7*1.04)-T37)-4.2</f>
        <v>1.8166496</v>
      </c>
      <c r="T37" s="131" t="n">
        <f aca="false">(1.146*1.06)*1.04</f>
        <v>1.2633504</v>
      </c>
      <c r="U37" s="355" t="n">
        <v>0</v>
      </c>
      <c r="V37" s="135" t="n">
        <v>149</v>
      </c>
      <c r="W37" s="135" t="n">
        <v>78</v>
      </c>
      <c r="X37" s="135" t="n">
        <f aca="false">M37-N37-O37-P37-Q37-R37-S37-T37-U37+V37+W37-AT37+AR37</f>
        <v>505.354068818408</v>
      </c>
      <c r="Y37" s="135" t="n">
        <f aca="false">X37-AO37</f>
        <v>498.354068818408</v>
      </c>
      <c r="Z37" s="107" t="n">
        <f aca="false">Z36-AA37</f>
        <v>24613.5640417518</v>
      </c>
      <c r="AA37" s="135" t="n">
        <v>94</v>
      </c>
      <c r="AB37" s="107" t="n">
        <v>72000</v>
      </c>
      <c r="AC37" s="107" t="n">
        <f aca="false">AC36-(AQ36/1.9835)</f>
        <v>1520.93510939597</v>
      </c>
      <c r="AD37" s="107"/>
      <c r="AE37" s="135" t="n">
        <v>306</v>
      </c>
      <c r="AF37" s="248" t="n">
        <v>1.7</v>
      </c>
      <c r="AG37" s="249" t="n">
        <v>1.3</v>
      </c>
      <c r="AH37" s="136" t="n">
        <v>48</v>
      </c>
      <c r="AI37" s="107" t="n">
        <f aca="false">AI36-AH37</f>
        <v>13405.2578774893</v>
      </c>
      <c r="AJ37" s="97"/>
      <c r="AK37" s="134" t="n">
        <f aca="false">N37+O37+P37+Q37+R37+S37+T37+U37+X37+AE37+AH37+AT37-AR37</f>
        <v>914</v>
      </c>
      <c r="AL37" s="135" t="n">
        <f aca="false">IF(L37&lt;0,L37*-1,0)</f>
        <v>102.31443408117</v>
      </c>
      <c r="AM37" s="135" t="n">
        <f aca="false">AK37+AL37</f>
        <v>1016.31443408117</v>
      </c>
      <c r="AN37" s="369" t="n">
        <v>0</v>
      </c>
      <c r="AO37" s="215" t="n">
        <v>7</v>
      </c>
      <c r="AP37" s="150" t="n">
        <f aca="false">I37-Q37-R37-X37-AF37</f>
        <v>292.1223985</v>
      </c>
      <c r="AQ37" s="158" t="n">
        <f aca="false">47.9*(Z37*1.9835+AC37*1.9835)/E37</f>
        <v>12.9605947149582</v>
      </c>
      <c r="AR37" s="136" t="n">
        <v>42</v>
      </c>
      <c r="AS37" s="221"/>
      <c r="AT37" s="179"/>
      <c r="AU37" s="176"/>
      <c r="AV37" s="222" t="n">
        <v>0</v>
      </c>
      <c r="AW37" s="215" t="n">
        <v>84</v>
      </c>
      <c r="AX37" s="215" t="n">
        <v>45</v>
      </c>
      <c r="AY37" s="274"/>
      <c r="AZ37" s="250" t="n">
        <f aca="false">SUM(N37,P37:U37)</f>
        <v>14.7459311815925</v>
      </c>
    </row>
    <row r="38" customFormat="false" ht="12.95" hidden="false" customHeight="true" outlineLevel="0" collapsed="false">
      <c r="A38" s="183" t="n">
        <f aca="false">A37+1</f>
        <v>24</v>
      </c>
      <c r="B38" s="106" t="n">
        <v>6915.22</v>
      </c>
      <c r="C38" s="107" t="n">
        <v>343291</v>
      </c>
      <c r="D38" s="215" t="n">
        <f aca="false">C38-C37</f>
        <v>-292</v>
      </c>
      <c r="E38" s="107" t="n">
        <f aca="false">C38-152000</f>
        <v>191291</v>
      </c>
      <c r="F38" s="135" t="n">
        <f aca="false">D38/$D$2</f>
        <v>-147.214519788253</v>
      </c>
      <c r="G38" s="213" t="n">
        <v>775</v>
      </c>
      <c r="H38" s="136" t="n">
        <v>0.06</v>
      </c>
      <c r="I38" s="135" t="n">
        <f aca="false">G38+H38</f>
        <v>775.06</v>
      </c>
      <c r="J38" s="136" t="n">
        <f aca="false">IF(L38&gt;0,L38,0)</f>
        <v>0</v>
      </c>
      <c r="K38" s="135" t="n">
        <f aca="false">I38+J38</f>
        <v>775.06</v>
      </c>
      <c r="L38" s="135" t="n">
        <f aca="false">F38-(I38-AK38)</f>
        <v>-49.274519788253</v>
      </c>
      <c r="M38" s="248" t="n">
        <v>311</v>
      </c>
      <c r="N38" s="158" t="n">
        <f aca="false">(1.8299*1.03)/2</f>
        <v>0.9423985</v>
      </c>
      <c r="O38" s="135" t="n">
        <f aca="false">71*1.05</f>
        <v>74.55</v>
      </c>
      <c r="P38" s="158" t="n">
        <v>0</v>
      </c>
      <c r="Q38" s="336" t="n">
        <f aca="false">1815800/325851/1.9835*1.02</f>
        <v>2.86560892139142</v>
      </c>
      <c r="R38" s="131" t="n">
        <v>4.2</v>
      </c>
      <c r="S38" s="131" t="n">
        <f aca="false">((6.5*1.04)-T38)-4.2</f>
        <v>1.2966496</v>
      </c>
      <c r="T38" s="131" t="n">
        <f aca="false">(1.146*1.06)*1.04</f>
        <v>1.2633504</v>
      </c>
      <c r="U38" s="355" t="n">
        <v>0</v>
      </c>
      <c r="V38" s="135" t="n">
        <v>144</v>
      </c>
      <c r="W38" s="135" t="n">
        <v>77</v>
      </c>
      <c r="X38" s="135" t="n">
        <f aca="false">M38-N38-O38-P38-Q38-R38-S38-T38-U38+V38+W38-AT38+AR38</f>
        <v>486.881992578609</v>
      </c>
      <c r="Y38" s="135" t="n">
        <f aca="false">X38-AO38</f>
        <v>479.881992578609</v>
      </c>
      <c r="Z38" s="107" t="n">
        <f aca="false">Z37-AA38</f>
        <v>24133.6820491732</v>
      </c>
      <c r="AA38" s="135" t="n">
        <f aca="false">Y38</f>
        <v>479.881992578609</v>
      </c>
      <c r="AB38" s="107"/>
      <c r="AC38" s="107" t="n">
        <f aca="false">AC37-(AQ37/1.9835)</f>
        <v>1514.400904851</v>
      </c>
      <c r="AD38" s="107"/>
      <c r="AE38" s="135" t="n">
        <v>293</v>
      </c>
      <c r="AF38" s="248" t="n">
        <v>1.7</v>
      </c>
      <c r="AG38" s="249" t="n">
        <v>1.3</v>
      </c>
      <c r="AH38" s="136" t="n">
        <v>48</v>
      </c>
      <c r="AI38" s="107" t="n">
        <f aca="false">AI37-AH38</f>
        <v>13357.2578774893</v>
      </c>
      <c r="AJ38" s="97"/>
      <c r="AK38" s="134" t="n">
        <f aca="false">N38+O38+P38+Q38+R38+S38+T38+U38+X38+AE38+AH38+AT38-AR38</f>
        <v>873</v>
      </c>
      <c r="AL38" s="135" t="n">
        <f aca="false">IF(L38&lt;0,L38*-1,0)</f>
        <v>49.274519788253</v>
      </c>
      <c r="AM38" s="135" t="n">
        <f aca="false">AK38+AL38</f>
        <v>922.274519788253</v>
      </c>
      <c r="AN38" s="369" t="n">
        <v>0</v>
      </c>
      <c r="AO38" s="215" t="n">
        <v>7</v>
      </c>
      <c r="AP38" s="150"/>
      <c r="AQ38" s="158" t="n">
        <f aca="false">47.9*(Z38*1.9835+AC38*1.9835)/E38</f>
        <v>12.7387874214302</v>
      </c>
      <c r="AR38" s="136" t="n">
        <v>40</v>
      </c>
      <c r="AS38" s="221"/>
      <c r="AT38" s="179"/>
      <c r="AU38" s="176"/>
      <c r="AV38" s="222" t="n">
        <v>0</v>
      </c>
      <c r="AW38" s="215" t="n">
        <v>73</v>
      </c>
      <c r="AX38" s="215" t="n">
        <v>40</v>
      </c>
      <c r="AY38" s="274"/>
      <c r="AZ38" s="250" t="n">
        <f aca="false">SUM(N38,P38:U38)</f>
        <v>10.5680074213914</v>
      </c>
    </row>
    <row r="39" customFormat="false" ht="12.95" hidden="false" customHeight="true" outlineLevel="0" collapsed="false">
      <c r="A39" s="183" t="n">
        <f aca="false">A38+1</f>
        <v>25</v>
      </c>
      <c r="B39" s="106" t="n">
        <v>6915.08</v>
      </c>
      <c r="C39" s="107" t="n">
        <v>342706</v>
      </c>
      <c r="D39" s="215" t="n">
        <f aca="false">C39-C38</f>
        <v>-585</v>
      </c>
      <c r="E39" s="107" t="n">
        <f aca="false">C39-152000</f>
        <v>190706</v>
      </c>
      <c r="F39" s="135" t="n">
        <f aca="false">D39/$D$2</f>
        <v>-294.933198890849</v>
      </c>
      <c r="G39" s="213" t="n">
        <v>669</v>
      </c>
      <c r="H39" s="136" t="n">
        <v>0.04</v>
      </c>
      <c r="I39" s="135" t="n">
        <f aca="false">G39+H39</f>
        <v>669.04</v>
      </c>
      <c r="J39" s="136" t="n">
        <f aca="false">IF(L39&gt;0,L39,0)</f>
        <v>0</v>
      </c>
      <c r="K39" s="135" t="n">
        <f aca="false">I39+J39</f>
        <v>669.04</v>
      </c>
      <c r="L39" s="135" t="n">
        <f aca="false">F39-(I39-AK39)</f>
        <v>-87.9731988908495</v>
      </c>
      <c r="M39" s="248" t="n">
        <v>320</v>
      </c>
      <c r="N39" s="158" t="n">
        <f aca="false">(1.8299*1.03)/2</f>
        <v>0.9423985</v>
      </c>
      <c r="O39" s="135" t="n">
        <f aca="false">78*1.05</f>
        <v>81.9</v>
      </c>
      <c r="P39" s="158" t="n">
        <v>0</v>
      </c>
      <c r="Q39" s="336" t="n">
        <f aca="false">1590200/325851/1.9835*1.02</f>
        <v>2.5095777656111</v>
      </c>
      <c r="R39" s="131" t="n">
        <v>4.2</v>
      </c>
      <c r="S39" s="131" t="n">
        <f aca="false">((6.5*1.04)-T39)-4.2</f>
        <v>1.27669616</v>
      </c>
      <c r="T39" s="131" t="n">
        <f aca="false">(1.1641*1.06)*1.04</f>
        <v>1.28330384</v>
      </c>
      <c r="U39" s="355" t="n">
        <v>0</v>
      </c>
      <c r="V39" s="135" t="n">
        <v>143</v>
      </c>
      <c r="W39" s="135" t="n">
        <v>77</v>
      </c>
      <c r="X39" s="135" t="n">
        <f aca="false">M39-N39-O39-P39-Q39-R39-S39-T39-U39+V39+W39-AT39+AR39</f>
        <v>487.888023734389</v>
      </c>
      <c r="Y39" s="135" t="n">
        <f aca="false">X39-AO39</f>
        <v>480.888023734389</v>
      </c>
      <c r="Z39" s="107" t="n">
        <f aca="false">Z38-AA39</f>
        <v>23652.7940254388</v>
      </c>
      <c r="AA39" s="135" t="n">
        <f aca="false">Y39</f>
        <v>480.888023734389</v>
      </c>
      <c r="AB39" s="107"/>
      <c r="AC39" s="107" t="n">
        <f aca="false">AC38-(AQ38/1.9835)</f>
        <v>1507.97852651904</v>
      </c>
      <c r="AD39" s="107"/>
      <c r="AE39" s="135" t="n">
        <v>280</v>
      </c>
      <c r="AF39" s="248" t="n">
        <v>1.7</v>
      </c>
      <c r="AG39" s="249" t="n">
        <v>1.3</v>
      </c>
      <c r="AH39" s="136" t="n">
        <v>56</v>
      </c>
      <c r="AI39" s="107" t="n">
        <f aca="false">AI38-50</f>
        <v>13307.2578774893</v>
      </c>
      <c r="AJ39" s="97"/>
      <c r="AK39" s="134" t="n">
        <f aca="false">N39+O39+P39+Q39+R39+S39+T39+U39+X39+AE39+AH39+AT39-AR39</f>
        <v>876</v>
      </c>
      <c r="AL39" s="135" t="n">
        <f aca="false">IF(L39&lt;0,L39*-1,0)</f>
        <v>87.9731988908495</v>
      </c>
      <c r="AM39" s="135" t="n">
        <f aca="false">AK39+AL39</f>
        <v>963.97319889085</v>
      </c>
      <c r="AN39" s="369" t="n">
        <v>0</v>
      </c>
      <c r="AO39" s="215" t="n">
        <v>7</v>
      </c>
      <c r="AP39" s="150"/>
      <c r="AQ39" s="158" t="n">
        <f aca="false">47.9*(Z39*1.9835+AC39*1.9835)/E39</f>
        <v>12.5350864361432</v>
      </c>
      <c r="AR39" s="136" t="n">
        <v>40</v>
      </c>
      <c r="AS39" s="221"/>
      <c r="AT39" s="179"/>
      <c r="AU39" s="176"/>
      <c r="AV39" s="222" t="n">
        <v>0</v>
      </c>
      <c r="AW39" s="215" t="n">
        <v>83</v>
      </c>
      <c r="AX39" s="215" t="n">
        <v>52</v>
      </c>
      <c r="AY39" s="274"/>
      <c r="AZ39" s="250" t="n">
        <f aca="false">SUM(N39,P39:U39)</f>
        <v>10.2119762656111</v>
      </c>
    </row>
    <row r="40" customFormat="false" ht="12.95" hidden="false" customHeight="true" outlineLevel="0" collapsed="false">
      <c r="A40" s="183" t="n">
        <f aca="false">A39+1</f>
        <v>26</v>
      </c>
      <c r="B40" s="106" t="n">
        <v>6914.96</v>
      </c>
      <c r="C40" s="107" t="n">
        <v>342207</v>
      </c>
      <c r="D40" s="215" t="n">
        <f aca="false">C40-C39</f>
        <v>-499</v>
      </c>
      <c r="E40" s="107" t="n">
        <f aca="false">C40-152000</f>
        <v>190207</v>
      </c>
      <c r="F40" s="135" t="n">
        <f aca="false">D40/$D$2</f>
        <v>-251.575497857323</v>
      </c>
      <c r="G40" s="213" t="n">
        <v>633</v>
      </c>
      <c r="H40" s="136" t="n">
        <v>0.03</v>
      </c>
      <c r="I40" s="135" t="n">
        <f aca="false">G40+H40</f>
        <v>633.03</v>
      </c>
      <c r="J40" s="136" t="n">
        <f aca="false">IF(L40&gt;0,L40,0)</f>
        <v>0</v>
      </c>
      <c r="K40" s="135" t="n">
        <f aca="false">I40+J40</f>
        <v>633.03</v>
      </c>
      <c r="L40" s="135" t="n">
        <f aca="false">F40-(I40-AK40)</f>
        <v>-25.6054978573229</v>
      </c>
      <c r="M40" s="248" t="n">
        <v>326</v>
      </c>
      <c r="N40" s="158" t="n">
        <f aca="false">(1.8299*1.03)/2</f>
        <v>0.9423985</v>
      </c>
      <c r="O40" s="135" t="n">
        <f aca="false">82*1.05</f>
        <v>86.1</v>
      </c>
      <c r="P40" s="158" t="n">
        <v>0</v>
      </c>
      <c r="Q40" s="336" t="n">
        <f aca="false">1394500/325851/1.9835*1.02</f>
        <v>2.20073336318996</v>
      </c>
      <c r="R40" s="131" t="n">
        <v>4.2</v>
      </c>
      <c r="S40" s="131" t="n">
        <f aca="false">((6.5*1.04)-T40)-4.2</f>
        <v>1.27669616</v>
      </c>
      <c r="T40" s="131" t="n">
        <f aca="false">(1.1641*1.06)*1.04</f>
        <v>1.28330384</v>
      </c>
      <c r="U40" s="355" t="n">
        <v>0</v>
      </c>
      <c r="V40" s="135" t="n">
        <v>145</v>
      </c>
      <c r="W40" s="135" t="n">
        <v>78</v>
      </c>
      <c r="X40" s="135" t="n">
        <f aca="false">M40-N40-O40-P40-Q40-R40-S40-T40-U40+V40+W40-AT40+AR40</f>
        <v>492.99686813681</v>
      </c>
      <c r="Y40" s="135" t="n">
        <f aca="false">X40-AO40</f>
        <v>485.99686813681</v>
      </c>
      <c r="Z40" s="107" t="n">
        <f aca="false">Z39-AA40</f>
        <v>23166.797157302</v>
      </c>
      <c r="AA40" s="135" t="n">
        <f aca="false">Y40</f>
        <v>485.99686813681</v>
      </c>
      <c r="AB40" s="107"/>
      <c r="AC40" s="107" t="n">
        <f aca="false">AC39-(AQ39/1.9835)</f>
        <v>1501.65884593616</v>
      </c>
      <c r="AD40" s="107"/>
      <c r="AE40" s="135" t="n">
        <v>261</v>
      </c>
      <c r="AF40" s="248" t="n">
        <v>1.7</v>
      </c>
      <c r="AG40" s="249" t="n">
        <v>1.3</v>
      </c>
      <c r="AH40" s="136" t="n">
        <v>49</v>
      </c>
      <c r="AI40" s="107" t="n">
        <f aca="false">AI39-AH40</f>
        <v>13258.2578774893</v>
      </c>
      <c r="AJ40" s="97"/>
      <c r="AK40" s="134" t="n">
        <f aca="false">N40+O40+P40+Q40+R40+S40+T40+U40+X40+AE40+AH40+AT40-AR40</f>
        <v>859</v>
      </c>
      <c r="AL40" s="135" t="n">
        <f aca="false">IF(L40&lt;0,L40*-1,0)</f>
        <v>25.6054978573229</v>
      </c>
      <c r="AM40" s="135" t="n">
        <f aca="false">AK40+AL40</f>
        <v>884.605497857323</v>
      </c>
      <c r="AN40" s="369" t="n">
        <v>0</v>
      </c>
      <c r="AO40" s="215" t="n">
        <v>7</v>
      </c>
      <c r="AP40" s="150"/>
      <c r="AQ40" s="158" t="n">
        <f aca="false">47.9*(Z40*1.9835+AC40*1.9835)/E40</f>
        <v>12.3220563433946</v>
      </c>
      <c r="AR40" s="136" t="n">
        <v>40</v>
      </c>
      <c r="AS40" s="221"/>
      <c r="AT40" s="179"/>
      <c r="AU40" s="176"/>
      <c r="AV40" s="222" t="n">
        <v>0</v>
      </c>
      <c r="AW40" s="215" t="n">
        <v>79</v>
      </c>
      <c r="AX40" s="215" t="n">
        <v>38</v>
      </c>
      <c r="AY40" s="274"/>
      <c r="AZ40" s="250" t="n">
        <f aca="false">SUM(N40,P40:U40)</f>
        <v>9.90313186318996</v>
      </c>
    </row>
    <row r="41" customFormat="false" ht="12.95" hidden="false" customHeight="true" outlineLevel="0" collapsed="false">
      <c r="A41" s="183" t="n">
        <f aca="false">A40+1</f>
        <v>27</v>
      </c>
      <c r="B41" s="106" t="n">
        <v>6914.83</v>
      </c>
      <c r="C41" s="107" t="n">
        <v>341668</v>
      </c>
      <c r="D41" s="215" t="n">
        <f aca="false">C41-C40</f>
        <v>-539</v>
      </c>
      <c r="E41" s="107" t="n">
        <f aca="false">C41-152000</f>
        <v>189668</v>
      </c>
      <c r="F41" s="135" t="n">
        <f aca="false">D41/$D$2</f>
        <v>-271.741870431056</v>
      </c>
      <c r="G41" s="213" t="n">
        <v>562</v>
      </c>
      <c r="H41" s="136" t="n">
        <v>0.03</v>
      </c>
      <c r="I41" s="135" t="n">
        <f aca="false">G41+H41</f>
        <v>562.03</v>
      </c>
      <c r="J41" s="136" t="n">
        <f aca="false">IF(L41&gt;0,L41,0)</f>
        <v>0</v>
      </c>
      <c r="K41" s="135" t="n">
        <f aca="false">I41+J41</f>
        <v>562.03</v>
      </c>
      <c r="L41" s="135" t="n">
        <f aca="false">F41-(I41-AK41)</f>
        <v>-94.7718704310562</v>
      </c>
      <c r="M41" s="248" t="n">
        <v>280</v>
      </c>
      <c r="N41" s="158" t="n">
        <f aca="false">(1.8299*1.03)/2</f>
        <v>0.9423985</v>
      </c>
      <c r="O41" s="135" t="n">
        <f aca="false">76+1.05</f>
        <v>77.05</v>
      </c>
      <c r="P41" s="158" t="n">
        <v>0</v>
      </c>
      <c r="Q41" s="336" t="n">
        <f aca="false">1869700/325851/1.9835*1.02</f>
        <v>2.95067132962085</v>
      </c>
      <c r="R41" s="131" t="n">
        <v>4.2</v>
      </c>
      <c r="S41" s="131" t="n">
        <f aca="false">((6.5*1.04)-T41)-4.2</f>
        <v>1.27669616</v>
      </c>
      <c r="T41" s="131" t="n">
        <f aca="false">(1.1641*1.06)*1.04</f>
        <v>1.28330384</v>
      </c>
      <c r="U41" s="355" t="n">
        <v>0</v>
      </c>
      <c r="V41" s="135" t="n">
        <v>148</v>
      </c>
      <c r="W41" s="135" t="n">
        <v>78</v>
      </c>
      <c r="X41" s="135" t="n">
        <f aca="false">M41-N41-O41-P41-Q41-R41-S41-T41-U41+V41+W41-AT41+AR41</f>
        <v>458.296930170379</v>
      </c>
      <c r="Y41" s="135" t="n">
        <f aca="false">X41-AO41</f>
        <v>451.296930170379</v>
      </c>
      <c r="Z41" s="107" t="n">
        <f aca="false">Z40-AA41</f>
        <v>22715.5002271316</v>
      </c>
      <c r="AA41" s="135" t="n">
        <f aca="false">Y41</f>
        <v>451.296930170379</v>
      </c>
      <c r="AB41" s="107"/>
      <c r="AC41" s="107" t="n">
        <f aca="false">AC40-(AQ40/1.9835)</f>
        <v>1495.44656645878</v>
      </c>
      <c r="AD41" s="107"/>
      <c r="AE41" s="135" t="n">
        <v>184</v>
      </c>
      <c r="AF41" s="248" t="n">
        <v>1.7</v>
      </c>
      <c r="AG41" s="249" t="n">
        <v>1.3</v>
      </c>
      <c r="AH41" s="136" t="n">
        <v>49</v>
      </c>
      <c r="AI41" s="107" t="n">
        <f aca="false">AI40-AH41</f>
        <v>13209.2578774893</v>
      </c>
      <c r="AJ41" s="97"/>
      <c r="AK41" s="134" t="n">
        <f aca="false">N41+O41+P41+Q41+R41+S41+T41+U41+X41+AE41+AH41+AT41-AR41</f>
        <v>739</v>
      </c>
      <c r="AL41" s="135" t="n">
        <f aca="false">IF(L41&lt;0,L41*-1,0)</f>
        <v>94.7718704310562</v>
      </c>
      <c r="AM41" s="135" t="n">
        <f aca="false">AK41+AL41</f>
        <v>833.771870431056</v>
      </c>
      <c r="AN41" s="369" t="n">
        <v>0</v>
      </c>
      <c r="AO41" s="215" t="n">
        <v>7</v>
      </c>
      <c r="AP41" s="150"/>
      <c r="AQ41" s="158" t="n">
        <f aca="false">47.9*(Z41*1.9835+AC41*1.9835)/E41</f>
        <v>12.1278949587049</v>
      </c>
      <c r="AR41" s="136" t="n">
        <v>40</v>
      </c>
      <c r="AS41" s="221"/>
      <c r="AT41" s="179"/>
      <c r="AU41" s="176"/>
      <c r="AV41" s="222" t="n">
        <v>0</v>
      </c>
      <c r="AW41" s="215" t="n">
        <v>65</v>
      </c>
      <c r="AX41" s="215" t="n">
        <v>32</v>
      </c>
      <c r="AY41" s="274"/>
      <c r="AZ41" s="250" t="n">
        <f aca="false">SUM(N41,P41:U41)</f>
        <v>10.6530698296209</v>
      </c>
    </row>
    <row r="42" customFormat="false" ht="12.95" hidden="false" customHeight="true" outlineLevel="0" collapsed="false">
      <c r="A42" s="183" t="n">
        <v>28</v>
      </c>
      <c r="B42" s="106" t="n">
        <v>6914.69</v>
      </c>
      <c r="C42" s="107" t="n">
        <v>341088</v>
      </c>
      <c r="D42" s="215" t="n">
        <f aca="false">C42-C41</f>
        <v>-580</v>
      </c>
      <c r="E42" s="107" t="n">
        <f aca="false">C42-152000</f>
        <v>189088</v>
      </c>
      <c r="F42" s="135" t="n">
        <f aca="false">D42/$D$2</f>
        <v>-292.412402319133</v>
      </c>
      <c r="G42" s="213" t="n">
        <v>482</v>
      </c>
      <c r="H42" s="136" t="n">
        <v>0.04</v>
      </c>
      <c r="I42" s="135" t="n">
        <f aca="false">G42+H42</f>
        <v>482.04</v>
      </c>
      <c r="J42" s="136" t="n">
        <f aca="false">IF(L42&gt;0,L42,0)</f>
        <v>10.5475976808671</v>
      </c>
      <c r="K42" s="135" t="n">
        <f aca="false">I42+J42</f>
        <v>492.587597680867</v>
      </c>
      <c r="L42" s="135" t="n">
        <f aca="false">F42-(I42-AK42)</f>
        <v>10.5475976808671</v>
      </c>
      <c r="M42" s="248" t="n">
        <v>281</v>
      </c>
      <c r="N42" s="158" t="n">
        <f aca="false">(1.8299*1.03)/2</f>
        <v>0.9423985</v>
      </c>
      <c r="O42" s="135" t="n">
        <f aca="false">53*1.05</f>
        <v>55.65</v>
      </c>
      <c r="P42" s="158" t="n">
        <v>0</v>
      </c>
      <c r="Q42" s="336" t="n">
        <f aca="false">2244700/325851/1.9835*1.02</f>
        <v>3.54247843696845</v>
      </c>
      <c r="R42" s="131" t="n">
        <v>4.2</v>
      </c>
      <c r="S42" s="131" t="n">
        <f aca="false">((6.5*1.04)-T42)-4.2</f>
        <v>1.27669616</v>
      </c>
      <c r="T42" s="131" t="n">
        <f aca="false">(1.1641*1.06)*1.04</f>
        <v>1.28330384</v>
      </c>
      <c r="U42" s="355" t="n">
        <v>0</v>
      </c>
      <c r="V42" s="135" t="n">
        <v>147</v>
      </c>
      <c r="W42" s="135" t="n">
        <v>78</v>
      </c>
      <c r="X42" s="135" t="n">
        <f aca="false">M42-N42-O42-P42-Q42-R42-S42-T42-U42+V42+W42-AT42+AR42</f>
        <v>479.105123063032</v>
      </c>
      <c r="Y42" s="135" t="n">
        <f aca="false">X42-AO42</f>
        <v>472.105123063032</v>
      </c>
      <c r="Z42" s="107" t="n">
        <f aca="false">Z41-AA42</f>
        <v>22243.3951040686</v>
      </c>
      <c r="AA42" s="135" t="n">
        <f aca="false">Y42</f>
        <v>472.105123063032</v>
      </c>
      <c r="AB42" s="107"/>
      <c r="AC42" s="107" t="n">
        <f aca="false">AC41-(AQ41/1.9835)</f>
        <v>1489.33217525197</v>
      </c>
      <c r="AD42" s="107"/>
      <c r="AE42" s="135" t="n">
        <v>230</v>
      </c>
      <c r="AF42" s="248" t="n">
        <v>1.7</v>
      </c>
      <c r="AG42" s="249" t="n">
        <v>1.3</v>
      </c>
      <c r="AH42" s="136" t="n">
        <v>49</v>
      </c>
      <c r="AI42" s="107" t="n">
        <f aca="false">AI41-AH42</f>
        <v>13160.2578774893</v>
      </c>
      <c r="AJ42" s="97"/>
      <c r="AK42" s="134" t="n">
        <f aca="false">N42+O42+P42+Q42+R42+S42+T42+U42+X42+AE42+AH42+AT42-AR42</f>
        <v>785</v>
      </c>
      <c r="AL42" s="135" t="n">
        <f aca="false">IF(L42&lt;0,L42*-1,0)</f>
        <v>0</v>
      </c>
      <c r="AM42" s="135" t="n">
        <f aca="false">AK42+AL42</f>
        <v>785</v>
      </c>
      <c r="AN42" s="369" t="n">
        <v>0</v>
      </c>
      <c r="AO42" s="215" t="n">
        <v>7</v>
      </c>
      <c r="AP42" s="150"/>
      <c r="AQ42" s="158" t="n">
        <f aca="false">47.9*(Z42*1.9835+AC42*1.9835)/E42</f>
        <v>11.9248080912258</v>
      </c>
      <c r="AR42" s="136" t="n">
        <v>40</v>
      </c>
      <c r="AS42" s="221"/>
      <c r="AT42" s="179"/>
      <c r="AU42" s="176"/>
      <c r="AV42" s="222" t="n">
        <v>0</v>
      </c>
      <c r="AW42" s="215" t="n">
        <v>73</v>
      </c>
      <c r="AX42" s="215" t="n">
        <v>35</v>
      </c>
      <c r="AY42" s="274"/>
      <c r="AZ42" s="250" t="n">
        <f aca="false">SUM(N42,P42:U42)</f>
        <v>11.2448769369685</v>
      </c>
    </row>
    <row r="43" customFormat="false" ht="12.95" hidden="false" customHeight="true" outlineLevel="0" collapsed="false">
      <c r="A43" s="183" t="n">
        <v>29</v>
      </c>
      <c r="B43" s="106" t="n">
        <v>6914.46</v>
      </c>
      <c r="C43" s="107" t="n">
        <v>340136</v>
      </c>
      <c r="D43" s="215" t="n">
        <f aca="false">C43-C42</f>
        <v>-952</v>
      </c>
      <c r="E43" s="107" t="n">
        <f aca="false">C43-152000</f>
        <v>188136</v>
      </c>
      <c r="F43" s="135" t="n">
        <f aca="false">D43/$D$2</f>
        <v>-479.959667254853</v>
      </c>
      <c r="G43" s="213" t="n">
        <v>451</v>
      </c>
      <c r="H43" s="136" t="n">
        <v>0.02</v>
      </c>
      <c r="I43" s="135" t="n">
        <f aca="false">G43+H43</f>
        <v>451.02</v>
      </c>
      <c r="J43" s="136" t="n">
        <f aca="false">IF(L43&gt;0,L43,0)</f>
        <v>0</v>
      </c>
      <c r="K43" s="135" t="n">
        <f aca="false">I43+J43</f>
        <v>451.02</v>
      </c>
      <c r="L43" s="135" t="n">
        <f aca="false">F43-(I43-AK43)</f>
        <v>-72.9796672548525</v>
      </c>
      <c r="M43" s="248" t="n">
        <v>336</v>
      </c>
      <c r="N43" s="158" t="n">
        <f aca="false">(1.8299*1.03)/2</f>
        <v>0.9423985</v>
      </c>
      <c r="O43" s="135" t="n">
        <f aca="false">100*1.05</f>
        <v>105</v>
      </c>
      <c r="P43" s="158" t="n">
        <v>0</v>
      </c>
      <c r="Q43" s="336" t="n">
        <f aca="false">1820100/325851/1.9835*1.02</f>
        <v>2.87239497622234</v>
      </c>
      <c r="R43" s="131" t="n">
        <v>4.2</v>
      </c>
      <c r="S43" s="131" t="n">
        <f aca="false">((6.5*1.04)-T43)-4.2</f>
        <v>1.27669616</v>
      </c>
      <c r="T43" s="131" t="n">
        <f aca="false">(1.1641*1.06)*1.04</f>
        <v>1.28330384</v>
      </c>
      <c r="U43" s="355" t="n">
        <v>0</v>
      </c>
      <c r="V43" s="135" t="n">
        <v>146</v>
      </c>
      <c r="W43" s="135" t="n">
        <v>77</v>
      </c>
      <c r="X43" s="135" t="n">
        <f aca="false">M43-N43-O43-P43-Q43-R43-S43-T43-U43+V43+W43-AT43+AR43</f>
        <v>483.425206523778</v>
      </c>
      <c r="Y43" s="135" t="n">
        <f aca="false">X43-AO43</f>
        <v>476.425206523778</v>
      </c>
      <c r="Z43" s="107" t="n">
        <f aca="false">Z42-AA43</f>
        <v>21766.9698975448</v>
      </c>
      <c r="AA43" s="135" t="n">
        <f aca="false">Y43</f>
        <v>476.425206523778</v>
      </c>
      <c r="AB43" s="107"/>
      <c r="AC43" s="107" t="n">
        <f aca="false">AC42-(AQ42/1.9835)</f>
        <v>1483.32017218102</v>
      </c>
      <c r="AD43" s="107"/>
      <c r="AE43" s="135" t="n">
        <v>250</v>
      </c>
      <c r="AF43" s="248" t="n">
        <v>1.7</v>
      </c>
      <c r="AG43" s="249" t="n">
        <v>1.3</v>
      </c>
      <c r="AH43" s="136" t="n">
        <v>49</v>
      </c>
      <c r="AI43" s="107" t="n">
        <f aca="false">AI42-AH43</f>
        <v>13111.2578774893</v>
      </c>
      <c r="AJ43" s="97"/>
      <c r="AK43" s="134" t="n">
        <f aca="false">N43+O43+P43+Q43+R43+S43+T43+U43+X43+AE43+AH43+AT43-AR43</f>
        <v>858</v>
      </c>
      <c r="AL43" s="135" t="n">
        <f aca="false">IF(L43&lt;0,L43*-1,0)</f>
        <v>72.9796672548525</v>
      </c>
      <c r="AM43" s="135" t="n">
        <f aca="false">AK43+AL43</f>
        <v>930.979667254853</v>
      </c>
      <c r="AN43" s="369" t="n">
        <v>0</v>
      </c>
      <c r="AO43" s="215" t="n">
        <v>7</v>
      </c>
      <c r="AP43" s="150"/>
      <c r="AQ43" s="158" t="n">
        <f aca="false">47.9*(Z43*1.9835+AC43*1.9835)/E43</f>
        <v>11.7415163600965</v>
      </c>
      <c r="AR43" s="136" t="n">
        <v>40</v>
      </c>
      <c r="AS43" s="221"/>
      <c r="AT43" s="179"/>
      <c r="AU43" s="176"/>
      <c r="AV43" s="222" t="n">
        <v>0</v>
      </c>
      <c r="AW43" s="215" t="n">
        <v>81</v>
      </c>
      <c r="AX43" s="215" t="n">
        <v>41</v>
      </c>
      <c r="AY43" s="274"/>
      <c r="AZ43" s="250" t="n">
        <f aca="false">SUM(N43,P43:U43)</f>
        <v>10.5747934762223</v>
      </c>
    </row>
    <row r="44" customFormat="false" ht="12.95" hidden="false" customHeight="true" outlineLevel="0" collapsed="false">
      <c r="A44" s="183" t="n">
        <v>30</v>
      </c>
      <c r="B44" s="106" t="n">
        <v>6914.23</v>
      </c>
      <c r="C44" s="107" t="n">
        <v>339183</v>
      </c>
      <c r="D44" s="215" t="n">
        <f aca="false">C44-C43</f>
        <v>-953</v>
      </c>
      <c r="E44" s="107" t="n">
        <f aca="false">C44-152000</f>
        <v>187183</v>
      </c>
      <c r="F44" s="135" t="n">
        <f aca="false">D44/$D$2</f>
        <v>-480.463826569196</v>
      </c>
      <c r="G44" s="213" t="n">
        <v>447</v>
      </c>
      <c r="H44" s="136" t="n">
        <v>0.02</v>
      </c>
      <c r="I44" s="135" t="n">
        <f aca="false">G44+H44</f>
        <v>447.02</v>
      </c>
      <c r="J44" s="136" t="n">
        <f aca="false">IF(L44&gt;0,L44,0)</f>
        <v>0</v>
      </c>
      <c r="K44" s="135" t="n">
        <f aca="false">I44+J44</f>
        <v>447.02</v>
      </c>
      <c r="L44" s="135" t="n">
        <f aca="false">F44-(I44-AK44)</f>
        <v>-59.4838265691959</v>
      </c>
      <c r="M44" s="248" t="n">
        <v>335</v>
      </c>
      <c r="N44" s="158" t="n">
        <f aca="false">(1.8299*1.03)/2</f>
        <v>0.9423985</v>
      </c>
      <c r="O44" s="135" t="n">
        <f aca="false">98*1.05</f>
        <v>102.9</v>
      </c>
      <c r="P44" s="158" t="n">
        <v>0</v>
      </c>
      <c r="Q44" s="336" t="n">
        <f aca="false">1994100/325851/1.9835*1.02</f>
        <v>3.14699347403163</v>
      </c>
      <c r="R44" s="131" t="n">
        <v>4.2</v>
      </c>
      <c r="S44" s="131" t="n">
        <f aca="false">((6.5*1.04)-T44)-4.2</f>
        <v>1.27669616</v>
      </c>
      <c r="T44" s="131" t="n">
        <f aca="false">(1.1641*1.06)*1.04</f>
        <v>1.28330384</v>
      </c>
      <c r="U44" s="355" t="n">
        <v>0</v>
      </c>
      <c r="V44" s="135" t="n">
        <v>146</v>
      </c>
      <c r="W44" s="135" t="n">
        <v>77</v>
      </c>
      <c r="X44" s="135" t="n">
        <f aca="false">M44-N44-O44-P44-Q44-R44-S44-T44-U44+V44+W44-AT44+AR44</f>
        <v>482.250608025968</v>
      </c>
      <c r="Y44" s="135" t="n">
        <f aca="false">X44-AO44</f>
        <v>475.250608025968</v>
      </c>
      <c r="Z44" s="107" t="n">
        <f aca="false">Z43-AA44</f>
        <v>21291.7192895188</v>
      </c>
      <c r="AA44" s="135" t="n">
        <f aca="false">Y44</f>
        <v>475.250608025968</v>
      </c>
      <c r="AB44" s="107"/>
      <c r="AC44" s="107" t="n">
        <f aca="false">AC43-(AQ43/1.9835)</f>
        <v>1477.40057734356</v>
      </c>
      <c r="AD44" s="107"/>
      <c r="AE44" s="135" t="n">
        <v>260</v>
      </c>
      <c r="AF44" s="248" t="n">
        <v>1.7</v>
      </c>
      <c r="AG44" s="249" t="n">
        <v>1.3</v>
      </c>
      <c r="AH44" s="136" t="n">
        <v>50</v>
      </c>
      <c r="AI44" s="107" t="n">
        <f aca="false">AI43-AH44</f>
        <v>13061.2578774893</v>
      </c>
      <c r="AJ44" s="97"/>
      <c r="AK44" s="134" t="n">
        <f aca="false">N44+O44+P44+Q44+R44+S44+T44+U44+X44+AE44+AH44+AT44-AR44</f>
        <v>868</v>
      </c>
      <c r="AL44" s="135" t="n">
        <f aca="false">IF(L44&lt;0,L44*-1,0)</f>
        <v>59.4838265691959</v>
      </c>
      <c r="AM44" s="135" t="n">
        <f aca="false">AK44+AL44</f>
        <v>927.483826569196</v>
      </c>
      <c r="AN44" s="369" t="n">
        <v>0</v>
      </c>
      <c r="AO44" s="215" t="n">
        <v>7</v>
      </c>
      <c r="AP44" s="150"/>
      <c r="AQ44" s="158" t="n">
        <f aca="false">47.9*(Z44*1.9835+AC44*1.9835)/E44</f>
        <v>11.557065061243</v>
      </c>
      <c r="AR44" s="136" t="n">
        <v>38</v>
      </c>
      <c r="AS44" s="221"/>
      <c r="AT44" s="179"/>
      <c r="AU44" s="176"/>
      <c r="AV44" s="222" t="n">
        <v>0</v>
      </c>
      <c r="AW44" s="215" t="n">
        <v>84</v>
      </c>
      <c r="AX44" s="215" t="n">
        <v>43</v>
      </c>
      <c r="AY44" s="274"/>
      <c r="AZ44" s="250" t="n">
        <f aca="false">SUM(N44,P44:U44)</f>
        <v>10.8493919740316</v>
      </c>
    </row>
    <row r="45" customFormat="false" ht="12.95" hidden="false" customHeight="true" outlineLevel="0" collapsed="false">
      <c r="A45" s="183" t="n">
        <v>31</v>
      </c>
      <c r="B45" s="106" t="n">
        <v>6914</v>
      </c>
      <c r="C45" s="107" t="n">
        <v>338231</v>
      </c>
      <c r="D45" s="215" t="n">
        <f aca="false">C45-C44</f>
        <v>-952</v>
      </c>
      <c r="E45" s="107" t="n">
        <f aca="false">C45-152000</f>
        <v>186231</v>
      </c>
      <c r="F45" s="135" t="n">
        <f aca="false">D45/$D$2</f>
        <v>-479.959667254853</v>
      </c>
      <c r="G45" s="213" t="n">
        <v>440</v>
      </c>
      <c r="H45" s="136" t="n">
        <v>0.01</v>
      </c>
      <c r="I45" s="135" t="n">
        <f aca="false">G45+H45</f>
        <v>440.01</v>
      </c>
      <c r="J45" s="136" t="n">
        <f aca="false">IF(L45&gt;0,L45,0)</f>
        <v>0</v>
      </c>
      <c r="K45" s="135" t="n">
        <f aca="false">I45+J45</f>
        <v>440.01</v>
      </c>
      <c r="L45" s="135" t="n">
        <f aca="false">F45-(I45-AK45)</f>
        <v>-67.9696672548527</v>
      </c>
      <c r="M45" s="248" t="n">
        <v>318</v>
      </c>
      <c r="N45" s="158" t="n">
        <f aca="false">(1.8299*1.03)/2</f>
        <v>0.9423985</v>
      </c>
      <c r="O45" s="135" t="n">
        <f aca="false">93*1.05</f>
        <v>97.65</v>
      </c>
      <c r="P45" s="158" t="n">
        <v>0</v>
      </c>
      <c r="Q45" s="336" t="n">
        <f aca="false">1959900/325851/1.9835*1.02</f>
        <v>3.09302066584153</v>
      </c>
      <c r="R45" s="131" t="n">
        <v>4.2</v>
      </c>
      <c r="S45" s="131" t="n">
        <f aca="false">((7*1.04)-T45)-4.2</f>
        <v>1.79669616</v>
      </c>
      <c r="T45" s="131" t="n">
        <f aca="false">(1.1641*1.06)*1.04</f>
        <v>1.28330384</v>
      </c>
      <c r="U45" s="355" t="n">
        <v>0</v>
      </c>
      <c r="V45" s="135" t="n">
        <v>145</v>
      </c>
      <c r="W45" s="135" t="n">
        <v>77</v>
      </c>
      <c r="X45" s="135" t="n">
        <f aca="false">M45-N45-O45-P45-Q45-R45-S45-T45-U45+V45+W45-AT45+AR45</f>
        <v>468.160080834158</v>
      </c>
      <c r="Y45" s="135" t="n">
        <f aca="false">X45-AO45</f>
        <v>461.160080834158</v>
      </c>
      <c r="Z45" s="107" t="n">
        <f aca="false">Z44-AA45</f>
        <v>20830.5592086847</v>
      </c>
      <c r="AA45" s="135" t="n">
        <f aca="false">Y45</f>
        <v>461.160080834158</v>
      </c>
      <c r="AB45" s="107"/>
      <c r="AC45" s="107" t="n">
        <f aca="false">AC44-(AQ44/1.9835)</f>
        <v>1471.57397534646</v>
      </c>
      <c r="AD45" s="107"/>
      <c r="AE45" s="135" t="n">
        <v>261</v>
      </c>
      <c r="AF45" s="248" t="n">
        <v>1.7</v>
      </c>
      <c r="AG45" s="249" t="n">
        <v>1.3</v>
      </c>
      <c r="AH45" s="136" t="n">
        <v>51</v>
      </c>
      <c r="AI45" s="107" t="n">
        <f aca="false">AI44-AH45</f>
        <v>13010.2578774893</v>
      </c>
      <c r="AJ45" s="97"/>
      <c r="AK45" s="134" t="n">
        <f aca="false">N45+O45+P45+Q45+R45+S45+T45+U45+X45+AE45+AH45+AT45-AR45</f>
        <v>852</v>
      </c>
      <c r="AL45" s="135" t="n">
        <f aca="false">IF(L45&lt;0,L45*-1,0)</f>
        <v>67.9696672548527</v>
      </c>
      <c r="AM45" s="246" t="n">
        <f aca="false">AK45+AL45</f>
        <v>919.969667254853</v>
      </c>
      <c r="AN45" s="107" t="n">
        <v>0</v>
      </c>
      <c r="AO45" s="215" t="n">
        <v>7</v>
      </c>
      <c r="AP45" s="150"/>
      <c r="AQ45" s="158" t="n">
        <f aca="false">47.9*(Z45*1.9835+AC45*1.9835)/E45</f>
        <v>11.3779009298569</v>
      </c>
      <c r="AR45" s="136" t="n">
        <v>37.1255</v>
      </c>
      <c r="AS45" s="221"/>
      <c r="AT45" s="179"/>
      <c r="AU45" s="176"/>
      <c r="AV45" s="222" t="n">
        <v>0</v>
      </c>
      <c r="AW45" s="215" t="n">
        <v>87</v>
      </c>
      <c r="AX45" s="215" t="n">
        <v>50</v>
      </c>
      <c r="AY45" s="274"/>
      <c r="AZ45" s="250" t="n">
        <f aca="false">SUM(N45,P45:U45)</f>
        <v>11.3154191658415</v>
      </c>
    </row>
    <row r="46" customFormat="false" ht="3" hidden="false" customHeight="true" outlineLevel="0" collapsed="false">
      <c r="A46" s="231"/>
      <c r="B46" s="252"/>
      <c r="C46" s="233"/>
      <c r="D46" s="234"/>
      <c r="E46" s="233"/>
      <c r="F46" s="234"/>
      <c r="G46" s="252"/>
      <c r="H46" s="240" t="n">
        <v>0.01</v>
      </c>
      <c r="I46" s="234" t="n">
        <f aca="false">G46+H46</f>
        <v>0.01</v>
      </c>
      <c r="J46" s="234"/>
      <c r="K46" s="234"/>
      <c r="L46" s="234"/>
      <c r="M46" s="237"/>
      <c r="N46" s="238"/>
      <c r="O46" s="234"/>
      <c r="P46" s="238"/>
      <c r="Q46" s="234"/>
      <c r="R46" s="234"/>
      <c r="S46" s="427"/>
      <c r="T46" s="427"/>
      <c r="U46" s="239"/>
      <c r="V46" s="234"/>
      <c r="W46" s="234"/>
      <c r="X46" s="234"/>
      <c r="Y46" s="234"/>
      <c r="Z46" s="233"/>
      <c r="AA46" s="234"/>
      <c r="AB46" s="233"/>
      <c r="AC46" s="233"/>
      <c r="AD46" s="233"/>
      <c r="AE46" s="234"/>
      <c r="AF46" s="252"/>
      <c r="AG46" s="235"/>
      <c r="AH46" s="243"/>
      <c r="AI46" s="234"/>
      <c r="AJ46" s="240"/>
      <c r="AK46" s="234"/>
      <c r="AL46" s="234"/>
      <c r="AM46" s="235"/>
      <c r="AN46" s="233"/>
      <c r="AO46" s="243"/>
      <c r="AP46" s="243"/>
      <c r="AQ46" s="238"/>
      <c r="AR46" s="240"/>
      <c r="AS46" s="238"/>
      <c r="AT46" s="240"/>
      <c r="AU46" s="240"/>
      <c r="AV46" s="245"/>
      <c r="AW46" s="243"/>
      <c r="AX46" s="243"/>
      <c r="AY46" s="257"/>
      <c r="AZ46" s="317"/>
    </row>
    <row r="47" customFormat="false" ht="12.95" hidden="false" customHeight="true" outlineLevel="0" collapsed="false">
      <c r="A47" s="185" t="s">
        <v>101</v>
      </c>
      <c r="B47" s="213"/>
      <c r="C47" s="107"/>
      <c r="D47" s="107"/>
      <c r="E47" s="107"/>
      <c r="F47" s="107" t="n">
        <f aca="false">SUM(F15:F45)</f>
        <v>-1377.86740610033</v>
      </c>
      <c r="G47" s="369" t="n">
        <f aca="false">SUM(G15:G45)</f>
        <v>23446</v>
      </c>
      <c r="H47" s="136" t="n">
        <f aca="false">SUM(H15:H46)</f>
        <v>22.61</v>
      </c>
      <c r="I47" s="107" t="n">
        <f aca="false">SUM(I15:I46)</f>
        <v>23468.61</v>
      </c>
      <c r="J47" s="107" t="n">
        <f aca="false">SUM(J15:J45)</f>
        <v>211.439982354424</v>
      </c>
      <c r="K47" s="107" t="n">
        <f aca="false">SUM(K15:K45)</f>
        <v>23680.0399823544</v>
      </c>
      <c r="L47" s="107" t="n">
        <f aca="false">SUM(L15:L45)</f>
        <v>-831.467406100328</v>
      </c>
      <c r="M47" s="216" t="n">
        <f aca="false">SUM(M15:M45)</f>
        <v>9468</v>
      </c>
      <c r="N47" s="136" t="n">
        <f aca="false">SUM(N15:N45)</f>
        <v>29.2143535</v>
      </c>
      <c r="O47" s="107" t="n">
        <f aca="false">SUM(O15:O45)</f>
        <v>2590.75</v>
      </c>
      <c r="P47" s="158" t="n">
        <f aca="false">SUM(P15:P45)</f>
        <v>7.32</v>
      </c>
      <c r="Q47" s="107" t="n">
        <f aca="false">SUM(Q15:Q45)</f>
        <v>82.614062772525</v>
      </c>
      <c r="R47" s="107" t="n">
        <f aca="false">SUM(R15:R45)</f>
        <v>127.83689712</v>
      </c>
      <c r="S47" s="135" t="n">
        <f aca="false">SUM(S15:S45)</f>
        <v>29.34320752</v>
      </c>
      <c r="T47" s="135" t="n">
        <f aca="false">SUM(T15:T45)</f>
        <v>35.53189536</v>
      </c>
      <c r="U47" s="218" t="n">
        <f aca="false">SUM(U15:U45)</f>
        <v>0</v>
      </c>
      <c r="V47" s="107" t="n">
        <f aca="false">SUM(V15:V45)</f>
        <v>3564</v>
      </c>
      <c r="W47" s="107" t="n">
        <f aca="false">SUM(W15:W45)</f>
        <v>2347</v>
      </c>
      <c r="X47" s="107" t="n">
        <f aca="false">SUM(X15:X45)</f>
        <v>13583.5150837275</v>
      </c>
      <c r="Y47" s="107" t="n">
        <f aca="false">SUM(Y15:Y45)</f>
        <v>13366.5150837275</v>
      </c>
      <c r="Z47" s="107"/>
      <c r="AA47" s="107" t="n">
        <f aca="false">SUM(AA15:AA45)</f>
        <v>3877.00483306712</v>
      </c>
      <c r="AB47" s="107"/>
      <c r="AC47" s="107"/>
      <c r="AD47" s="107"/>
      <c r="AE47" s="107" t="n">
        <f aca="false">SUM(AE15:AE45)</f>
        <v>7117</v>
      </c>
      <c r="AF47" s="429" t="n">
        <f aca="false">SUM(AF15:AF45)</f>
        <v>52.7</v>
      </c>
      <c r="AG47" s="430" t="n">
        <f aca="false">SUM(AG15:AG45)</f>
        <v>40.3</v>
      </c>
      <c r="AH47" s="215" t="n">
        <f aca="false">SUM(AH15:AH45)</f>
        <v>1519</v>
      </c>
      <c r="AI47" s="107"/>
      <c r="AJ47" s="136" t="n">
        <f aca="false">SUM(AJ15:AJ45)</f>
        <v>0</v>
      </c>
      <c r="AK47" s="107" t="n">
        <f aca="false">SUM(AK15:AK45)</f>
        <v>24015</v>
      </c>
      <c r="AL47" s="107" t="n">
        <f aca="false">SUM(AL15:AL45)</f>
        <v>1042.90738845475</v>
      </c>
      <c r="AM47" s="214" t="n">
        <f aca="false">SUM(AM15:AM45)</f>
        <v>25057.9073884548</v>
      </c>
      <c r="AN47" s="94" t="n">
        <f aca="false">SUM(AN15:AN45)</f>
        <v>0</v>
      </c>
      <c r="AO47" s="107" t="n">
        <f aca="false">SUM(AO15:AO45)</f>
        <v>217</v>
      </c>
      <c r="AP47" s="135"/>
      <c r="AQ47" s="158"/>
      <c r="AR47" s="136" t="n">
        <f aca="false">SUM(AR15:AR45)</f>
        <v>1107.1255</v>
      </c>
      <c r="AS47" s="221" t="n">
        <f aca="false">SUM(AS15:AS45)</f>
        <v>0</v>
      </c>
      <c r="AT47" s="136" t="n">
        <f aca="false">SUM(AT15:AT45)</f>
        <v>0</v>
      </c>
      <c r="AU47" s="176"/>
      <c r="AV47" s="222" t="n">
        <f aca="false">SUM(AV15:AV45)</f>
        <v>0.01</v>
      </c>
      <c r="AW47" s="215" t="n">
        <f aca="false">AVERAGE(AW15:AW45)</f>
        <v>77.1935483870968</v>
      </c>
      <c r="AX47" s="215" t="n">
        <f aca="false">AVERAGE(AX15:AX45)</f>
        <v>41.9032258064516</v>
      </c>
      <c r="AY47" s="214" t="s">
        <v>125</v>
      </c>
      <c r="AZ47" s="338" t="n">
        <f aca="false">SUM(AZ15:AZ45)</f>
        <v>311.860416272525</v>
      </c>
    </row>
    <row r="48" customFormat="false" ht="12.95" hidden="false" customHeight="true" outlineLevel="0" collapsed="false">
      <c r="A48" s="185" t="s">
        <v>103</v>
      </c>
      <c r="B48" s="213"/>
      <c r="C48" s="107"/>
      <c r="D48" s="107" t="n">
        <f aca="false">SUM(D15:D45)</f>
        <v>-2733</v>
      </c>
      <c r="E48" s="107"/>
      <c r="F48" s="107" t="n">
        <f aca="false">F47*$D$2</f>
        <v>-2733</v>
      </c>
      <c r="G48" s="369" t="n">
        <f aca="false">G47*$D$2</f>
        <v>46505.141</v>
      </c>
      <c r="H48" s="136" t="n">
        <f aca="false">H47*$D$2</f>
        <v>44.846935</v>
      </c>
      <c r="I48" s="107" t="n">
        <f aca="false">I47*$D$2</f>
        <v>46549.987935</v>
      </c>
      <c r="J48" s="107" t="n">
        <f aca="false">J47*$D$2</f>
        <v>419.391205</v>
      </c>
      <c r="K48" s="107" t="n">
        <f aca="false">K47*$D$2</f>
        <v>46969.359305</v>
      </c>
      <c r="L48" s="107" t="n">
        <f aca="false">L47*$D$2</f>
        <v>-1649.2156</v>
      </c>
      <c r="M48" s="216" t="n">
        <f aca="false">M47*$D$2</f>
        <v>18779.778</v>
      </c>
      <c r="N48" s="215" t="n">
        <f aca="false">N47*$D$2</f>
        <v>57.94667016725</v>
      </c>
      <c r="O48" s="107" t="n">
        <f aca="false">O47*$D$2</f>
        <v>5138.752625</v>
      </c>
      <c r="P48" s="158" t="n">
        <f aca="false">P47*$D$2</f>
        <v>14.51922</v>
      </c>
      <c r="Q48" s="107" t="n">
        <f aca="false">Q47*$D$2</f>
        <v>163.864993509303</v>
      </c>
      <c r="R48" s="107" t="n">
        <f aca="false">R47*$D$2</f>
        <v>253.56448543752</v>
      </c>
      <c r="S48" s="135" t="n">
        <f aca="false">S47*$D$2</f>
        <v>58.20225211592</v>
      </c>
      <c r="T48" s="135" t="n">
        <f aca="false">T47*$D$2</f>
        <v>70.47751444656</v>
      </c>
      <c r="U48" s="218" t="n">
        <f aca="false">U47*$D$2</f>
        <v>0</v>
      </c>
      <c r="V48" s="107" t="n">
        <f aca="false">V47*$D$2</f>
        <v>7069.194</v>
      </c>
      <c r="W48" s="107" t="n">
        <f aca="false">W47*$D$2</f>
        <v>4655.2745</v>
      </c>
      <c r="X48" s="107" t="n">
        <f aca="false">X47*$D$2</f>
        <v>26942.9021685734</v>
      </c>
      <c r="Y48" s="107" t="n">
        <f aca="false">Y47*$D$2</f>
        <v>26512.4826685734</v>
      </c>
      <c r="Z48" s="107"/>
      <c r="AA48" s="107" t="n">
        <f aca="false">AA47*$D$2</f>
        <v>7690.03908638864</v>
      </c>
      <c r="AB48" s="107"/>
      <c r="AC48" s="107"/>
      <c r="AD48" s="107"/>
      <c r="AE48" s="107" t="n">
        <f aca="false">AE47*$D$2</f>
        <v>14116.5695</v>
      </c>
      <c r="AF48" s="216" t="n">
        <f aca="false">AF47*$D$2</f>
        <v>104.53045</v>
      </c>
      <c r="AG48" s="218" t="n">
        <f aca="false">AG47*$D$2</f>
        <v>79.93505</v>
      </c>
      <c r="AH48" s="215" t="n">
        <f aca="false">AH47*$D$2</f>
        <v>3012.9365</v>
      </c>
      <c r="AI48" s="107"/>
      <c r="AJ48" s="431" t="n">
        <f aca="false">AJ47*$D$2</f>
        <v>0</v>
      </c>
      <c r="AK48" s="432" t="n">
        <f aca="false">AK47*$D$2</f>
        <v>47633.7525</v>
      </c>
      <c r="AL48" s="107" t="n">
        <f aca="false">AL47*$D$2</f>
        <v>2068.606805</v>
      </c>
      <c r="AM48" s="214" t="n">
        <f aca="false">AM47*$D$2</f>
        <v>49702.359305</v>
      </c>
      <c r="AN48" s="107" t="n">
        <f aca="false">AN47*$D$2</f>
        <v>0</v>
      </c>
      <c r="AO48" s="107" t="n">
        <f aca="false">AO47*$D$2</f>
        <v>430.4195</v>
      </c>
      <c r="AP48" s="135"/>
      <c r="AQ48" s="158" t="n">
        <f aca="false">SUM(AQ15:AQ45)</f>
        <v>363.329828545444</v>
      </c>
      <c r="AR48" s="136" t="n">
        <f aca="false">AR47*$D$2</f>
        <v>2195.98342925</v>
      </c>
      <c r="AS48" s="107" t="n">
        <f aca="false">AS47*$D$2</f>
        <v>0</v>
      </c>
      <c r="AT48" s="136" t="n">
        <f aca="false">AT47*$D$2</f>
        <v>0</v>
      </c>
      <c r="AU48" s="176"/>
      <c r="AV48" s="222"/>
      <c r="AW48" s="215" t="n">
        <f aca="false">MAX(AW15:AW45)</f>
        <v>87</v>
      </c>
      <c r="AX48" s="215" t="n">
        <f aca="false">MAX(AX15:AX45)</f>
        <v>52</v>
      </c>
      <c r="AY48" s="214" t="s">
        <v>104</v>
      </c>
      <c r="AZ48" s="338" t="n">
        <f aca="false">AZ47*$D$2</f>
        <v>618.575135676553</v>
      </c>
    </row>
    <row r="49" customFormat="false" ht="3" hidden="false" customHeight="true" outlineLevel="0" collapsed="false">
      <c r="A49" s="231"/>
      <c r="B49" s="252"/>
      <c r="C49" s="233"/>
      <c r="D49" s="233"/>
      <c r="E49" s="233"/>
      <c r="F49" s="233"/>
      <c r="G49" s="261"/>
      <c r="H49" s="240"/>
      <c r="I49" s="233"/>
      <c r="J49" s="233"/>
      <c r="K49" s="233"/>
      <c r="L49" s="233"/>
      <c r="M49" s="258"/>
      <c r="N49" s="238"/>
      <c r="O49" s="233"/>
      <c r="P49" s="238"/>
      <c r="Q49" s="233"/>
      <c r="R49" s="233"/>
      <c r="S49" s="427"/>
      <c r="T49" s="427"/>
      <c r="U49" s="259"/>
      <c r="V49" s="233"/>
      <c r="W49" s="233"/>
      <c r="X49" s="233"/>
      <c r="Y49" s="233"/>
      <c r="Z49" s="233"/>
      <c r="AA49" s="233"/>
      <c r="AB49" s="233"/>
      <c r="AC49" s="233"/>
      <c r="AD49" s="233"/>
      <c r="AE49" s="233"/>
      <c r="AF49" s="258"/>
      <c r="AG49" s="259"/>
      <c r="AH49" s="243"/>
      <c r="AI49" s="234"/>
      <c r="AJ49" s="240"/>
      <c r="AK49" s="233"/>
      <c r="AL49" s="233"/>
      <c r="AM49" s="257"/>
      <c r="AN49" s="233"/>
      <c r="AO49" s="233"/>
      <c r="AP49" s="233"/>
      <c r="AQ49" s="238"/>
      <c r="AR49" s="240"/>
      <c r="AS49" s="238"/>
      <c r="AT49" s="240"/>
      <c r="AU49" s="240"/>
      <c r="AV49" s="233"/>
      <c r="AW49" s="233"/>
      <c r="AX49" s="233"/>
      <c r="AY49" s="257"/>
      <c r="AZ49" s="317"/>
    </row>
    <row r="50" customFormat="false" ht="12.95" hidden="false" customHeight="true" outlineLevel="0" collapsed="false">
      <c r="A50" s="185" t="s">
        <v>105</v>
      </c>
      <c r="B50" s="213"/>
      <c r="C50" s="107"/>
      <c r="D50" s="107"/>
      <c r="E50" s="107"/>
      <c r="F50" s="107" t="n">
        <f aca="false">F12+F47</f>
        <v>17677.8421981346</v>
      </c>
      <c r="G50" s="369" t="n">
        <f aca="false">G12+G47</f>
        <v>47247</v>
      </c>
      <c r="H50" s="136" t="n">
        <f aca="false">H12+H47</f>
        <v>728.31</v>
      </c>
      <c r="I50" s="107" t="n">
        <f aca="false">I12+I47</f>
        <v>47975.31</v>
      </c>
      <c r="J50" s="107" t="n">
        <f aca="false">J12+J47</f>
        <v>1678.0847769095</v>
      </c>
      <c r="K50" s="107" t="n">
        <f aca="false">K12+K47</f>
        <v>49653.3847769095</v>
      </c>
      <c r="L50" s="107" t="n">
        <f aca="false">L12+L47</f>
        <v>628.14219813461</v>
      </c>
      <c r="M50" s="216" t="n">
        <f aca="false">M12+M47</f>
        <v>13743.7</v>
      </c>
      <c r="N50" s="215" t="n">
        <f aca="false">N12+N47</f>
        <v>57.4863085</v>
      </c>
      <c r="O50" s="107" t="n">
        <f aca="false">O12+O47</f>
        <v>4903.4905</v>
      </c>
      <c r="P50" s="158" t="n">
        <f aca="false">P12+P47</f>
        <v>7.32</v>
      </c>
      <c r="Q50" s="107"/>
      <c r="R50" s="107"/>
      <c r="S50" s="336"/>
      <c r="T50" s="336"/>
      <c r="U50" s="218"/>
      <c r="V50" s="107" t="n">
        <f aca="false">V12+V47</f>
        <v>3900</v>
      </c>
      <c r="W50" s="107" t="n">
        <f aca="false">W12+W47</f>
        <v>2790.9</v>
      </c>
      <c r="X50" s="107" t="n">
        <f aca="false">X12+X47</f>
        <v>16178.3639124874</v>
      </c>
      <c r="Y50" s="107" t="n">
        <f aca="false">Y12+Y47</f>
        <v>15542.5339124874</v>
      </c>
      <c r="Z50" s="80" t="n">
        <f aca="false">Z45</f>
        <v>20830.5592086847</v>
      </c>
      <c r="AA50" s="107" t="n">
        <f aca="false">AA12+AA47</f>
        <v>3877.00483306712</v>
      </c>
      <c r="AB50" s="107"/>
      <c r="AC50" s="107"/>
      <c r="AD50" s="107"/>
      <c r="AE50" s="107" t="n">
        <f aca="false">AE12+AE47</f>
        <v>7431</v>
      </c>
      <c r="AF50" s="216" t="n">
        <f aca="false">AF12+AF47</f>
        <v>103.7</v>
      </c>
      <c r="AG50" s="218" t="n">
        <f aca="false">AG12+AG47</f>
        <v>79.3</v>
      </c>
      <c r="AH50" s="215"/>
      <c r="AI50" s="107"/>
      <c r="AJ50" s="136" t="n">
        <f aca="false">AJ12+AJ47</f>
        <v>33</v>
      </c>
      <c r="AK50" s="107" t="n">
        <f aca="false">AK12+AK47</f>
        <v>30925.6</v>
      </c>
      <c r="AL50" s="107" t="n">
        <f aca="false">AL12+AL47</f>
        <v>1049.94257877489</v>
      </c>
      <c r="AM50" s="214" t="n">
        <f aca="false">AM12+AM47</f>
        <v>31975.5425787749</v>
      </c>
      <c r="AN50" s="107"/>
      <c r="AO50" s="215"/>
      <c r="AP50" s="135"/>
      <c r="AQ50" s="158"/>
      <c r="AR50" s="136" t="n">
        <f aca="false">AR12+AR47</f>
        <v>1107.1255</v>
      </c>
      <c r="AS50" s="107" t="n">
        <f aca="false">AS12+AS47</f>
        <v>0</v>
      </c>
      <c r="AT50" s="136" t="n">
        <f aca="false">AT12+AT47</f>
        <v>0</v>
      </c>
      <c r="AU50" s="176"/>
      <c r="AV50" s="222"/>
      <c r="AW50" s="215" t="n">
        <f aca="false">MIN(AW15:AW45)</f>
        <v>65</v>
      </c>
      <c r="AX50" s="215" t="n">
        <f aca="false">MIN(AX15:AX45)</f>
        <v>32</v>
      </c>
      <c r="AY50" s="214" t="s">
        <v>106</v>
      </c>
      <c r="AZ50" s="338" t="n">
        <f aca="false">AZ12+AZ47</f>
        <v>311.860416272525</v>
      </c>
    </row>
    <row r="51" customFormat="false" ht="12.95" hidden="false" customHeight="true" outlineLevel="0" collapsed="false">
      <c r="A51" s="185" t="s">
        <v>107</v>
      </c>
      <c r="B51" s="213"/>
      <c r="C51" s="107"/>
      <c r="D51" s="107"/>
      <c r="E51" s="107"/>
      <c r="F51" s="107" t="n">
        <f aca="false">F50*$D$2</f>
        <v>35064</v>
      </c>
      <c r="G51" s="369" t="n">
        <f aca="false">G50*$D$2</f>
        <v>93714.4245</v>
      </c>
      <c r="H51" s="215" t="n">
        <f aca="false">H50*$D$2</f>
        <v>1444.602885</v>
      </c>
      <c r="I51" s="107" t="n">
        <f aca="false">I50*$D$2</f>
        <v>95159.027385</v>
      </c>
      <c r="J51" s="107" t="n">
        <f aca="false">J50*$D$2</f>
        <v>3328.481155</v>
      </c>
      <c r="K51" s="107" t="n">
        <f aca="false">K50*$D$2</f>
        <v>98487.488705</v>
      </c>
      <c r="L51" s="107" t="n">
        <f aca="false">L50*$D$2</f>
        <v>1245.92005</v>
      </c>
      <c r="M51" s="216" t="n">
        <f aca="false">M50*$D$2</f>
        <v>27260.62895</v>
      </c>
      <c r="N51" s="215" t="n">
        <f aca="false">N50*$D$2</f>
        <v>114.02409290975</v>
      </c>
      <c r="O51" s="107" t="n">
        <f aca="false">O50*$D$2</f>
        <v>9726.07340675</v>
      </c>
      <c r="P51" s="158" t="n">
        <f aca="false">P50*$D$2</f>
        <v>14.51922</v>
      </c>
      <c r="Q51" s="107"/>
      <c r="R51" s="107"/>
      <c r="S51" s="336"/>
      <c r="T51" s="336"/>
      <c r="U51" s="218"/>
      <c r="V51" s="107" t="n">
        <f aca="false">V50*$D$2</f>
        <v>7735.65</v>
      </c>
      <c r="W51" s="107" t="n">
        <f aca="false">W50*$D$2</f>
        <v>5535.75015</v>
      </c>
      <c r="X51" s="107" t="n">
        <f aca="false">X50*$D$2</f>
        <v>32089.7848204187</v>
      </c>
      <c r="Y51" s="107" t="n">
        <f aca="false">Y50*$D$2</f>
        <v>30828.6160154187</v>
      </c>
      <c r="Z51" s="80" t="n">
        <f aca="false">Z50*$D$2</f>
        <v>41317.414190426</v>
      </c>
      <c r="AA51" s="107" t="n">
        <f aca="false">AA50*$D$2</f>
        <v>7690.03908638864</v>
      </c>
      <c r="AB51" s="107"/>
      <c r="AC51" s="107"/>
      <c r="AD51" s="107"/>
      <c r="AE51" s="107" t="n">
        <f aca="false">AE50*$D$2</f>
        <v>14739.3885</v>
      </c>
      <c r="AF51" s="216" t="n">
        <f aca="false">AF50*$D$2</f>
        <v>205.68895</v>
      </c>
      <c r="AG51" s="218" t="n">
        <f aca="false">AG50*$D$2</f>
        <v>157.29155</v>
      </c>
      <c r="AH51" s="215"/>
      <c r="AI51" s="107"/>
      <c r="AJ51" s="136" t="n">
        <f aca="false">AJ50*$D$2</f>
        <v>65.4555</v>
      </c>
      <c r="AK51" s="107" t="n">
        <f aca="false">AK50*$D$2</f>
        <v>61340.9276</v>
      </c>
      <c r="AL51" s="107" t="n">
        <f aca="false">AL50*$D$2</f>
        <v>2082.561105</v>
      </c>
      <c r="AM51" s="214" t="n">
        <f aca="false">AM50*$D$2</f>
        <v>63423.488705</v>
      </c>
      <c r="AN51" s="107"/>
      <c r="AO51" s="215"/>
      <c r="AP51" s="135"/>
      <c r="AQ51" s="158" t="n">
        <f aca="false">AQ12+AQ48</f>
        <v>492.527445830147</v>
      </c>
      <c r="AR51" s="136" t="n">
        <f aca="false">AR50*$D$2</f>
        <v>2195.98342925</v>
      </c>
      <c r="AS51" s="107" t="n">
        <f aca="false">AS50*$D$2</f>
        <v>0</v>
      </c>
      <c r="AT51" s="136" t="n">
        <f aca="false">AT50*$D$2</f>
        <v>0</v>
      </c>
      <c r="AU51" s="176"/>
      <c r="AV51" s="222"/>
      <c r="AW51" s="215"/>
      <c r="AX51" s="215"/>
      <c r="AY51" s="274"/>
      <c r="AZ51" s="338" t="n">
        <f aca="false">AZ50*$D$2</f>
        <v>618.575135676553</v>
      </c>
    </row>
    <row r="52" customFormat="false" ht="3" hidden="false" customHeight="true" outlineLevel="0" collapsed="false">
      <c r="A52" s="231"/>
      <c r="B52" s="252"/>
      <c r="C52" s="233"/>
      <c r="D52" s="233"/>
      <c r="E52" s="233"/>
      <c r="F52" s="233"/>
      <c r="G52" s="261"/>
      <c r="H52" s="240"/>
      <c r="I52" s="233"/>
      <c r="J52" s="233"/>
      <c r="K52" s="233"/>
      <c r="L52" s="233"/>
      <c r="M52" s="258"/>
      <c r="N52" s="240"/>
      <c r="O52" s="233"/>
      <c r="P52" s="238"/>
      <c r="Q52" s="233"/>
      <c r="R52" s="233"/>
      <c r="S52" s="427"/>
      <c r="T52" s="427"/>
      <c r="U52" s="259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58"/>
      <c r="AG52" s="259"/>
      <c r="AH52" s="243"/>
      <c r="AI52" s="233"/>
      <c r="AJ52" s="240"/>
      <c r="AK52" s="233"/>
      <c r="AL52" s="233"/>
      <c r="AM52" s="257"/>
      <c r="AN52" s="233"/>
      <c r="AO52" s="263"/>
      <c r="AP52" s="263"/>
      <c r="AQ52" s="238"/>
      <c r="AR52" s="240"/>
      <c r="AS52" s="238"/>
      <c r="AT52" s="240"/>
      <c r="AU52" s="240"/>
      <c r="AV52" s="245"/>
      <c r="AW52" s="433"/>
      <c r="AX52" s="263"/>
      <c r="AY52" s="257"/>
      <c r="AZ52" s="317"/>
    </row>
    <row r="53" customFormat="false" ht="12.95" hidden="false" customHeight="true" outlineLevel="0" collapsed="false">
      <c r="A53" s="185" t="s">
        <v>108</v>
      </c>
      <c r="B53" s="213"/>
      <c r="C53" s="107"/>
      <c r="D53" s="107"/>
      <c r="E53" s="107"/>
      <c r="F53" s="107" t="n">
        <f aca="false">F13+F47</f>
        <v>22495.5886059995</v>
      </c>
      <c r="G53" s="369" t="n">
        <f aca="false">G13+G47</f>
        <v>59311</v>
      </c>
      <c r="H53" s="136" t="n">
        <f aca="false">H13+H47</f>
        <v>1210.39</v>
      </c>
      <c r="I53" s="107" t="n">
        <f aca="false">I13+I47</f>
        <v>60520.77</v>
      </c>
      <c r="J53" s="107" t="n">
        <f aca="false">J13+J47</f>
        <v>6572.27261910764</v>
      </c>
      <c r="K53" s="107" t="n">
        <f aca="false">K13+K47</f>
        <v>67093.0326191076</v>
      </c>
      <c r="L53" s="107" t="n">
        <f aca="false">L13+L47</f>
        <v>4925.6286059995</v>
      </c>
      <c r="M53" s="216" t="n">
        <f aca="false">M13+M47</f>
        <v>14532.4</v>
      </c>
      <c r="N53" s="215" t="n">
        <f aca="false">N13+N47</f>
        <v>57.4863085</v>
      </c>
      <c r="O53" s="107" t="n">
        <f aca="false">O13+O47</f>
        <v>4903.4905</v>
      </c>
      <c r="P53" s="336" t="n">
        <f aca="false">P13+P47</f>
        <v>7.32</v>
      </c>
      <c r="Q53" s="107" t="n">
        <f aca="false">Q13+Q47</f>
        <v>373.971888034486</v>
      </c>
      <c r="R53" s="107" t="n">
        <f aca="false">R13+R47</f>
        <v>449.20158352</v>
      </c>
      <c r="S53" s="135" t="n">
        <f aca="false">S13+S47</f>
        <v>34.03902576</v>
      </c>
      <c r="T53" s="107" t="n">
        <f aca="false">T13+T47</f>
        <v>133.62499072</v>
      </c>
      <c r="U53" s="218" t="n">
        <f aca="false">U13+U47</f>
        <v>27.7983443318626</v>
      </c>
      <c r="V53" s="107" t="n">
        <f aca="false">V13+V47</f>
        <v>9747</v>
      </c>
      <c r="W53" s="107" t="n">
        <f aca="false">W13+W47</f>
        <v>2850.4</v>
      </c>
      <c r="X53" s="107" t="n">
        <f aca="false">X13+X47</f>
        <v>22249.9928591336</v>
      </c>
      <c r="Y53" s="107" t="n">
        <f aca="false">Y13+Y47</f>
        <v>21411.3657870151</v>
      </c>
      <c r="Z53" s="107"/>
      <c r="AA53" s="107"/>
      <c r="AB53" s="107"/>
      <c r="AC53" s="107"/>
      <c r="AD53" s="107"/>
      <c r="AE53" s="107"/>
      <c r="AF53" s="216" t="n">
        <f aca="false">AF13+AF47</f>
        <v>52.7</v>
      </c>
      <c r="AG53" s="218" t="n">
        <f aca="false">AG13+AG47</f>
        <v>40.3</v>
      </c>
      <c r="AH53" s="215" t="n">
        <f aca="false">AH13+AH47</f>
        <v>8390</v>
      </c>
      <c r="AI53" s="107" t="n">
        <f aca="false">AI45</f>
        <v>13010.2578774893</v>
      </c>
      <c r="AJ53" s="136" t="n">
        <f aca="false">AJ13+AJ47</f>
        <v>33</v>
      </c>
      <c r="AK53" s="107" t="n">
        <f aca="false">AK13+AK47</f>
        <v>42950.8</v>
      </c>
      <c r="AL53" s="107" t="n">
        <f aca="false">AL13+AL47</f>
        <v>1646.64401310814</v>
      </c>
      <c r="AM53" s="214" t="n">
        <f aca="false">AM13+AM47</f>
        <v>44597.4440131081</v>
      </c>
      <c r="AN53" s="107"/>
      <c r="AO53" s="107" t="n">
        <f aca="false">AO13+AO47</f>
        <v>838.627072118535</v>
      </c>
      <c r="AP53" s="135"/>
      <c r="AQ53" s="158"/>
      <c r="AR53" s="136" t="n">
        <f aca="false">AR13+AR47</f>
        <v>1107.1255</v>
      </c>
      <c r="AS53" s="107" t="n">
        <f aca="false">AS13+AS47</f>
        <v>0</v>
      </c>
      <c r="AT53" s="136"/>
      <c r="AU53" s="176"/>
      <c r="AV53" s="222" t="n">
        <f aca="false">AV13+AV47</f>
        <v>2.85</v>
      </c>
      <c r="AW53" s="215"/>
      <c r="AX53" s="215"/>
      <c r="AY53" s="274"/>
      <c r="AZ53" s="338" t="n">
        <f aca="false">AZ13+AZ47</f>
        <v>1083.44214086635</v>
      </c>
    </row>
    <row r="54" customFormat="false" ht="12.95" hidden="false" customHeight="true" outlineLevel="0" collapsed="false">
      <c r="A54" s="185" t="s">
        <v>109</v>
      </c>
      <c r="B54" s="213"/>
      <c r="C54" s="107"/>
      <c r="D54" s="107" t="n">
        <f aca="false">D13+D48</f>
        <v>44546</v>
      </c>
      <c r="E54" s="107" t="n">
        <f aca="false">E45</f>
        <v>186231</v>
      </c>
      <c r="F54" s="107" t="n">
        <f aca="false">F53*$D$2</f>
        <v>44620</v>
      </c>
      <c r="G54" s="369" t="n">
        <f aca="false">G53*$D$2</f>
        <v>117643.3685</v>
      </c>
      <c r="H54" s="215" t="n">
        <f aca="false">H53*$D$2</f>
        <v>2400.808565</v>
      </c>
      <c r="I54" s="107" t="n">
        <f aca="false">I53*$D$2</f>
        <v>120042.947295</v>
      </c>
      <c r="J54" s="107" t="n">
        <f aca="false">J53*$D$2</f>
        <v>13036.10274</v>
      </c>
      <c r="K54" s="107" t="n">
        <f aca="false">K53*$D$2</f>
        <v>133079.0302</v>
      </c>
      <c r="L54" s="107" t="n">
        <f aca="false">L53*$D$2</f>
        <v>9769.98434</v>
      </c>
      <c r="M54" s="216" t="n">
        <f aca="false">M53*$D$2</f>
        <v>28825.0154</v>
      </c>
      <c r="N54" s="215" t="n">
        <f aca="false">N53*$D$2</f>
        <v>114.02409290975</v>
      </c>
      <c r="O54" s="107" t="n">
        <f aca="false">O53*$D$2</f>
        <v>9726.07340675</v>
      </c>
      <c r="P54" s="336" t="n">
        <f aca="false">P53*$D$2</f>
        <v>14.51922</v>
      </c>
      <c r="Q54" s="107" t="n">
        <f aca="false">Q53*$D$2</f>
        <v>741.773239916404</v>
      </c>
      <c r="R54" s="107" t="n">
        <f aca="false">R53*$D$2</f>
        <v>890.99134091192</v>
      </c>
      <c r="S54" s="135" t="n">
        <f aca="false">S53*$D$2</f>
        <v>67.51640759496</v>
      </c>
      <c r="T54" s="107" t="n">
        <f aca="false">T53*$D$2</f>
        <v>265.04516909312</v>
      </c>
      <c r="U54" s="218" t="n">
        <f aca="false">U53*$D$2</f>
        <v>55.1380159822495</v>
      </c>
      <c r="V54" s="107" t="n">
        <f aca="false">V53*$D$2</f>
        <v>19333.1745</v>
      </c>
      <c r="W54" s="107" t="n">
        <f aca="false">W53*$D$2</f>
        <v>5653.7684</v>
      </c>
      <c r="X54" s="107" t="n">
        <f aca="false">X53*$D$2</f>
        <v>44132.8608360916</v>
      </c>
      <c r="Y54" s="107" t="n">
        <f aca="false">Y53*$D$2</f>
        <v>42469.4440385445</v>
      </c>
      <c r="Z54" s="107"/>
      <c r="AA54" s="107"/>
      <c r="AB54" s="107"/>
      <c r="AC54" s="107"/>
      <c r="AD54" s="107"/>
      <c r="AE54" s="107"/>
      <c r="AF54" s="266" t="n">
        <f aca="false">AF53*$D$2</f>
        <v>104.53045</v>
      </c>
      <c r="AG54" s="267" t="n">
        <f aca="false">AG53*$D$2</f>
        <v>79.93505</v>
      </c>
      <c r="AH54" s="215" t="n">
        <f aca="false">AH53*$D$2</f>
        <v>16641.565</v>
      </c>
      <c r="AI54" s="107" t="n">
        <f aca="false">AI53*$D$2</f>
        <v>25805.8465</v>
      </c>
      <c r="AJ54" s="136" t="n">
        <f aca="false">AJ53*$D$2</f>
        <v>65.4555</v>
      </c>
      <c r="AK54" s="107" t="n">
        <f aca="false">AK53*$D$2</f>
        <v>85192.9118</v>
      </c>
      <c r="AL54" s="107" t="n">
        <f aca="false">AL53*$D$2</f>
        <v>3266.1184</v>
      </c>
      <c r="AM54" s="268" t="n">
        <f aca="false">AM53*$D$2</f>
        <v>88459.0302</v>
      </c>
      <c r="AN54" s="94" t="n">
        <f aca="false">AN13+AN48</f>
        <v>11712.1708</v>
      </c>
      <c r="AO54" s="107" t="n">
        <f aca="false">AO53*$D$2</f>
        <v>1663.41679754712</v>
      </c>
      <c r="AP54" s="135"/>
      <c r="AQ54" s="158" t="n">
        <f aca="false">AQ12+AQ48</f>
        <v>492.527445830147</v>
      </c>
      <c r="AR54" s="136" t="n">
        <f aca="false">AR53*$D$2</f>
        <v>2195.98342925</v>
      </c>
      <c r="AS54" s="107" t="n">
        <f aca="false">AS53*$D$2</f>
        <v>0</v>
      </c>
      <c r="AT54" s="136"/>
      <c r="AU54" s="176"/>
      <c r="AV54" s="222"/>
      <c r="AW54" s="215"/>
      <c r="AX54" s="215"/>
      <c r="AY54" s="274"/>
      <c r="AZ54" s="338" t="n">
        <f aca="false">AZ53*$D$2</f>
        <v>2149.0074864084</v>
      </c>
    </row>
    <row r="55" customFormat="false" ht="3" hidden="false" customHeight="true" outlineLevel="0" collapsed="false">
      <c r="A55" s="231"/>
      <c r="B55" s="252"/>
      <c r="C55" s="233"/>
      <c r="D55" s="234"/>
      <c r="E55" s="233"/>
      <c r="F55" s="434"/>
      <c r="G55" s="435"/>
      <c r="H55" s="436"/>
      <c r="I55" s="234"/>
      <c r="J55" s="234"/>
      <c r="K55" s="234"/>
      <c r="L55" s="234"/>
      <c r="M55" s="237"/>
      <c r="N55" s="238"/>
      <c r="O55" s="234"/>
      <c r="P55" s="238"/>
      <c r="Q55" s="234"/>
      <c r="R55" s="234"/>
      <c r="S55" s="427"/>
      <c r="T55" s="427"/>
      <c r="U55" s="239"/>
      <c r="V55" s="234"/>
      <c r="W55" s="234"/>
      <c r="X55" s="234"/>
      <c r="Y55" s="234"/>
      <c r="Z55" s="233"/>
      <c r="AA55" s="234"/>
      <c r="AB55" s="233"/>
      <c r="AC55" s="233"/>
      <c r="AD55" s="233"/>
      <c r="AE55" s="234"/>
      <c r="AF55" s="237"/>
      <c r="AG55" s="241"/>
      <c r="AH55" s="243"/>
      <c r="AI55" s="233"/>
      <c r="AJ55" s="240"/>
      <c r="AK55" s="234"/>
      <c r="AL55" s="234"/>
      <c r="AM55" s="234"/>
      <c r="AN55" s="261"/>
      <c r="AO55" s="234"/>
      <c r="AP55" s="234"/>
      <c r="AQ55" s="238"/>
      <c r="AR55" s="240"/>
      <c r="AS55" s="238"/>
      <c r="AT55" s="240"/>
      <c r="AU55" s="240"/>
      <c r="AV55" s="234"/>
      <c r="AW55" s="234"/>
      <c r="AX55" s="234"/>
      <c r="AY55" s="257"/>
      <c r="AZ55" s="317"/>
    </row>
    <row r="56" customFormat="false" ht="11.1" hidden="false" customHeight="true" outlineLevel="0" collapsed="false">
      <c r="A56" s="437"/>
      <c r="B56" s="271"/>
      <c r="D56" s="185"/>
      <c r="F56" s="438"/>
      <c r="G56" s="438"/>
      <c r="H56" s="439"/>
      <c r="I56" s="185"/>
      <c r="J56" s="185"/>
      <c r="K56" s="185"/>
      <c r="L56" s="185"/>
      <c r="M56" s="185"/>
      <c r="O56" s="185"/>
      <c r="Q56" s="185"/>
      <c r="R56" s="185"/>
      <c r="V56" s="185"/>
      <c r="W56" s="185"/>
      <c r="X56" s="185"/>
      <c r="Y56" s="185"/>
      <c r="Z56" s="177"/>
      <c r="AA56" s="185"/>
      <c r="AB56" s="177"/>
      <c r="AC56" s="177"/>
      <c r="AD56" s="177"/>
      <c r="AE56" s="185"/>
      <c r="AF56" s="185"/>
      <c r="AG56" s="185"/>
      <c r="AI56" s="177"/>
      <c r="AK56" s="185"/>
      <c r="AL56" s="185"/>
      <c r="AM56" s="185"/>
      <c r="AN56" s="84"/>
      <c r="AO56" s="183"/>
      <c r="AP56" s="188"/>
      <c r="AQ56" s="69"/>
      <c r="AR56" s="407"/>
      <c r="AX56" s="182"/>
    </row>
    <row r="57" customFormat="false" ht="11.1" hidden="false" customHeight="true" outlineLevel="0" collapsed="false">
      <c r="A57" s="185"/>
      <c r="B57" s="177"/>
      <c r="E57" s="382"/>
      <c r="F57" s="225"/>
      <c r="G57" s="180"/>
      <c r="I57" s="382"/>
      <c r="J57" s="185"/>
      <c r="K57" s="174"/>
      <c r="L57" s="185"/>
      <c r="M57" s="185"/>
      <c r="O57" s="26"/>
      <c r="P57" s="93"/>
      <c r="Q57" s="26"/>
      <c r="R57" s="26"/>
      <c r="V57" s="185"/>
      <c r="W57" s="177"/>
      <c r="X57" s="26"/>
      <c r="Y57" s="26"/>
      <c r="Z57" s="177"/>
      <c r="AA57" s="26"/>
      <c r="AB57" s="177"/>
      <c r="AC57" s="177"/>
      <c r="AD57" s="177"/>
      <c r="AE57" s="177"/>
      <c r="AF57" s="177"/>
      <c r="AG57" s="177"/>
      <c r="AI57" s="440"/>
      <c r="AJ57" s="441"/>
      <c r="AK57" s="185"/>
      <c r="AL57" s="185"/>
      <c r="AN57" s="225"/>
      <c r="AO57" s="188"/>
      <c r="AP57" s="188"/>
    </row>
    <row r="59" customFormat="false" ht="11.1" hidden="false" customHeight="true" outlineLevel="0" collapsed="false">
      <c r="B59" s="8"/>
      <c r="D59" s="177"/>
      <c r="F59" s="384"/>
      <c r="AE59" s="177"/>
      <c r="AF59" s="177"/>
      <c r="AG59" s="177"/>
      <c r="AN59" s="225"/>
      <c r="AO59" s="180"/>
      <c r="AP59" s="180"/>
    </row>
    <row r="60" customFormat="false" ht="11.1" hidden="false" customHeight="true" outlineLevel="0" collapsed="false">
      <c r="B60" s="1"/>
      <c r="D60" s="1"/>
      <c r="G60" s="442"/>
      <c r="H60" s="443"/>
      <c r="I60" s="444"/>
      <c r="AN60" s="225"/>
      <c r="AO60" s="180"/>
      <c r="AP60" s="180"/>
    </row>
  </sheetData>
  <mergeCells count="1">
    <mergeCell ref="M5:U5"/>
  </mergeCells>
  <printOptions headings="true" gridLines="true" gridLinesSet="true" horizontalCentered="false" verticalCentered="true"/>
  <pageMargins left="0.25" right="0.25" top="0.5" bottom="0" header="0.5" footer="0.511811023622047"/>
  <pageSetup paperSize="3" scale="90" fitToWidth="1" fitToHeight="1" pageOrder="downThenOver" orientation="landscape" blackAndWhite="false" draft="false" cellComments="atEnd" horizontalDpi="300" verticalDpi="300" copies="1"/>
  <headerFooter differentFirst="false" differentOddEven="false">
    <oddHeader>&amp;C2012 Approved</oddHeader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Z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Y20" activePane="bottomRight" state="frozen"/>
      <selection pane="topLeft" activeCell="A1" activeCellId="0" sqref="A1"/>
      <selection pane="topRight" activeCell="Y1" activeCellId="0" sqref="Y1"/>
      <selection pane="bottomLeft" activeCell="A20" activeCellId="0" sqref="A20"/>
      <selection pane="bottomRight" activeCell="AQ22" activeCellId="0" sqref="AQ22"/>
    </sheetView>
  </sheetViews>
  <sheetFormatPr defaultColWidth="9.2890625" defaultRowHeight="11.1" zeroHeight="false" outlineLevelRow="0" outlineLevelCol="0"/>
  <cols>
    <col collapsed="false" customWidth="true" hidden="false" outlineLevel="0" max="1" min="1" style="1" width="4.66"/>
    <col collapsed="false" customWidth="true" hidden="false" outlineLevel="0" max="2" min="2" style="1" width="6.99"/>
    <col collapsed="false" customWidth="true" hidden="false" outlineLevel="0" max="3" min="3" style="2" width="6.32"/>
    <col collapsed="false" customWidth="true" hidden="false" outlineLevel="0" max="4" min="4" style="1" width="6.32"/>
    <col collapsed="false" customWidth="true" hidden="false" outlineLevel="0" max="5" min="5" style="2" width="6.99"/>
    <col collapsed="false" customWidth="true" hidden="false" outlineLevel="0" max="6" min="6" style="1" width="7.32"/>
    <col collapsed="false" customWidth="true" hidden="false" outlineLevel="0" max="7" min="7" style="1" width="6.82"/>
    <col collapsed="false" customWidth="true" hidden="false" outlineLevel="0" max="8" min="8" style="4" width="5.66"/>
    <col collapsed="false" customWidth="true" hidden="false" outlineLevel="0" max="11" min="9" style="1" width="6.32"/>
    <col collapsed="false" customWidth="true" hidden="false" outlineLevel="0" max="12" min="12" style="1" width="6.82"/>
    <col collapsed="false" customWidth="true" hidden="false" outlineLevel="0" max="13" min="13" style="4" width="5.49"/>
    <col collapsed="false" customWidth="true" hidden="false" outlineLevel="0" max="14" min="14" style="4" width="4.49"/>
    <col collapsed="false" customWidth="true" hidden="false" outlineLevel="0" max="15" min="15" style="4" width="5.49"/>
    <col collapsed="false" customWidth="true" hidden="false" outlineLevel="0" max="16" min="16" style="5" width="4.82"/>
    <col collapsed="false" customWidth="true" hidden="false" outlineLevel="0" max="18" min="17" style="4" width="4.32"/>
    <col collapsed="false" customWidth="true" hidden="false" outlineLevel="0" max="20" min="19" style="1" width="4.32"/>
    <col collapsed="false" customWidth="true" hidden="false" outlineLevel="0" max="21" min="21" style="5" width="5.16"/>
    <col collapsed="false" customWidth="true" hidden="false" outlineLevel="0" max="23" min="22" style="1" width="5.49"/>
    <col collapsed="false" customWidth="true" hidden="false" outlineLevel="0" max="25" min="24" style="2" width="6.32"/>
    <col collapsed="false" customWidth="true" hidden="false" outlineLevel="0" max="26" min="26" style="1" width="5.49"/>
    <col collapsed="false" customWidth="true" hidden="false" outlineLevel="0" max="27" min="27" style="2" width="6.32"/>
    <col collapsed="false" customWidth="true" hidden="false" outlineLevel="0" max="28" min="28" style="176" width="5.49"/>
    <col collapsed="false" customWidth="true" hidden="false" outlineLevel="0" max="29" min="29" style="1" width="5.82"/>
    <col collapsed="false" customWidth="true" hidden="false" outlineLevel="0" max="33" min="30" style="1" width="5.49"/>
    <col collapsed="false" customWidth="true" hidden="false" outlineLevel="0" max="34" min="34" style="2" width="6.32"/>
    <col collapsed="false" customWidth="true" hidden="false" outlineLevel="0" max="35" min="35" style="1" width="5.49"/>
    <col collapsed="false" customWidth="true" hidden="false" outlineLevel="0" max="36" min="36" style="87" width="6.32"/>
    <col collapsed="false" customWidth="true" hidden="false" outlineLevel="0" max="37" min="37" style="1" width="6.32"/>
    <col collapsed="false" customWidth="true" hidden="false" outlineLevel="0" max="38" min="38" style="1" width="6.82"/>
    <col collapsed="false" customWidth="true" hidden="false" outlineLevel="0" max="39" min="39" style="5" width="6.82"/>
    <col collapsed="false" customWidth="true" hidden="false" outlineLevel="0" max="41" min="40" style="1" width="5.49"/>
    <col collapsed="false" customWidth="true" hidden="false" outlineLevel="0" max="42" min="42" style="1" width="6.32"/>
    <col collapsed="false" customWidth="true" hidden="false" outlineLevel="0" max="43" min="43" style="193" width="6.32"/>
    <col collapsed="false" customWidth="true" hidden="false" outlineLevel="0" max="44" min="44" style="194" width="5.49"/>
    <col collapsed="false" customWidth="true" hidden="false" outlineLevel="0" max="45" min="45" style="172" width="5.32"/>
    <col collapsed="false" customWidth="true" hidden="false" outlineLevel="0" max="46" min="46" style="1" width="5.82"/>
    <col collapsed="false" customWidth="true" hidden="false" outlineLevel="0" max="47" min="47" style="4" width="4.99"/>
    <col collapsed="false" customWidth="true" hidden="false" outlineLevel="0" max="48" min="48" style="3" width="5.32"/>
    <col collapsed="false" customWidth="true" hidden="false" outlineLevel="0" max="49" min="49" style="9" width="3.82"/>
    <col collapsed="false" customWidth="true" hidden="false" outlineLevel="0" max="50" min="50" style="10" width="3.82"/>
    <col collapsed="false" customWidth="true" hidden="false" outlineLevel="0" max="51" min="51" style="0" width="3.82"/>
    <col collapsed="false" customWidth="true" hidden="false" outlineLevel="0" max="52" min="52" style="0" width="5.49"/>
  </cols>
  <sheetData>
    <row r="1" customFormat="false" ht="14.1" hidden="false" customHeight="true" outlineLevel="0" collapsed="false">
      <c r="A1" s="11" t="s">
        <v>114</v>
      </c>
      <c r="B1" s="11"/>
      <c r="D1" s="11"/>
      <c r="F1" s="11"/>
      <c r="G1" s="11"/>
      <c r="I1" s="11"/>
      <c r="J1" s="11"/>
      <c r="K1" s="13" t="s">
        <v>0</v>
      </c>
      <c r="L1" s="11"/>
      <c r="M1" s="11"/>
      <c r="N1" s="11"/>
      <c r="S1" s="11"/>
      <c r="T1" s="11"/>
      <c r="V1" s="11"/>
      <c r="W1" s="11"/>
      <c r="Z1" s="11"/>
      <c r="AB1" s="185"/>
      <c r="AC1" s="11"/>
      <c r="AD1" s="11"/>
      <c r="AE1" s="11"/>
      <c r="AF1" s="11"/>
      <c r="AG1" s="11"/>
      <c r="AI1" s="11"/>
      <c r="AJ1" s="14"/>
      <c r="AK1" s="11"/>
      <c r="AL1" s="11"/>
      <c r="AN1" s="14"/>
      <c r="AO1" s="14"/>
      <c r="AP1" s="14"/>
    </row>
    <row r="2" customFormat="false" ht="14.1" hidden="false" customHeight="true" outlineLevel="0" collapsed="false">
      <c r="A2" s="14" t="s">
        <v>1</v>
      </c>
      <c r="B2" s="11"/>
      <c r="D2" s="15" t="n">
        <v>1.9835</v>
      </c>
      <c r="F2" s="11"/>
      <c r="G2" s="11"/>
      <c r="I2" s="11"/>
      <c r="J2" s="11"/>
      <c r="K2" s="345" t="s">
        <v>130</v>
      </c>
      <c r="L2" s="346"/>
      <c r="M2" s="347"/>
      <c r="N2" s="347"/>
      <c r="O2" s="172"/>
      <c r="P2" s="6"/>
      <c r="Q2" s="172"/>
      <c r="R2" s="172"/>
      <c r="S2" s="347"/>
      <c r="T2" s="347"/>
      <c r="U2" s="6"/>
      <c r="V2" s="347"/>
      <c r="W2" s="347"/>
      <c r="X2" s="348"/>
      <c r="Y2" s="348"/>
      <c r="Z2" s="347"/>
      <c r="AA2" s="348"/>
      <c r="AB2" s="192"/>
      <c r="AC2" s="347"/>
      <c r="AD2" s="347"/>
      <c r="AE2" s="347"/>
      <c r="AF2" s="347"/>
      <c r="AG2" s="347"/>
      <c r="AH2" s="348"/>
      <c r="AI2" s="11"/>
      <c r="AJ2" s="14"/>
      <c r="AK2" s="11"/>
      <c r="AL2" s="11"/>
      <c r="AN2" s="14"/>
      <c r="AO2" s="14"/>
      <c r="AP2" s="14"/>
    </row>
    <row r="3" customFormat="false" ht="14.1" hidden="false" customHeight="true" outlineLevel="0" collapsed="false">
      <c r="A3" s="16"/>
      <c r="B3" s="16"/>
      <c r="C3" s="17"/>
      <c r="D3" s="18"/>
      <c r="E3" s="17"/>
      <c r="F3" s="16"/>
      <c r="G3" s="16"/>
      <c r="H3" s="22"/>
      <c r="I3" s="16"/>
      <c r="J3" s="16"/>
      <c r="K3" s="16"/>
      <c r="L3" s="16"/>
      <c r="M3" s="16"/>
      <c r="N3" s="16"/>
      <c r="O3" s="22"/>
      <c r="P3" s="20"/>
      <c r="Q3" s="22"/>
      <c r="R3" s="22"/>
      <c r="S3" s="16"/>
      <c r="T3" s="16"/>
      <c r="U3" s="20"/>
      <c r="V3" s="16"/>
      <c r="W3" s="16"/>
      <c r="X3" s="17"/>
      <c r="Y3" s="17"/>
      <c r="Z3" s="16"/>
      <c r="AA3" s="90"/>
      <c r="AB3" s="185"/>
      <c r="AC3" s="16"/>
      <c r="AD3" s="16"/>
      <c r="AE3" s="16"/>
      <c r="AF3" s="16"/>
      <c r="AG3" s="16"/>
      <c r="AH3" s="17"/>
      <c r="AI3" s="16"/>
      <c r="AJ3" s="350"/>
      <c r="AK3" s="16"/>
      <c r="AL3" s="16"/>
      <c r="AM3" s="20"/>
      <c r="AN3" s="350"/>
      <c r="AO3" s="350"/>
      <c r="AP3" s="350"/>
      <c r="AV3" s="27"/>
      <c r="AW3" s="28"/>
      <c r="AX3" s="29"/>
    </row>
    <row r="4" s="176" customFormat="true" ht="14.1" hidden="false" customHeight="true" outlineLevel="0" collapsed="false">
      <c r="A4" s="387"/>
      <c r="B4" s="388"/>
      <c r="C4" s="389"/>
      <c r="D4" s="390" t="s">
        <v>3</v>
      </c>
      <c r="E4" s="389"/>
      <c r="F4" s="387"/>
      <c r="G4" s="388"/>
      <c r="H4" s="391"/>
      <c r="I4" s="392" t="s">
        <v>111</v>
      </c>
      <c r="J4" s="387"/>
      <c r="K4" s="387"/>
      <c r="L4" s="393"/>
      <c r="M4" s="387"/>
      <c r="N4" s="394"/>
      <c r="O4" s="387"/>
      <c r="P4" s="394"/>
      <c r="Q4" s="387"/>
      <c r="R4" s="387"/>
      <c r="S4" s="387"/>
      <c r="T4" s="387"/>
      <c r="U4" s="394"/>
      <c r="V4" s="392"/>
      <c r="W4" s="387"/>
      <c r="X4" s="392" t="s">
        <v>5</v>
      </c>
      <c r="Y4" s="389"/>
      <c r="Z4" s="387"/>
      <c r="AA4" s="389"/>
      <c r="AB4" s="387"/>
      <c r="AC4" s="387"/>
      <c r="AD4" s="387"/>
      <c r="AE4" s="387"/>
      <c r="AF4" s="387"/>
      <c r="AG4" s="387"/>
      <c r="AH4" s="396"/>
      <c r="AI4" s="387"/>
      <c r="AJ4" s="445"/>
      <c r="AK4" s="387"/>
      <c r="AL4" s="387"/>
      <c r="AM4" s="394"/>
      <c r="AN4" s="446"/>
      <c r="AO4" s="30"/>
      <c r="AP4" s="398" t="s">
        <v>6</v>
      </c>
      <c r="AQ4" s="47"/>
      <c r="AR4" s="399"/>
      <c r="AS4" s="41"/>
      <c r="AT4" s="397"/>
      <c r="AU4" s="397"/>
      <c r="AV4" s="400"/>
      <c r="AW4" s="401" t="s">
        <v>7</v>
      </c>
      <c r="AX4" s="402"/>
      <c r="AY4" s="403"/>
      <c r="AZ4" s="404"/>
    </row>
    <row r="5" s="184" customFormat="true" ht="12.95" hidden="false" customHeight="true" outlineLevel="0" collapsed="false">
      <c r="A5" s="323" t="s">
        <v>8</v>
      </c>
      <c r="B5" s="405" t="s">
        <v>9</v>
      </c>
      <c r="C5" s="406" t="s">
        <v>9</v>
      </c>
      <c r="D5" s="323" t="s">
        <v>10</v>
      </c>
      <c r="E5" s="406" t="s">
        <v>11</v>
      </c>
      <c r="F5" s="323" t="s">
        <v>12</v>
      </c>
      <c r="G5" s="405" t="s">
        <v>13</v>
      </c>
      <c r="H5" s="407" t="s">
        <v>14</v>
      </c>
      <c r="I5" s="323" t="s">
        <v>15</v>
      </c>
      <c r="J5" s="323" t="s">
        <v>16</v>
      </c>
      <c r="K5" s="323" t="s">
        <v>17</v>
      </c>
      <c r="L5" s="417" t="s">
        <v>16</v>
      </c>
      <c r="M5" s="447" t="s">
        <v>18</v>
      </c>
      <c r="N5" s="447"/>
      <c r="O5" s="447"/>
      <c r="P5" s="447"/>
      <c r="Q5" s="447"/>
      <c r="R5" s="447"/>
      <c r="S5" s="447"/>
      <c r="T5" s="447"/>
      <c r="U5" s="447"/>
      <c r="V5" s="323" t="s">
        <v>19</v>
      </c>
      <c r="W5" s="323" t="s">
        <v>20</v>
      </c>
      <c r="X5" s="55" t="s">
        <v>17</v>
      </c>
      <c r="Y5" s="55" t="s">
        <v>17</v>
      </c>
      <c r="Z5" s="61" t="s">
        <v>21</v>
      </c>
      <c r="AA5" s="55" t="s">
        <v>21</v>
      </c>
      <c r="AB5" s="61" t="s">
        <v>21</v>
      </c>
      <c r="AC5" s="406" t="s">
        <v>22</v>
      </c>
      <c r="AD5" s="406" t="s">
        <v>21</v>
      </c>
      <c r="AE5" s="323" t="s">
        <v>23</v>
      </c>
      <c r="AF5" s="409" t="s">
        <v>127</v>
      </c>
      <c r="AG5" s="410"/>
      <c r="AH5" s="411" t="s">
        <v>25</v>
      </c>
      <c r="AI5" s="406" t="s">
        <v>128</v>
      </c>
      <c r="AJ5" s="406" t="s">
        <v>27</v>
      </c>
      <c r="AK5" s="323" t="s">
        <v>15</v>
      </c>
      <c r="AL5" s="323" t="s">
        <v>16</v>
      </c>
      <c r="AM5" s="323" t="s">
        <v>17</v>
      </c>
      <c r="AN5" s="448" t="s">
        <v>28</v>
      </c>
      <c r="AO5" s="61" t="s">
        <v>21</v>
      </c>
      <c r="AP5" s="67" t="s">
        <v>29</v>
      </c>
      <c r="AQ5" s="67" t="s">
        <v>29</v>
      </c>
      <c r="AR5" s="62" t="s">
        <v>30</v>
      </c>
      <c r="AS5" s="62" t="s">
        <v>31</v>
      </c>
      <c r="AT5" s="407" t="s">
        <v>32</v>
      </c>
      <c r="AU5" s="210" t="s">
        <v>33</v>
      </c>
      <c r="AV5" s="412" t="s">
        <v>34</v>
      </c>
      <c r="AW5" s="411" t="s">
        <v>35</v>
      </c>
      <c r="AX5" s="411" t="s">
        <v>36</v>
      </c>
      <c r="AY5" s="449"/>
      <c r="AZ5" s="295" t="s">
        <v>17</v>
      </c>
    </row>
    <row r="6" s="184" customFormat="true" ht="12.95" hidden="false" customHeight="true" outlineLevel="0" collapsed="false">
      <c r="A6" s="413" t="s">
        <v>131</v>
      </c>
      <c r="B6" s="405" t="s">
        <v>38</v>
      </c>
      <c r="C6" s="406"/>
      <c r="D6" s="323" t="s">
        <v>39</v>
      </c>
      <c r="E6" s="406" t="s">
        <v>40</v>
      </c>
      <c r="F6" s="323" t="s">
        <v>41</v>
      </c>
      <c r="G6" s="405" t="s">
        <v>42</v>
      </c>
      <c r="H6" s="407" t="s">
        <v>43</v>
      </c>
      <c r="I6" s="323" t="s">
        <v>44</v>
      </c>
      <c r="J6" s="323" t="s">
        <v>44</v>
      </c>
      <c r="K6" s="323" t="s">
        <v>44</v>
      </c>
      <c r="L6" s="417" t="s">
        <v>45</v>
      </c>
      <c r="M6" s="323" t="s">
        <v>46</v>
      </c>
      <c r="N6" s="69" t="s">
        <v>47</v>
      </c>
      <c r="O6" s="323" t="s">
        <v>48</v>
      </c>
      <c r="P6" s="69" t="s">
        <v>49</v>
      </c>
      <c r="Q6" s="58" t="s">
        <v>50</v>
      </c>
      <c r="R6" s="58" t="s">
        <v>51</v>
      </c>
      <c r="S6" s="58"/>
      <c r="T6" s="58" t="s">
        <v>48</v>
      </c>
      <c r="U6" s="415" t="s">
        <v>52</v>
      </c>
      <c r="V6" s="323" t="s">
        <v>53</v>
      </c>
      <c r="W6" s="323" t="s">
        <v>54</v>
      </c>
      <c r="X6" s="55" t="s">
        <v>21</v>
      </c>
      <c r="Y6" s="55" t="s">
        <v>21</v>
      </c>
      <c r="Z6" s="61" t="s">
        <v>55</v>
      </c>
      <c r="AA6" s="55" t="s">
        <v>55</v>
      </c>
      <c r="AB6" s="61" t="s">
        <v>56</v>
      </c>
      <c r="AC6" s="406" t="s">
        <v>57</v>
      </c>
      <c r="AD6" s="406" t="s">
        <v>58</v>
      </c>
      <c r="AE6" s="323" t="s">
        <v>59</v>
      </c>
      <c r="AF6" s="74" t="s">
        <v>60</v>
      </c>
      <c r="AG6" s="77" t="s">
        <v>61</v>
      </c>
      <c r="AH6" s="411" t="s">
        <v>62</v>
      </c>
      <c r="AI6" s="406" t="s">
        <v>63</v>
      </c>
      <c r="AJ6" s="406"/>
      <c r="AK6" s="323" t="s">
        <v>64</v>
      </c>
      <c r="AL6" s="323" t="s">
        <v>64</v>
      </c>
      <c r="AM6" s="323" t="s">
        <v>64</v>
      </c>
      <c r="AN6" s="448" t="s">
        <v>65</v>
      </c>
      <c r="AO6" s="61" t="s">
        <v>66</v>
      </c>
      <c r="AP6" s="67" t="s">
        <v>67</v>
      </c>
      <c r="AQ6" s="67" t="s">
        <v>67</v>
      </c>
      <c r="AR6" s="62" t="s">
        <v>68</v>
      </c>
      <c r="AS6" s="62" t="s">
        <v>69</v>
      </c>
      <c r="AT6" s="407" t="s">
        <v>70</v>
      </c>
      <c r="AU6" s="210" t="s">
        <v>71</v>
      </c>
      <c r="AV6" s="416"/>
      <c r="AW6" s="411" t="s">
        <v>72</v>
      </c>
      <c r="AX6" s="411" t="s">
        <v>72</v>
      </c>
      <c r="AY6" s="449"/>
      <c r="AZ6" s="295" t="s">
        <v>73</v>
      </c>
    </row>
    <row r="7" s="184" customFormat="true" ht="12.95" hidden="false" customHeight="true" outlineLevel="0" collapsed="false">
      <c r="A7" s="323"/>
      <c r="B7" s="405"/>
      <c r="C7" s="406"/>
      <c r="D7" s="323"/>
      <c r="E7" s="406"/>
      <c r="F7" s="323"/>
      <c r="G7" s="405"/>
      <c r="H7" s="407"/>
      <c r="I7" s="323"/>
      <c r="J7" s="323"/>
      <c r="K7" s="323"/>
      <c r="L7" s="417"/>
      <c r="M7" s="323"/>
      <c r="N7" s="69" t="s">
        <v>74</v>
      </c>
      <c r="O7" s="323" t="s">
        <v>75</v>
      </c>
      <c r="P7" s="69"/>
      <c r="Q7" s="58" t="s">
        <v>76</v>
      </c>
      <c r="R7" s="58" t="s">
        <v>76</v>
      </c>
      <c r="S7" s="58" t="s">
        <v>61</v>
      </c>
      <c r="T7" s="58" t="s">
        <v>61</v>
      </c>
      <c r="U7" s="415" t="s">
        <v>77</v>
      </c>
      <c r="V7" s="323"/>
      <c r="W7" s="323"/>
      <c r="X7" s="65" t="s">
        <v>78</v>
      </c>
      <c r="Y7" s="57" t="s">
        <v>79</v>
      </c>
      <c r="Z7" s="61" t="s">
        <v>80</v>
      </c>
      <c r="AA7" s="55" t="s">
        <v>81</v>
      </c>
      <c r="AB7" s="61" t="s">
        <v>82</v>
      </c>
      <c r="AC7" s="406"/>
      <c r="AD7" s="406"/>
      <c r="AE7" s="323"/>
      <c r="AF7" s="79" t="n">
        <v>1.7</v>
      </c>
      <c r="AG7" s="79" t="n">
        <v>1.3</v>
      </c>
      <c r="AH7" s="411"/>
      <c r="AI7" s="406"/>
      <c r="AJ7" s="406"/>
      <c r="AK7" s="323"/>
      <c r="AL7" s="323"/>
      <c r="AM7" s="323"/>
      <c r="AN7" s="448"/>
      <c r="AO7" s="61" t="s">
        <v>41</v>
      </c>
      <c r="AP7" s="67" t="s">
        <v>83</v>
      </c>
      <c r="AQ7" s="67" t="s">
        <v>84</v>
      </c>
      <c r="AR7" s="62" t="s">
        <v>85</v>
      </c>
      <c r="AS7" s="62" t="s">
        <v>86</v>
      </c>
      <c r="AT7" s="407" t="s">
        <v>87</v>
      </c>
      <c r="AU7" s="210" t="s">
        <v>88</v>
      </c>
      <c r="AV7" s="416"/>
      <c r="AW7" s="411"/>
      <c r="AX7" s="411"/>
      <c r="AY7" s="449"/>
      <c r="AZ7" s="295" t="s">
        <v>89</v>
      </c>
    </row>
    <row r="8" s="184" customFormat="true" ht="12.95" hidden="false" customHeight="true" outlineLevel="0" collapsed="false">
      <c r="A8" s="323"/>
      <c r="B8" s="405"/>
      <c r="C8" s="406"/>
      <c r="D8" s="323"/>
      <c r="E8" s="406"/>
      <c r="F8" s="323"/>
      <c r="G8" s="405"/>
      <c r="H8" s="407"/>
      <c r="I8" s="323"/>
      <c r="J8" s="323"/>
      <c r="K8" s="323"/>
      <c r="L8" s="417"/>
      <c r="M8" s="323"/>
      <c r="N8" s="69"/>
      <c r="O8" s="323"/>
      <c r="P8" s="69"/>
      <c r="Q8" s="58" t="s">
        <v>61</v>
      </c>
      <c r="R8" s="58" t="s">
        <v>61</v>
      </c>
      <c r="S8" s="58"/>
      <c r="T8" s="58"/>
      <c r="U8" s="415"/>
      <c r="V8" s="323"/>
      <c r="W8" s="323"/>
      <c r="X8" s="65" t="s">
        <v>90</v>
      </c>
      <c r="Y8" s="57" t="s">
        <v>78</v>
      </c>
      <c r="Z8" s="61"/>
      <c r="AA8" s="57" t="s">
        <v>91</v>
      </c>
      <c r="AB8" s="61" t="s">
        <v>92</v>
      </c>
      <c r="AC8" s="406"/>
      <c r="AD8" s="406"/>
      <c r="AE8" s="323"/>
      <c r="AF8" s="418"/>
      <c r="AG8" s="419"/>
      <c r="AH8" s="411"/>
      <c r="AI8" s="406"/>
      <c r="AJ8" s="406"/>
      <c r="AK8" s="323"/>
      <c r="AL8" s="323"/>
      <c r="AM8" s="323"/>
      <c r="AN8" s="448"/>
      <c r="AO8" s="61"/>
      <c r="AP8" s="67"/>
      <c r="AQ8" s="67"/>
      <c r="AR8" s="62"/>
      <c r="AS8" s="62"/>
      <c r="AT8" s="407"/>
      <c r="AU8" s="210"/>
      <c r="AV8" s="416"/>
      <c r="AW8" s="411"/>
      <c r="AX8" s="411"/>
      <c r="AY8" s="449"/>
      <c r="AZ8" s="295"/>
    </row>
    <row r="9" s="184" customFormat="true" ht="12.95" hidden="false" customHeight="true" outlineLevel="0" collapsed="false">
      <c r="A9" s="323"/>
      <c r="B9" s="405"/>
      <c r="C9" s="406"/>
      <c r="D9" s="323"/>
      <c r="E9" s="406"/>
      <c r="F9" s="323"/>
      <c r="G9" s="405"/>
      <c r="H9" s="407"/>
      <c r="I9" s="323"/>
      <c r="J9" s="323"/>
      <c r="K9" s="323"/>
      <c r="L9" s="417"/>
      <c r="M9" s="323"/>
      <c r="N9" s="69"/>
      <c r="O9" s="323"/>
      <c r="P9" s="69"/>
      <c r="Q9" s="58"/>
      <c r="R9" s="81" t="n">
        <v>4.2</v>
      </c>
      <c r="S9" s="58"/>
      <c r="T9" s="58"/>
      <c r="U9" s="415"/>
      <c r="V9" s="323"/>
      <c r="W9" s="323"/>
      <c r="X9" s="65"/>
      <c r="Y9" s="57" t="s">
        <v>90</v>
      </c>
      <c r="Z9" s="61"/>
      <c r="AA9" s="57" t="s">
        <v>90</v>
      </c>
      <c r="AB9" s="61" t="s">
        <v>93</v>
      </c>
      <c r="AC9" s="406"/>
      <c r="AD9" s="406"/>
      <c r="AE9" s="323"/>
      <c r="AF9" s="418"/>
      <c r="AG9" s="419"/>
      <c r="AH9" s="411"/>
      <c r="AI9" s="406"/>
      <c r="AJ9" s="406"/>
      <c r="AK9" s="323"/>
      <c r="AL9" s="323"/>
      <c r="AM9" s="323"/>
      <c r="AN9" s="448"/>
      <c r="AO9" s="61"/>
      <c r="AP9" s="67"/>
      <c r="AQ9" s="67"/>
      <c r="AR9" s="62"/>
      <c r="AS9" s="172"/>
      <c r="AT9" s="407"/>
      <c r="AU9" s="210"/>
      <c r="AV9" s="416"/>
      <c r="AW9" s="411"/>
      <c r="AX9" s="411"/>
      <c r="AY9" s="449"/>
      <c r="AZ9" s="295"/>
    </row>
    <row r="10" s="184" customFormat="true" ht="12.95" hidden="false" customHeight="true" outlineLevel="0" collapsed="false">
      <c r="A10" s="323"/>
      <c r="B10" s="405"/>
      <c r="C10" s="406" t="s">
        <v>10</v>
      </c>
      <c r="D10" s="323"/>
      <c r="E10" s="406" t="s">
        <v>95</v>
      </c>
      <c r="F10" s="323"/>
      <c r="G10" s="405" t="s">
        <v>41</v>
      </c>
      <c r="H10" s="407" t="s">
        <v>41</v>
      </c>
      <c r="I10" s="407" t="s">
        <v>41</v>
      </c>
      <c r="J10" s="407" t="s">
        <v>41</v>
      </c>
      <c r="K10" s="407" t="s">
        <v>41</v>
      </c>
      <c r="L10" s="420" t="s">
        <v>41</v>
      </c>
      <c r="M10" s="407" t="s">
        <v>41</v>
      </c>
      <c r="N10" s="407" t="s">
        <v>41</v>
      </c>
      <c r="O10" s="407" t="s">
        <v>41</v>
      </c>
      <c r="P10" s="407" t="s">
        <v>41</v>
      </c>
      <c r="Q10" s="58" t="s">
        <v>41</v>
      </c>
      <c r="R10" s="58" t="s">
        <v>41</v>
      </c>
      <c r="S10" s="58" t="s">
        <v>41</v>
      </c>
      <c r="T10" s="58" t="s">
        <v>41</v>
      </c>
      <c r="U10" s="420" t="s">
        <v>41</v>
      </c>
      <c r="V10" s="407" t="s">
        <v>41</v>
      </c>
      <c r="W10" s="407" t="s">
        <v>41</v>
      </c>
      <c r="X10" s="57" t="n">
        <v>153400</v>
      </c>
      <c r="Y10" s="57" t="n">
        <v>150400</v>
      </c>
      <c r="Z10" s="58" t="s">
        <v>41</v>
      </c>
      <c r="AA10" s="57"/>
      <c r="AB10" s="57" t="n">
        <v>72000</v>
      </c>
      <c r="AC10" s="407" t="s">
        <v>41</v>
      </c>
      <c r="AD10" s="407" t="s">
        <v>41</v>
      </c>
      <c r="AE10" s="407" t="s">
        <v>41</v>
      </c>
      <c r="AF10" s="421" t="s">
        <v>41</v>
      </c>
      <c r="AG10" s="420" t="s">
        <v>41</v>
      </c>
      <c r="AH10" s="407" t="s">
        <v>41</v>
      </c>
      <c r="AI10" s="407" t="s">
        <v>41</v>
      </c>
      <c r="AJ10" s="407" t="s">
        <v>41</v>
      </c>
      <c r="AK10" s="407" t="s">
        <v>41</v>
      </c>
      <c r="AL10" s="407" t="s">
        <v>41</v>
      </c>
      <c r="AM10" s="407" t="s">
        <v>41</v>
      </c>
      <c r="AN10" s="448" t="s">
        <v>41</v>
      </c>
      <c r="AO10" s="61" t="s">
        <v>41</v>
      </c>
      <c r="AP10" s="61" t="s">
        <v>41</v>
      </c>
      <c r="AQ10" s="67" t="s">
        <v>96</v>
      </c>
      <c r="AR10" s="62" t="s">
        <v>41</v>
      </c>
      <c r="AS10" s="62" t="s">
        <v>41</v>
      </c>
      <c r="AT10" s="61" t="s">
        <v>41</v>
      </c>
      <c r="AU10" s="61" t="s">
        <v>41</v>
      </c>
      <c r="AV10" s="416"/>
      <c r="AW10" s="411"/>
      <c r="AX10" s="411"/>
      <c r="AY10" s="299"/>
      <c r="AZ10" s="295" t="s">
        <v>97</v>
      </c>
    </row>
    <row r="11" s="184" customFormat="true" ht="12.95" hidden="false" customHeight="true" outlineLevel="0" collapsed="false">
      <c r="A11" s="323"/>
      <c r="B11" s="405"/>
      <c r="C11" s="406"/>
      <c r="D11" s="323"/>
      <c r="E11" s="406"/>
      <c r="F11" s="450"/>
      <c r="G11" s="323"/>
      <c r="H11" s="407"/>
      <c r="I11" s="323"/>
      <c r="J11" s="323"/>
      <c r="K11" s="323"/>
      <c r="L11" s="417"/>
      <c r="M11" s="323"/>
      <c r="N11" s="69" t="n">
        <v>1.03</v>
      </c>
      <c r="O11" s="422" t="n">
        <v>1.05</v>
      </c>
      <c r="P11" s="69" t="n">
        <v>1.02</v>
      </c>
      <c r="Q11" s="82" t="n">
        <v>1.02</v>
      </c>
      <c r="R11" s="83" t="n">
        <v>1.04</v>
      </c>
      <c r="S11" s="58"/>
      <c r="T11" s="82" t="n">
        <v>1.04</v>
      </c>
      <c r="U11" s="415"/>
      <c r="V11" s="323"/>
      <c r="W11" s="323"/>
      <c r="X11" s="58" t="s">
        <v>41</v>
      </c>
      <c r="Y11" s="58" t="s">
        <v>41</v>
      </c>
      <c r="Z11" s="58" t="s">
        <v>41</v>
      </c>
      <c r="AA11" s="57" t="s">
        <v>41</v>
      </c>
      <c r="AB11" s="84" t="s">
        <v>98</v>
      </c>
      <c r="AC11" s="406"/>
      <c r="AD11" s="406"/>
      <c r="AE11" s="323"/>
      <c r="AF11" s="418"/>
      <c r="AG11" s="419"/>
      <c r="AH11" s="411"/>
      <c r="AI11" s="406"/>
      <c r="AJ11" s="406"/>
      <c r="AK11" s="323"/>
      <c r="AL11" s="323"/>
      <c r="AM11" s="323"/>
      <c r="AN11" s="448"/>
      <c r="AO11" s="61"/>
      <c r="AP11" s="67"/>
      <c r="AQ11" s="67"/>
      <c r="AR11" s="62"/>
      <c r="AS11" s="344"/>
      <c r="AT11" s="325"/>
      <c r="AU11" s="180"/>
      <c r="AV11" s="416"/>
      <c r="AW11" s="411"/>
      <c r="AX11" s="411"/>
      <c r="AY11" s="299"/>
      <c r="AZ11" s="295" t="s">
        <v>41</v>
      </c>
    </row>
    <row r="12" customFormat="false" ht="12.95" hidden="false" customHeight="true" outlineLevel="0" collapsed="false">
      <c r="A12" s="11" t="s">
        <v>99</v>
      </c>
      <c r="B12" s="354"/>
      <c r="C12" s="94"/>
      <c r="D12" s="94"/>
      <c r="E12" s="94"/>
      <c r="F12" s="146" t="n">
        <f aca="false">MAY!F50</f>
        <v>17677.8421981346</v>
      </c>
      <c r="G12" s="94" t="n">
        <f aca="false">MAY!G50</f>
        <v>47247</v>
      </c>
      <c r="H12" s="94" t="n">
        <f aca="false">MAY!H50</f>
        <v>728.31</v>
      </c>
      <c r="I12" s="94" t="n">
        <f aca="false">MAY!I50</f>
        <v>47975.31</v>
      </c>
      <c r="J12" s="94" t="n">
        <f aca="false">MAY!J50</f>
        <v>1678.0847769095</v>
      </c>
      <c r="K12" s="94" t="n">
        <f aca="false">MAY!K50</f>
        <v>49653.3847769095</v>
      </c>
      <c r="L12" s="99" t="n">
        <f aca="false">MAY!L50</f>
        <v>628.14219813461</v>
      </c>
      <c r="M12" s="94" t="n">
        <f aca="false">MAY!M50</f>
        <v>13743.7</v>
      </c>
      <c r="N12" s="94" t="n">
        <f aca="false">MAY!N50</f>
        <v>57.4863085</v>
      </c>
      <c r="O12" s="94" t="n">
        <f aca="false">MAY!O50</f>
        <v>4903.4905</v>
      </c>
      <c r="P12" s="83" t="n">
        <f aca="false">MAY!P50</f>
        <v>7.32</v>
      </c>
      <c r="Q12" s="142"/>
      <c r="R12" s="142"/>
      <c r="S12" s="94"/>
      <c r="T12" s="94"/>
      <c r="U12" s="355"/>
      <c r="V12" s="94" t="n">
        <f aca="false">MAY!V50</f>
        <v>3900</v>
      </c>
      <c r="W12" s="94" t="n">
        <f aca="false">MAY!W50</f>
        <v>2790.9</v>
      </c>
      <c r="X12" s="94" t="n">
        <f aca="false">MAY!X50</f>
        <v>16178.3639124874</v>
      </c>
      <c r="Y12" s="94" t="n">
        <f aca="false">MAY!Y50</f>
        <v>15542.5339124874</v>
      </c>
      <c r="Z12" s="107" t="n">
        <f aca="false">MAY!Z45</f>
        <v>20830.5592086847</v>
      </c>
      <c r="AA12" s="107" t="n">
        <f aca="false">MAY!AA50</f>
        <v>3877.00483306712</v>
      </c>
      <c r="AB12" s="107" t="n">
        <f aca="false">MAY!AB45</f>
        <v>0</v>
      </c>
      <c r="AC12" s="107" t="n">
        <f aca="false">MAY!AC45</f>
        <v>1471.57397534646</v>
      </c>
      <c r="AD12" s="80"/>
      <c r="AE12" s="94" t="n">
        <f aca="false">MAY!AE50</f>
        <v>7431</v>
      </c>
      <c r="AF12" s="98" t="n">
        <f aca="false">MAY!AF50</f>
        <v>103.7</v>
      </c>
      <c r="AG12" s="99" t="n">
        <f aca="false">MAY!AG50</f>
        <v>79.3</v>
      </c>
      <c r="AH12" s="80"/>
      <c r="AI12" s="80"/>
      <c r="AJ12" s="94" t="n">
        <f aca="false">MAY!AJ50</f>
        <v>33</v>
      </c>
      <c r="AK12" s="94" t="n">
        <f aca="false">MAY!AK50</f>
        <v>30925.6</v>
      </c>
      <c r="AL12" s="94" t="n">
        <f aca="false">MAY!AL50</f>
        <v>1049.94257877489</v>
      </c>
      <c r="AM12" s="94" t="n">
        <f aca="false">MAY!AM50</f>
        <v>31975.5425787749</v>
      </c>
      <c r="AN12" s="451"/>
      <c r="AO12" s="150"/>
      <c r="AP12" s="80"/>
      <c r="AQ12" s="94" t="n">
        <f aca="false">MAY!AQ51</f>
        <v>492.527445830147</v>
      </c>
      <c r="AR12" s="103" t="n">
        <f aca="false">MAY!AR50</f>
        <v>1107.1255</v>
      </c>
      <c r="AS12" s="142" t="n">
        <f aca="false">MAY!AS50</f>
        <v>0</v>
      </c>
      <c r="AT12" s="94" t="n">
        <f aca="false">MAY!AT50</f>
        <v>0</v>
      </c>
      <c r="AU12" s="452"/>
      <c r="AV12" s="453"/>
      <c r="AW12" s="103"/>
      <c r="AX12" s="103"/>
      <c r="AY12" s="294"/>
      <c r="AZ12" s="454"/>
    </row>
    <row r="13" s="108" customFormat="true" ht="12.95" hidden="false" customHeight="true" outlineLevel="0" collapsed="false">
      <c r="A13" s="2" t="s">
        <v>100</v>
      </c>
      <c r="B13" s="131" t="n">
        <f aca="false">MAY!B45</f>
        <v>6914</v>
      </c>
      <c r="C13" s="94" t="n">
        <f aca="false">MAY!C45</f>
        <v>338231</v>
      </c>
      <c r="D13" s="94" t="n">
        <f aca="false">MAY!D54</f>
        <v>44546</v>
      </c>
      <c r="E13" s="94" t="n">
        <f aca="false">MAY!E54</f>
        <v>186231</v>
      </c>
      <c r="F13" s="161" t="n">
        <f aca="false">MAY!F53</f>
        <v>22495.5886059995</v>
      </c>
      <c r="G13" s="94" t="n">
        <f aca="false">MAY!G53</f>
        <v>59311</v>
      </c>
      <c r="H13" s="94" t="n">
        <f aca="false">MAY!H53</f>
        <v>1210.39</v>
      </c>
      <c r="I13" s="94" t="n">
        <f aca="false">MAY!I53</f>
        <v>60520.77</v>
      </c>
      <c r="J13" s="94" t="n">
        <f aca="false">MAY!J53</f>
        <v>6572.27261910764</v>
      </c>
      <c r="K13" s="94" t="n">
        <f aca="false">MAY!K53</f>
        <v>67093.0326191076</v>
      </c>
      <c r="L13" s="359" t="n">
        <f aca="false">MAY!L53</f>
        <v>4925.6286059995</v>
      </c>
      <c r="M13" s="94" t="n">
        <f aca="false">MAY!M53</f>
        <v>14532.4</v>
      </c>
      <c r="N13" s="94" t="n">
        <f aca="false">MAY!N53</f>
        <v>57.4863085</v>
      </c>
      <c r="O13" s="94" t="n">
        <f aca="false">MAY!O53</f>
        <v>4903.4905</v>
      </c>
      <c r="P13" s="83"/>
      <c r="Q13" s="94" t="n">
        <f aca="false">MAY!Q53</f>
        <v>373.971888034486</v>
      </c>
      <c r="R13" s="94" t="n">
        <f aca="false">MAY!R53</f>
        <v>449.20158352</v>
      </c>
      <c r="S13" s="94" t="n">
        <f aca="false">MAY!S53</f>
        <v>34.03902576</v>
      </c>
      <c r="T13" s="94" t="n">
        <f aca="false">MAY!T53</f>
        <v>133.62499072</v>
      </c>
      <c r="U13" s="455" t="n">
        <f aca="false">MAY!U53</f>
        <v>27.7983443318626</v>
      </c>
      <c r="V13" s="94" t="n">
        <f aca="false">MAY!V53</f>
        <v>9747</v>
      </c>
      <c r="W13" s="94" t="n">
        <f aca="false">MAY!W53</f>
        <v>2850.4</v>
      </c>
      <c r="X13" s="94" t="n">
        <f aca="false">MAY!X53</f>
        <v>22249.9928591336</v>
      </c>
      <c r="Y13" s="94" t="n">
        <f aca="false">MAY!Y53</f>
        <v>21411.3657870151</v>
      </c>
      <c r="Z13" s="80"/>
      <c r="AA13" s="94"/>
      <c r="AB13" s="107"/>
      <c r="AC13" s="80"/>
      <c r="AD13" s="80"/>
      <c r="AE13" s="94"/>
      <c r="AF13" s="360"/>
      <c r="AG13" s="359"/>
      <c r="AH13" s="94" t="n">
        <f aca="false">MAY!AH53</f>
        <v>8390</v>
      </c>
      <c r="AI13" s="94" t="n">
        <f aca="false">MAY!AI53</f>
        <v>13010.2578774893</v>
      </c>
      <c r="AJ13" s="94" t="n">
        <f aca="false">MAY!AJ53</f>
        <v>33</v>
      </c>
      <c r="AK13" s="94" t="n">
        <f aca="false">MAY!AK53</f>
        <v>42950.8</v>
      </c>
      <c r="AL13" s="94" t="n">
        <f aca="false">MAY!AL53</f>
        <v>1646.64401310814</v>
      </c>
      <c r="AM13" s="94" t="n">
        <f aca="false">MAY!AM53</f>
        <v>44597.4440131081</v>
      </c>
      <c r="AN13" s="356" t="n">
        <f aca="false">MAY!AN54</f>
        <v>11712.1708</v>
      </c>
      <c r="AO13" s="94" t="n">
        <f aca="false">MAY!AO53</f>
        <v>838.627072118535</v>
      </c>
      <c r="AP13" s="134"/>
      <c r="AQ13" s="94" t="n">
        <f aca="false">MAY!AQ54</f>
        <v>492.527445830147</v>
      </c>
      <c r="AR13" s="103" t="n">
        <f aca="false">MAY!AR53</f>
        <v>1107.1255</v>
      </c>
      <c r="AS13" s="142" t="n">
        <f aca="false">MAY!AS53</f>
        <v>0</v>
      </c>
      <c r="AT13" s="94" t="n">
        <f aca="false">MAY!AT53</f>
        <v>0</v>
      </c>
      <c r="AU13" s="456"/>
      <c r="AV13" s="131" t="n">
        <f aca="false">MAY!AV53</f>
        <v>2.85</v>
      </c>
      <c r="AW13" s="103"/>
      <c r="AX13" s="103"/>
      <c r="AY13" s="361"/>
      <c r="AZ13" s="457" t="n">
        <f aca="false">MAY!AZ53</f>
        <v>1083.44214086635</v>
      </c>
    </row>
    <row r="14" customFormat="false" ht="3" hidden="false" customHeight="true" outlineLevel="0" collapsed="false">
      <c r="A14" s="109"/>
      <c r="B14" s="362"/>
      <c r="C14" s="119"/>
      <c r="D14" s="116"/>
      <c r="E14" s="119"/>
      <c r="F14" s="144"/>
      <c r="G14" s="116"/>
      <c r="H14" s="118"/>
      <c r="I14" s="116"/>
      <c r="J14" s="116"/>
      <c r="K14" s="116"/>
      <c r="L14" s="116"/>
      <c r="M14" s="120"/>
      <c r="N14" s="116"/>
      <c r="O14" s="118" t="n">
        <v>0</v>
      </c>
      <c r="P14" s="363"/>
      <c r="Q14" s="118"/>
      <c r="R14" s="118"/>
      <c r="S14" s="116"/>
      <c r="T14" s="116"/>
      <c r="U14" s="364"/>
      <c r="V14" s="116"/>
      <c r="W14" s="116" t="n">
        <v>0</v>
      </c>
      <c r="X14" s="116"/>
      <c r="Y14" s="116"/>
      <c r="Z14" s="119"/>
      <c r="AA14" s="116"/>
      <c r="AB14" s="233"/>
      <c r="AC14" s="119"/>
      <c r="AD14" s="119"/>
      <c r="AE14" s="116"/>
      <c r="AF14" s="120"/>
      <c r="AG14" s="121"/>
      <c r="AH14" s="116"/>
      <c r="AI14" s="119"/>
      <c r="AJ14" s="119"/>
      <c r="AK14" s="116"/>
      <c r="AL14" s="116"/>
      <c r="AM14" s="116"/>
      <c r="AN14" s="458"/>
      <c r="AO14" s="123"/>
      <c r="AP14" s="123"/>
      <c r="AQ14" s="238"/>
      <c r="AR14" s="240"/>
      <c r="AS14" s="240"/>
      <c r="AT14" s="243"/>
      <c r="AU14" s="240"/>
      <c r="AV14" s="125"/>
      <c r="AW14" s="123"/>
      <c r="AX14" s="123"/>
      <c r="AY14" s="156"/>
      <c r="AZ14" s="459"/>
    </row>
    <row r="15" customFormat="false" ht="12.95" hidden="false" customHeight="true" outlineLevel="0" collapsed="false">
      <c r="A15" s="10" t="n">
        <v>1</v>
      </c>
      <c r="B15" s="357" t="n">
        <v>6913.8</v>
      </c>
      <c r="C15" s="94" t="n">
        <v>337409</v>
      </c>
      <c r="D15" s="103" t="n">
        <f aca="false">C15-C13</f>
        <v>-822</v>
      </c>
      <c r="E15" s="94" t="n">
        <f aca="false">C15-152000</f>
        <v>185409</v>
      </c>
      <c r="F15" s="141" t="n">
        <f aca="false">D15/$D$2</f>
        <v>-414.418956390219</v>
      </c>
      <c r="G15" s="134" t="n">
        <v>436</v>
      </c>
      <c r="H15" s="97" t="n">
        <v>0</v>
      </c>
      <c r="I15" s="134" t="n">
        <f aca="false">G15+H15</f>
        <v>436</v>
      </c>
      <c r="J15" s="366" t="n">
        <f aca="false">IF(L15&gt;0,L15,0)</f>
        <v>0</v>
      </c>
      <c r="K15" s="134" t="n">
        <f aca="false">I15+J15</f>
        <v>436</v>
      </c>
      <c r="L15" s="134" t="n">
        <f aca="false">F15-(I15-AK15)</f>
        <v>-2.41895639021931</v>
      </c>
      <c r="M15" s="137" t="n">
        <v>319</v>
      </c>
      <c r="N15" s="158" t="n">
        <f aca="false">(1.8299*1.03)/2</f>
        <v>0.9423985</v>
      </c>
      <c r="O15" s="136" t="n">
        <f aca="false">97*1.05</f>
        <v>101.85</v>
      </c>
      <c r="P15" s="158" t="n">
        <v>0</v>
      </c>
      <c r="Q15" s="336" t="n">
        <f aca="false">2022400/325851/1.9835*1.02</f>
        <v>3.19165518373279</v>
      </c>
      <c r="R15" s="131" t="n">
        <v>4.2</v>
      </c>
      <c r="S15" s="131" t="n">
        <f aca="false">((6*1.04)-T15)-4.2</f>
        <v>0.63399904</v>
      </c>
      <c r="T15" s="131" t="n">
        <f aca="false">(1.2754*1.06)*1.04</f>
        <v>1.40600096</v>
      </c>
      <c r="U15" s="355" t="n">
        <v>0</v>
      </c>
      <c r="V15" s="134" t="n">
        <v>148</v>
      </c>
      <c r="W15" s="134" t="n">
        <v>77</v>
      </c>
      <c r="X15" s="135" t="n">
        <f aca="false">M15-N15-O15-P15-Q15-R15-S15-T15-U15+V15+W15-AT15+AR15</f>
        <v>468.824946316267</v>
      </c>
      <c r="Y15" s="135" t="n">
        <f aca="false">X15-AO15</f>
        <v>461.824946316267</v>
      </c>
      <c r="Z15" s="107" t="n">
        <f aca="false">Z12-AA15</f>
        <v>20368.7342623684</v>
      </c>
      <c r="AA15" s="135" t="n">
        <f aca="false">Y15</f>
        <v>461.824946316267</v>
      </c>
      <c r="AB15" s="107"/>
      <c r="AC15" s="107" t="n">
        <f aca="false">AC12-(MAY!AQ45/1.9835)</f>
        <v>1465.837700615</v>
      </c>
      <c r="AD15" s="80"/>
      <c r="AE15" s="134" t="n">
        <v>234</v>
      </c>
      <c r="AF15" s="137" t="n">
        <v>1.7</v>
      </c>
      <c r="AG15" s="138" t="n">
        <v>1.3</v>
      </c>
      <c r="AH15" s="134" t="n">
        <v>70</v>
      </c>
      <c r="AI15" s="80" t="n">
        <f aca="false">AI13-AH15</f>
        <v>12940.2578774893</v>
      </c>
      <c r="AJ15" s="134"/>
      <c r="AK15" s="134" t="n">
        <f aca="false">N16+O15+P15+Q15+R15+S15+T15+U15+X15+AE15+AH15-AR15</f>
        <v>848</v>
      </c>
      <c r="AL15" s="134" t="n">
        <f aca="false">IF(L15&lt;0,L15*-1,0)</f>
        <v>2.41895639021931</v>
      </c>
      <c r="AM15" s="134" t="n">
        <f aca="false">AK15+AL15</f>
        <v>850.418956390219</v>
      </c>
      <c r="AN15" s="451"/>
      <c r="AO15" s="150" t="n">
        <v>7</v>
      </c>
      <c r="AP15" s="150"/>
      <c r="AQ15" s="158" t="n">
        <f aca="false">63.14*(Z15*1.9835+AC15*1.9835)/E15</f>
        <v>14.7485951171129</v>
      </c>
      <c r="AR15" s="136" t="n">
        <v>37.049</v>
      </c>
      <c r="AS15" s="97"/>
      <c r="AT15" s="11"/>
      <c r="AV15" s="102" t="n">
        <v>0</v>
      </c>
      <c r="AW15" s="103" t="n">
        <v>90</v>
      </c>
      <c r="AX15" s="103" t="n">
        <v>52</v>
      </c>
      <c r="AY15" s="294"/>
      <c r="AZ15" s="250" t="n">
        <f aca="false">SUM(N16,P15:U15)</f>
        <v>10.3740536837328</v>
      </c>
    </row>
    <row r="16" customFormat="false" ht="12.95" hidden="false" customHeight="true" outlineLevel="0" collapsed="false">
      <c r="A16" s="10" t="n">
        <f aca="false">A15+1</f>
        <v>2</v>
      </c>
      <c r="B16" s="357" t="n">
        <v>6913.61</v>
      </c>
      <c r="C16" s="94" t="n">
        <v>336628</v>
      </c>
      <c r="D16" s="103" t="n">
        <f aca="false">C16-C15</f>
        <v>-781</v>
      </c>
      <c r="E16" s="94" t="n">
        <f aca="false">C16-152000</f>
        <v>184628</v>
      </c>
      <c r="F16" s="141" t="n">
        <f aca="false">D16/$D$2</f>
        <v>-393.748424502143</v>
      </c>
      <c r="G16" s="134" t="n">
        <v>443</v>
      </c>
      <c r="H16" s="97" t="n">
        <v>0</v>
      </c>
      <c r="I16" s="134" t="n">
        <f aca="false">G16+H16</f>
        <v>443</v>
      </c>
      <c r="J16" s="366" t="n">
        <f aca="false">IF(L16&gt;0,L16,0)</f>
        <v>0</v>
      </c>
      <c r="K16" s="134" t="n">
        <f aca="false">I16+J16</f>
        <v>443</v>
      </c>
      <c r="L16" s="134" t="n">
        <f aca="false">F16-(I16-AK16)</f>
        <v>-3.74842450214265</v>
      </c>
      <c r="M16" s="137" t="n">
        <v>298</v>
      </c>
      <c r="N16" s="158" t="n">
        <f aca="false">(1.8299*1.03)/2</f>
        <v>0.9423985</v>
      </c>
      <c r="O16" s="367" t="n">
        <f aca="false">97*1.05</f>
        <v>101.85</v>
      </c>
      <c r="P16" s="158" t="n">
        <v>0</v>
      </c>
      <c r="Q16" s="336" t="n">
        <f aca="false">1905800/325851/1.9835*1.02</f>
        <v>3.00764262715485</v>
      </c>
      <c r="R16" s="131" t="n">
        <v>4.2</v>
      </c>
      <c r="S16" s="131" t="n">
        <f aca="false">((6*1.04)-T16)-4.2</f>
        <v>0.63399904</v>
      </c>
      <c r="T16" s="131" t="n">
        <f aca="false">(1.2754*1.06)*1.04</f>
        <v>1.40600096</v>
      </c>
      <c r="U16" s="355" t="n">
        <v>0</v>
      </c>
      <c r="V16" s="134" t="n">
        <v>148</v>
      </c>
      <c r="W16" s="134" t="n">
        <v>77</v>
      </c>
      <c r="X16" s="135" t="n">
        <f aca="false">M16-N16-O16-P16-Q16-R16-S16-T16-U16+V16+W16-AT16+AR16</f>
        <v>448.008958872845</v>
      </c>
      <c r="Y16" s="135" t="n">
        <f aca="false">X16-AO16</f>
        <v>441.008958872845</v>
      </c>
      <c r="Z16" s="107" t="n">
        <f aca="false">Z15-AA15</f>
        <v>19906.9093160521</v>
      </c>
      <c r="AA16" s="135" t="n">
        <f aca="false">Y16</f>
        <v>441.008958872845</v>
      </c>
      <c r="AB16" s="107"/>
      <c r="AC16" s="107" t="n">
        <f aca="false">AC15-(AQ15/1.9835)</f>
        <v>1458.40205901323</v>
      </c>
      <c r="AD16" s="107"/>
      <c r="AE16" s="134" t="n">
        <v>239</v>
      </c>
      <c r="AF16" s="137" t="n">
        <v>1.7</v>
      </c>
      <c r="AG16" s="138" t="n">
        <v>1.3</v>
      </c>
      <c r="AH16" s="134" t="n">
        <v>71</v>
      </c>
      <c r="AI16" s="80" t="n">
        <f aca="false">AI15-AH16</f>
        <v>12869.2578774893</v>
      </c>
      <c r="AJ16" s="134"/>
      <c r="AK16" s="134" t="n">
        <f aca="false">N17+O16+P16+Q16+R16+S16+T16+U16+X16+AE16+AH16-AR16</f>
        <v>833</v>
      </c>
      <c r="AL16" s="134" t="n">
        <f aca="false">IF(L16&lt;0,L16*-1,0)</f>
        <v>3.74842450214265</v>
      </c>
      <c r="AM16" s="134" t="n">
        <f aca="false">AK16+AL16</f>
        <v>836.748424502143</v>
      </c>
      <c r="AN16" s="451"/>
      <c r="AO16" s="150" t="n">
        <v>7</v>
      </c>
      <c r="AP16" s="150"/>
      <c r="AQ16" s="158" t="n">
        <f aca="false">63.14*(Z16*1.9835+AC16*1.9835)/E16</f>
        <v>14.4926713467058</v>
      </c>
      <c r="AR16" s="136" t="n">
        <v>37.049</v>
      </c>
      <c r="AS16" s="97"/>
      <c r="AT16" s="11"/>
      <c r="AV16" s="102" t="n">
        <v>0</v>
      </c>
      <c r="AW16" s="103" t="n">
        <v>88</v>
      </c>
      <c r="AX16" s="103" t="n">
        <v>53</v>
      </c>
      <c r="AY16" s="294"/>
      <c r="AZ16" s="250" t="n">
        <f aca="false">SUM(N17,P16:U16)</f>
        <v>10.1900411271548</v>
      </c>
    </row>
    <row r="17" customFormat="false" ht="12.95" hidden="false" customHeight="true" outlineLevel="0" collapsed="false">
      <c r="A17" s="10" t="n">
        <f aca="false">A16+1</f>
        <v>3</v>
      </c>
      <c r="B17" s="357" t="n">
        <v>6913.43</v>
      </c>
      <c r="C17" s="94" t="n">
        <v>335888</v>
      </c>
      <c r="D17" s="103" t="n">
        <f aca="false">C17-C16</f>
        <v>-740</v>
      </c>
      <c r="E17" s="94" t="n">
        <f aca="false">C17-152000</f>
        <v>183888</v>
      </c>
      <c r="F17" s="141" t="n">
        <f aca="false">D17/$D$2</f>
        <v>-373.077892614066</v>
      </c>
      <c r="G17" s="134" t="n">
        <v>409</v>
      </c>
      <c r="H17" s="97" t="n">
        <v>0</v>
      </c>
      <c r="I17" s="134" t="n">
        <f aca="false">G17+H17</f>
        <v>409</v>
      </c>
      <c r="J17" s="366" t="n">
        <f aca="false">IF(L17&gt;0,L17,0)</f>
        <v>7.92210738593394</v>
      </c>
      <c r="K17" s="134" t="n">
        <f aca="false">I17+J17</f>
        <v>416.922107385934</v>
      </c>
      <c r="L17" s="134" t="n">
        <f aca="false">F17-(I17-AK17)</f>
        <v>7.92210738593394</v>
      </c>
      <c r="M17" s="137" t="n">
        <v>303</v>
      </c>
      <c r="N17" s="158" t="n">
        <f aca="false">(1.8299*1.03)/2</f>
        <v>0.9423985</v>
      </c>
      <c r="O17" s="142" t="n">
        <f aca="false">102*1.05</f>
        <v>107.1</v>
      </c>
      <c r="P17" s="83" t="n">
        <v>0</v>
      </c>
      <c r="Q17" s="336" t="n">
        <f aca="false">2173600/325851/1.9835*1.02</f>
        <v>3.43027180941535</v>
      </c>
      <c r="R17" s="131" t="n">
        <v>4.2</v>
      </c>
      <c r="S17" s="131" t="n">
        <f aca="false">((6*1.04)-T17)-4.2</f>
        <v>0.63399904</v>
      </c>
      <c r="T17" s="131" t="n">
        <f aca="false">(1.2754*1.06)*1.04</f>
        <v>1.40600096</v>
      </c>
      <c r="U17" s="355" t="n">
        <v>0</v>
      </c>
      <c r="V17" s="134" t="n">
        <v>148</v>
      </c>
      <c r="W17" s="134" t="n">
        <v>77</v>
      </c>
      <c r="X17" s="135" t="n">
        <f aca="false">M17-N17-O17-P17-Q17-R17-S17-T17-U17+V17+W17-AT17+AR17</f>
        <v>447.336329690585</v>
      </c>
      <c r="Y17" s="135" t="n">
        <f aca="false">X17-AO17</f>
        <v>440.336329690585</v>
      </c>
      <c r="Z17" s="107" t="n">
        <f aca="false">Z16-AA16</f>
        <v>19465.9003571793</v>
      </c>
      <c r="AA17" s="135" t="n">
        <f aca="false">Y17</f>
        <v>440.336329690585</v>
      </c>
      <c r="AB17" s="107"/>
      <c r="AC17" s="107" t="n">
        <f aca="false">AC16-(AQ16/1.9835)</f>
        <v>1451.09544376407</v>
      </c>
      <c r="AD17" s="107"/>
      <c r="AE17" s="134" t="n">
        <v>191</v>
      </c>
      <c r="AF17" s="137" t="n">
        <v>1.7</v>
      </c>
      <c r="AG17" s="138" t="n">
        <v>1.3</v>
      </c>
      <c r="AH17" s="134" t="n">
        <v>71</v>
      </c>
      <c r="AI17" s="80" t="n">
        <f aca="false">AI16-AH17</f>
        <v>12798.2578774893</v>
      </c>
      <c r="AJ17" s="134"/>
      <c r="AK17" s="134" t="n">
        <f aca="false">N18+O17+P17+Q17+R17+S17+T17+U17+X17+AE17+AH17-AR17</f>
        <v>790</v>
      </c>
      <c r="AL17" s="134" t="n">
        <f aca="false">IF(L17&lt;0,L17*-1,0)</f>
        <v>0</v>
      </c>
      <c r="AM17" s="134" t="n">
        <f aca="false">AK17+AL17</f>
        <v>790</v>
      </c>
      <c r="AN17" s="451"/>
      <c r="AO17" s="150" t="n">
        <v>7</v>
      </c>
      <c r="AP17" s="150"/>
      <c r="AQ17" s="158" t="n">
        <f aca="false">63.14*(Z17*1.9835+AC17*1.9835)/E17</f>
        <v>14.2456641779113</v>
      </c>
      <c r="AR17" s="136" t="n">
        <v>37.049</v>
      </c>
      <c r="AS17" s="97"/>
      <c r="AT17" s="11"/>
      <c r="AU17" s="0"/>
      <c r="AV17" s="102" t="n">
        <v>0</v>
      </c>
      <c r="AW17" s="103" t="n">
        <v>92</v>
      </c>
      <c r="AX17" s="103" t="n">
        <v>53</v>
      </c>
      <c r="AY17" s="294"/>
      <c r="AZ17" s="250" t="n">
        <f aca="false">SUM(N17,P17:U17)</f>
        <v>10.6126703094154</v>
      </c>
    </row>
    <row r="18" customFormat="false" ht="12.95" hidden="false" customHeight="true" outlineLevel="0" collapsed="false">
      <c r="A18" s="10" t="n">
        <f aca="false">A17+1</f>
        <v>4</v>
      </c>
      <c r="B18" s="357" t="n">
        <v>6913.22</v>
      </c>
      <c r="C18" s="94" t="n">
        <v>335025</v>
      </c>
      <c r="D18" s="103" t="n">
        <f aca="false">C18-C17</f>
        <v>-863</v>
      </c>
      <c r="E18" s="94" t="n">
        <f aca="false">C18-152000</f>
        <v>183025</v>
      </c>
      <c r="F18" s="141" t="n">
        <f aca="false">D18/$D$2</f>
        <v>-435.089488278296</v>
      </c>
      <c r="G18" s="134" t="n">
        <v>382</v>
      </c>
      <c r="H18" s="97" t="n">
        <v>0</v>
      </c>
      <c r="I18" s="134" t="n">
        <f aca="false">G18+H18</f>
        <v>382</v>
      </c>
      <c r="J18" s="366" t="n">
        <f aca="false">IF(L18&gt;0,L18,0)</f>
        <v>0</v>
      </c>
      <c r="K18" s="134" t="n">
        <f aca="false">I18+J18</f>
        <v>382</v>
      </c>
      <c r="L18" s="134" t="n">
        <f aca="false">F18-(I18-AK18)</f>
        <v>-16.089488278296</v>
      </c>
      <c r="M18" s="137" t="n">
        <v>288</v>
      </c>
      <c r="N18" s="158" t="n">
        <f aca="false">(1.8299*1.03)/2</f>
        <v>0.9423985</v>
      </c>
      <c r="O18" s="142" t="n">
        <f aca="false">93*1.05</f>
        <v>97.65</v>
      </c>
      <c r="P18" s="83" t="n">
        <v>0</v>
      </c>
      <c r="Q18" s="336" t="n">
        <f aca="false">2085600/325851/1.9835*1.02</f>
        <v>3.29139440822444</v>
      </c>
      <c r="R18" s="131" t="n">
        <v>4.2</v>
      </c>
      <c r="S18" s="131" t="n">
        <f aca="false">((6*1.04)-T18)-4.2</f>
        <v>0.63399904</v>
      </c>
      <c r="T18" s="131" t="n">
        <f aca="false">(1.2754*1.06)*1.04</f>
        <v>1.40600096</v>
      </c>
      <c r="U18" s="355" t="n">
        <v>0</v>
      </c>
      <c r="V18" s="134" t="n">
        <v>150</v>
      </c>
      <c r="W18" s="134" t="n">
        <v>77</v>
      </c>
      <c r="X18" s="135" t="n">
        <f aca="false">M18-N18-O18-P18-Q18-R18-S18-T18-U18+V18+W18-AT18+AR18</f>
        <v>443.925207091776</v>
      </c>
      <c r="Y18" s="135" t="n">
        <f aca="false">X18-AO18</f>
        <v>436.925207091776</v>
      </c>
      <c r="Z18" s="107" t="n">
        <f aca="false">Z17-AA17</f>
        <v>19025.5640274887</v>
      </c>
      <c r="AA18" s="135" t="n">
        <f aca="false">Y18</f>
        <v>436.925207091776</v>
      </c>
      <c r="AB18" s="107"/>
      <c r="AC18" s="107" t="n">
        <f aca="false">AC17-(AQ17/1.9835)</f>
        <v>1443.91335947977</v>
      </c>
      <c r="AD18" s="107"/>
      <c r="AE18" s="134" t="n">
        <v>215</v>
      </c>
      <c r="AF18" s="137" t="n">
        <v>1.7</v>
      </c>
      <c r="AG18" s="138" t="n">
        <v>1.3</v>
      </c>
      <c r="AH18" s="134" t="n">
        <v>71</v>
      </c>
      <c r="AI18" s="80" t="n">
        <f aca="false">AI17-AH18</f>
        <v>12727.2578774893</v>
      </c>
      <c r="AJ18" s="134"/>
      <c r="AK18" s="134" t="n">
        <f aca="false">N19+O18+P18+Q18+R18+S18+T18+U18+X18+AE18+AH18-AR18</f>
        <v>801</v>
      </c>
      <c r="AL18" s="134" t="n">
        <f aca="false">IF(L18&lt;0,L18*-1,0)</f>
        <v>16.089488278296</v>
      </c>
      <c r="AM18" s="134" t="n">
        <f aca="false">AK18+AL18</f>
        <v>817.089488278296</v>
      </c>
      <c r="AN18" s="451"/>
      <c r="AO18" s="150" t="n">
        <v>7</v>
      </c>
      <c r="AP18" s="150"/>
      <c r="AQ18" s="158" t="n">
        <f aca="false">63.14*(Z18*1.9835+AC18*1.9835)/E18</f>
        <v>14.0066127479298</v>
      </c>
      <c r="AR18" s="136" t="n">
        <v>37.049</v>
      </c>
      <c r="AS18" s="97"/>
      <c r="AT18" s="11"/>
      <c r="AV18" s="102" t="n">
        <v>0</v>
      </c>
      <c r="AW18" s="103" t="n">
        <v>91</v>
      </c>
      <c r="AX18" s="103" t="n">
        <v>55</v>
      </c>
      <c r="AY18" s="294"/>
      <c r="AZ18" s="250" t="n">
        <f aca="false">SUM(N18,P18:U18)</f>
        <v>10.4737929082244</v>
      </c>
    </row>
    <row r="19" customFormat="false" ht="12.95" hidden="false" customHeight="true" outlineLevel="0" collapsed="false">
      <c r="A19" s="10" t="n">
        <f aca="false">A18+1</f>
        <v>5</v>
      </c>
      <c r="B19" s="357" t="n">
        <v>6912.99</v>
      </c>
      <c r="C19" s="94" t="n">
        <v>334081</v>
      </c>
      <c r="D19" s="103" t="n">
        <f aca="false">C19-C18</f>
        <v>-944</v>
      </c>
      <c r="E19" s="94" t="n">
        <f aca="false">C19-152000</f>
        <v>182081</v>
      </c>
      <c r="F19" s="141" t="n">
        <f aca="false">D19/$D$2</f>
        <v>-475.926392740106</v>
      </c>
      <c r="G19" s="134" t="n">
        <v>368</v>
      </c>
      <c r="H19" s="97" t="n">
        <v>0</v>
      </c>
      <c r="I19" s="134" t="n">
        <f aca="false">G19+H19</f>
        <v>368</v>
      </c>
      <c r="J19" s="366" t="n">
        <f aca="false">IF(L19&gt;0,L19,0)</f>
        <v>0</v>
      </c>
      <c r="K19" s="134" t="n">
        <f aca="false">I19+J19</f>
        <v>368</v>
      </c>
      <c r="L19" s="134" t="n">
        <f aca="false">F19-(I19-AK19)</f>
        <v>-30.9263927401059</v>
      </c>
      <c r="M19" s="137" t="n">
        <v>304</v>
      </c>
      <c r="N19" s="158" t="n">
        <f aca="false">(1.8299*1.03)/2</f>
        <v>0.9423985</v>
      </c>
      <c r="O19" s="142" t="n">
        <f aca="false">119*1.05</f>
        <v>124.95</v>
      </c>
      <c r="P19" s="83" t="n">
        <v>0</v>
      </c>
      <c r="Q19" s="336" t="n">
        <f aca="false">1820900/325851/1.9835*1.02</f>
        <v>2.87365749805135</v>
      </c>
      <c r="R19" s="131" t="n">
        <v>4.2</v>
      </c>
      <c r="S19" s="131" t="n">
        <f aca="false">((7.5*1.04)-T19)-4.2</f>
        <v>2.19399904</v>
      </c>
      <c r="T19" s="131" t="n">
        <f aca="false">(1.2754*1.06)*1.04</f>
        <v>1.40600096</v>
      </c>
      <c r="U19" s="355" t="n">
        <v>0</v>
      </c>
      <c r="V19" s="134" t="n">
        <v>152</v>
      </c>
      <c r="W19" s="134" t="n">
        <v>78</v>
      </c>
      <c r="X19" s="135" t="n">
        <f aca="false">M19-N19-O19-P19-Q19-R19-S19-T19-U19+V19+W19-AT19+AR19</f>
        <v>434.482944001949</v>
      </c>
      <c r="Y19" s="135" t="n">
        <f aca="false">X19-AO19</f>
        <v>427.482944001949</v>
      </c>
      <c r="Z19" s="107" t="n">
        <f aca="false">Z18-AA18</f>
        <v>18588.6388203969</v>
      </c>
      <c r="AA19" s="135" t="n">
        <f aca="false">Y19</f>
        <v>427.482944001949</v>
      </c>
      <c r="AB19" s="107"/>
      <c r="AC19" s="107" t="n">
        <f aca="false">AC18-(AQ18/1.9835)</f>
        <v>1436.8517952005</v>
      </c>
      <c r="AD19" s="107"/>
      <c r="AE19" s="134" t="n">
        <v>208</v>
      </c>
      <c r="AF19" s="137" t="n">
        <v>1.7</v>
      </c>
      <c r="AG19" s="138" t="n">
        <v>1.3</v>
      </c>
      <c r="AH19" s="134" t="n">
        <v>71</v>
      </c>
      <c r="AI19" s="80" t="n">
        <f aca="false">AI18-AH19</f>
        <v>12656.2578774893</v>
      </c>
      <c r="AJ19" s="134"/>
      <c r="AK19" s="134" t="n">
        <f aca="false">N20+O19+P19+Q19+R19+S19+T19+U19+X19+AE19+AH19-AR19</f>
        <v>813</v>
      </c>
      <c r="AL19" s="134" t="n">
        <f aca="false">IF(L19&lt;0,L19*-1,0)</f>
        <v>30.9263927401059</v>
      </c>
      <c r="AM19" s="134" t="n">
        <f aca="false">AK19+AL19</f>
        <v>843.926392740106</v>
      </c>
      <c r="AN19" s="451"/>
      <c r="AO19" s="150" t="n">
        <v>7</v>
      </c>
      <c r="AP19" s="150"/>
      <c r="AQ19" s="158" t="n">
        <f aca="false">63.14*(Z19*1.9835+AC19*1.9835)/E19</f>
        <v>13.7738489933568</v>
      </c>
      <c r="AR19" s="136" t="n">
        <v>37.049</v>
      </c>
      <c r="AS19" s="97"/>
      <c r="AT19" s="11"/>
      <c r="AV19" s="102" t="n">
        <v>0</v>
      </c>
      <c r="AW19" s="103" t="n">
        <v>87</v>
      </c>
      <c r="AX19" s="103" t="n">
        <v>53</v>
      </c>
      <c r="AY19" s="294"/>
      <c r="AZ19" s="250" t="n">
        <f aca="false">SUM(N19,P19:U19)</f>
        <v>11.6160559980513</v>
      </c>
    </row>
    <row r="20" customFormat="false" ht="12.95" hidden="false" customHeight="true" outlineLevel="0" collapsed="false">
      <c r="A20" s="10" t="n">
        <f aca="false">A19+1</f>
        <v>6</v>
      </c>
      <c r="B20" s="357" t="n">
        <v>6912.78</v>
      </c>
      <c r="C20" s="94" t="n">
        <v>333224</v>
      </c>
      <c r="D20" s="103" t="n">
        <f aca="false">C20-C19</f>
        <v>-857</v>
      </c>
      <c r="E20" s="94" t="n">
        <f aca="false">C20-152000</f>
        <v>181224</v>
      </c>
      <c r="F20" s="141" t="n">
        <f aca="false">D20/$D$2</f>
        <v>-432.064532392236</v>
      </c>
      <c r="G20" s="134" t="n">
        <v>354</v>
      </c>
      <c r="H20" s="97" t="n">
        <v>0</v>
      </c>
      <c r="I20" s="134" t="n">
        <f aca="false">G20+H20</f>
        <v>354</v>
      </c>
      <c r="J20" s="366" t="n">
        <f aca="false">IF(L20&gt;0,L20,0)</f>
        <v>17.9354676077641</v>
      </c>
      <c r="K20" s="134" t="n">
        <f aca="false">I20+J20</f>
        <v>371.935467607764</v>
      </c>
      <c r="L20" s="134" t="n">
        <f aca="false">F20-(I20-AK20)</f>
        <v>17.9354676077641</v>
      </c>
      <c r="M20" s="137" t="n">
        <v>289</v>
      </c>
      <c r="N20" s="158" t="n">
        <f aca="false">(1.8299*1.03)/2</f>
        <v>0.9423985</v>
      </c>
      <c r="O20" s="142" t="n">
        <f aca="false">120*1.05</f>
        <v>126</v>
      </c>
      <c r="P20" s="83" t="n">
        <v>0</v>
      </c>
      <c r="Q20" s="336" t="n">
        <f aca="false">2057200/325851/1.9835*1.02</f>
        <v>3.24657488329465</v>
      </c>
      <c r="R20" s="131" t="n">
        <v>4.2</v>
      </c>
      <c r="S20" s="131" t="n">
        <f aca="false">((7.5*1.04)-T20)-4.2</f>
        <v>2.19399904</v>
      </c>
      <c r="T20" s="131" t="n">
        <f aca="false">(1.2754*1.06)*1.04</f>
        <v>1.40600096</v>
      </c>
      <c r="U20" s="355" t="n">
        <v>0</v>
      </c>
      <c r="V20" s="134" t="n">
        <v>151</v>
      </c>
      <c r="W20" s="134" t="n">
        <v>78</v>
      </c>
      <c r="X20" s="135" t="n">
        <f aca="false">M20-N20-O20-P20-Q20-R20-S20-T20-U20+V20+W20-AT20+AR20</f>
        <v>417.060026616705</v>
      </c>
      <c r="Y20" s="135" t="n">
        <f aca="false">X20-AO20</f>
        <v>410.060026616705</v>
      </c>
      <c r="Z20" s="107" t="n">
        <f aca="false">Z19-AA19</f>
        <v>18161.155876395</v>
      </c>
      <c r="AA20" s="135" t="n">
        <f aca="false">Y20</f>
        <v>410.060026616705</v>
      </c>
      <c r="AB20" s="107"/>
      <c r="AC20" s="107" t="n">
        <f aca="false">AC19-(AQ19/1.9835)</f>
        <v>1429.90758093614</v>
      </c>
      <c r="AD20" s="107"/>
      <c r="AE20" s="134" t="n">
        <v>215</v>
      </c>
      <c r="AF20" s="137" t="n">
        <v>1.7</v>
      </c>
      <c r="AG20" s="138" t="n">
        <v>1.3</v>
      </c>
      <c r="AH20" s="134" t="n">
        <v>71</v>
      </c>
      <c r="AI20" s="80" t="n">
        <f aca="false">AI19-AH20</f>
        <v>12585.2578774893</v>
      </c>
      <c r="AJ20" s="134"/>
      <c r="AK20" s="134" t="n">
        <f aca="false">N21+O20+P20+Q20+R20+S20+T20+U20+X20+AE20+AH20-AR20</f>
        <v>804</v>
      </c>
      <c r="AL20" s="134" t="n">
        <f aca="false">IF(L20&lt;0,L20*-1,0)</f>
        <v>0</v>
      </c>
      <c r="AM20" s="134" t="n">
        <f aca="false">AK20+AL20</f>
        <v>804</v>
      </c>
      <c r="AN20" s="451"/>
      <c r="AO20" s="150" t="n">
        <v>7</v>
      </c>
      <c r="AP20" s="150"/>
      <c r="AQ20" s="158" t="n">
        <f aca="false">63.14*(Z20*1.9835+AC20*1.9835)/E20</f>
        <v>13.5387659888938</v>
      </c>
      <c r="AR20" s="136" t="n">
        <v>37.049</v>
      </c>
      <c r="AS20" s="97"/>
      <c r="AT20" s="11"/>
      <c r="AV20" s="102" t="n">
        <v>0</v>
      </c>
      <c r="AW20" s="103" t="n">
        <v>84</v>
      </c>
      <c r="AX20" s="103" t="n">
        <v>46</v>
      </c>
      <c r="AY20" s="294"/>
      <c r="AZ20" s="250" t="n">
        <f aca="false">SUM(N20,P20:U20)</f>
        <v>11.9889733832947</v>
      </c>
    </row>
    <row r="21" customFormat="false" ht="12.95" hidden="false" customHeight="true" outlineLevel="0" collapsed="false">
      <c r="A21" s="10" t="n">
        <f aca="false">A20+1</f>
        <v>7</v>
      </c>
      <c r="B21" s="357" t="n">
        <v>6912.55</v>
      </c>
      <c r="C21" s="94" t="n">
        <v>332287</v>
      </c>
      <c r="D21" s="103" t="n">
        <f aca="false">C21-C20</f>
        <v>-937</v>
      </c>
      <c r="E21" s="94" t="n">
        <f aca="false">C21-152000</f>
        <v>180287</v>
      </c>
      <c r="F21" s="141" t="n">
        <f aca="false">D21/$D$2</f>
        <v>-472.397277539703</v>
      </c>
      <c r="G21" s="134" t="n">
        <v>322</v>
      </c>
      <c r="H21" s="97" t="n">
        <v>0</v>
      </c>
      <c r="I21" s="134" t="n">
        <f aca="false">G21+H21</f>
        <v>322</v>
      </c>
      <c r="J21" s="366" t="n">
        <f aca="false">IF(L21&gt;0,L21,0)</f>
        <v>0</v>
      </c>
      <c r="K21" s="134" t="n">
        <f aca="false">I21+J21</f>
        <v>322</v>
      </c>
      <c r="L21" s="134" t="n">
        <f aca="false">F21-(I21-AK21)</f>
        <v>-13.3972775397025</v>
      </c>
      <c r="M21" s="137" t="n">
        <v>274</v>
      </c>
      <c r="N21" s="158" t="n">
        <f aca="false">(1.8299*1.03)/2</f>
        <v>0.9423985</v>
      </c>
      <c r="O21" s="142" t="n">
        <f aca="false">98*1.05</f>
        <v>102.9</v>
      </c>
      <c r="P21" s="83" t="n">
        <v>0</v>
      </c>
      <c r="Q21" s="336" t="n">
        <f aca="false">2176500/325851/1.9835*1.02</f>
        <v>3.4348484510455</v>
      </c>
      <c r="R21" s="131" t="n">
        <v>4.2</v>
      </c>
      <c r="S21" s="131" t="n">
        <f aca="false">((8*1.04)-T21)-4.2</f>
        <v>2.71399904</v>
      </c>
      <c r="T21" s="131" t="n">
        <f aca="false">(1.2754*1.06)*1.04</f>
        <v>1.40600096</v>
      </c>
      <c r="U21" s="355" t="n">
        <v>0</v>
      </c>
      <c r="V21" s="134" t="n">
        <v>151</v>
      </c>
      <c r="W21" s="134" t="n">
        <v>77</v>
      </c>
      <c r="X21" s="135" t="n">
        <f aca="false">M21-N21-O21-P21-Q21-R21-S21-T21-U21+V21+W21-AT21+AR21</f>
        <v>423.451753048954</v>
      </c>
      <c r="Y21" s="135" t="n">
        <f aca="false">X21-AO21</f>
        <v>416.451753048955</v>
      </c>
      <c r="Z21" s="107" t="n">
        <f aca="false">Z20-AA20</f>
        <v>17751.0958497783</v>
      </c>
      <c r="AA21" s="135" t="n">
        <f aca="false">Y21</f>
        <v>416.451753048955</v>
      </c>
      <c r="AB21" s="107"/>
      <c r="AC21" s="107" t="n">
        <f aca="false">AC20-(AQ20/1.9835)</f>
        <v>1423.08188595813</v>
      </c>
      <c r="AD21" s="107"/>
      <c r="AE21" s="134" t="n">
        <v>208</v>
      </c>
      <c r="AF21" s="137" t="n">
        <v>1.7</v>
      </c>
      <c r="AG21" s="138" t="n">
        <v>1.3</v>
      </c>
      <c r="AH21" s="134" t="n">
        <v>71</v>
      </c>
      <c r="AI21" s="80" t="n">
        <f aca="false">AI20-AH21</f>
        <v>12514.2578774893</v>
      </c>
      <c r="AJ21" s="134"/>
      <c r="AK21" s="134" t="n">
        <f aca="false">N22+O21+P21+Q21+R21+S21+T21+U21+X21+AE21+AH21-AR21</f>
        <v>781</v>
      </c>
      <c r="AL21" s="134" t="n">
        <f aca="false">IF(L21&lt;0,L21*-1,0)</f>
        <v>13.3972775397025</v>
      </c>
      <c r="AM21" s="134" t="n">
        <f aca="false">AK21+AL21</f>
        <v>794.397277539703</v>
      </c>
      <c r="AN21" s="451"/>
      <c r="AO21" s="150" t="n">
        <v>7</v>
      </c>
      <c r="AP21" s="150"/>
      <c r="AQ21" s="158" t="n">
        <f aca="false">63.14*(Z21*1.9835+AC21*1.9835)/E21</f>
        <v>13.3195367073717</v>
      </c>
      <c r="AR21" s="136" t="n">
        <v>37.049</v>
      </c>
      <c r="AS21" s="97"/>
      <c r="AT21" s="11"/>
      <c r="AV21" s="102" t="n">
        <v>0</v>
      </c>
      <c r="AW21" s="103" t="n">
        <v>80</v>
      </c>
      <c r="AX21" s="103" t="n">
        <v>50</v>
      </c>
      <c r="AY21" s="294"/>
      <c r="AZ21" s="250" t="n">
        <f aca="false">SUM(N21,P21:U21)</f>
        <v>12.6972469510455</v>
      </c>
    </row>
    <row r="22" customFormat="false" ht="12.95" hidden="false" customHeight="true" outlineLevel="0" collapsed="false">
      <c r="A22" s="10" t="n">
        <f aca="false">A21+1</f>
        <v>8</v>
      </c>
      <c r="B22" s="357" t="n">
        <v>6912.28</v>
      </c>
      <c r="C22" s="94" t="n">
        <v>331186</v>
      </c>
      <c r="D22" s="103" t="n">
        <f aca="false">C22-C21</f>
        <v>-1101</v>
      </c>
      <c r="E22" s="94" t="n">
        <f aca="false">C22-152000</f>
        <v>179186</v>
      </c>
      <c r="F22" s="141" t="n">
        <f aca="false">D22/$D$2</f>
        <v>-555.079405092009</v>
      </c>
      <c r="G22" s="134" t="n">
        <v>295</v>
      </c>
      <c r="H22" s="97" t="n">
        <v>0</v>
      </c>
      <c r="I22" s="134" t="n">
        <f aca="false">G22+H22</f>
        <v>295</v>
      </c>
      <c r="J22" s="366" t="n">
        <f aca="false">IF(L22&gt;0,L22,0)</f>
        <v>0</v>
      </c>
      <c r="K22" s="134" t="n">
        <f aca="false">I22+J22</f>
        <v>295</v>
      </c>
      <c r="L22" s="134" t="n">
        <f aca="false">F22-(I22-AK22)</f>
        <v>-30.0794050920091</v>
      </c>
      <c r="M22" s="137" t="n">
        <v>309</v>
      </c>
      <c r="N22" s="158" t="n">
        <f aca="false">(1.8299*1.03)/2</f>
        <v>0.9423985</v>
      </c>
      <c r="O22" s="142" t="n">
        <f aca="false">123*1.05</f>
        <v>129.15</v>
      </c>
      <c r="P22" s="83" t="n">
        <v>0</v>
      </c>
      <c r="Q22" s="336" t="n">
        <f aca="false">1904000/325851/1.9835*1.02</f>
        <v>3.00480195303958</v>
      </c>
      <c r="R22" s="131" t="n">
        <v>4.2</v>
      </c>
      <c r="S22" s="131" t="n">
        <f aca="false">((8*1.04)-T22)-4.2</f>
        <v>2.65171344</v>
      </c>
      <c r="T22" s="131" t="n">
        <f aca="false">(1.3319*1.06)*1.04</f>
        <v>1.46828656</v>
      </c>
      <c r="U22" s="355" t="n">
        <v>0</v>
      </c>
      <c r="V22" s="134" t="n">
        <v>145</v>
      </c>
      <c r="W22" s="134" t="n">
        <v>77</v>
      </c>
      <c r="X22" s="135" t="n">
        <f aca="false">M22-N22-O22-P22-Q22-R22-S22-T22-U22+V22+W22-AT22+AR22</f>
        <v>426.63179954696</v>
      </c>
      <c r="Y22" s="135" t="n">
        <f aca="false">X22-AO22</f>
        <v>419.63179954696</v>
      </c>
      <c r="Z22" s="107" t="n">
        <f aca="false">Z21-AA21</f>
        <v>17334.6440967293</v>
      </c>
      <c r="AA22" s="135" t="n">
        <f aca="false">Y22</f>
        <v>419.63179954696</v>
      </c>
      <c r="AB22" s="107"/>
      <c r="AC22" s="107" t="n">
        <f aca="false">AC21-(AQ21/1.9835)</f>
        <v>1416.36671746437</v>
      </c>
      <c r="AD22" s="107"/>
      <c r="AE22" s="134" t="n">
        <v>218</v>
      </c>
      <c r="AF22" s="137" t="n">
        <v>1.7</v>
      </c>
      <c r="AG22" s="138" t="n">
        <v>1.3</v>
      </c>
      <c r="AH22" s="134" t="n">
        <v>71</v>
      </c>
      <c r="AI22" s="80" t="n">
        <f aca="false">AI21-AH22</f>
        <v>12443.2578774893</v>
      </c>
      <c r="AJ22" s="134"/>
      <c r="AK22" s="134" t="n">
        <f aca="false">N23+O22+P22+Q22+R22+S22+T22+U22+X22+AE22+AH22-AR22</f>
        <v>820</v>
      </c>
      <c r="AL22" s="134" t="n">
        <f aca="false">IF(L22&lt;0,L22*-1,0)</f>
        <v>30.0794050920091</v>
      </c>
      <c r="AM22" s="134" t="n">
        <f aca="false">AK22+AL22</f>
        <v>850.079405092009</v>
      </c>
      <c r="AN22" s="451"/>
      <c r="AO22" s="150" t="n">
        <v>7</v>
      </c>
      <c r="AP22" s="150"/>
      <c r="AQ22" s="158" t="n">
        <f aca="false">63.14*(Z22*1.9835+AC22*1.9835)/E22</f>
        <v>13.1056145850683</v>
      </c>
      <c r="AR22" s="136" t="n">
        <v>37.049</v>
      </c>
      <c r="AS22" s="97"/>
      <c r="AT22" s="11"/>
      <c r="AV22" s="102" t="n">
        <v>0</v>
      </c>
      <c r="AW22" s="103" t="n">
        <v>84</v>
      </c>
      <c r="AX22" s="103" t="n">
        <v>49</v>
      </c>
      <c r="AY22" s="294"/>
      <c r="AZ22" s="250" t="n">
        <f aca="false">SUM(N22,P22:U22)</f>
        <v>12.2672004530396</v>
      </c>
    </row>
    <row r="23" customFormat="false" ht="12.95" hidden="false" customHeight="true" outlineLevel="0" collapsed="false">
      <c r="A23" s="10" t="n">
        <f aca="false">A22+1</f>
        <v>9</v>
      </c>
      <c r="B23" s="357" t="n">
        <v>6912.02</v>
      </c>
      <c r="C23" s="94" t="n">
        <v>330126</v>
      </c>
      <c r="D23" s="103" t="n">
        <f aca="false">C23-C22</f>
        <v>-1060</v>
      </c>
      <c r="E23" s="94" t="n">
        <f aca="false">C23-152000</f>
        <v>178126</v>
      </c>
      <c r="F23" s="141" t="n">
        <f aca="false">D23/$D$2</f>
        <v>-534.408873203932</v>
      </c>
      <c r="G23" s="134" t="n">
        <v>289</v>
      </c>
      <c r="H23" s="97" t="n">
        <v>0</v>
      </c>
      <c r="I23" s="134" t="n">
        <f aca="false">G23+H23</f>
        <v>289</v>
      </c>
      <c r="J23" s="366" t="n">
        <f aca="false">IF(L23&gt;0,L23,0)</f>
        <v>0</v>
      </c>
      <c r="K23" s="134" t="n">
        <f aca="false">I23+J23</f>
        <v>289</v>
      </c>
      <c r="L23" s="134" t="n">
        <f aca="false">F23-(I23-AK23)</f>
        <v>-43.4088732039325</v>
      </c>
      <c r="M23" s="137" t="n">
        <v>307</v>
      </c>
      <c r="N23" s="158" t="n">
        <f aca="false">(1.8299*1.03)/2</f>
        <v>0.9423985</v>
      </c>
      <c r="O23" s="142" t="n">
        <f aca="false">121*1.05</f>
        <v>127.05</v>
      </c>
      <c r="P23" s="83" t="n">
        <v>0</v>
      </c>
      <c r="Q23" s="336" t="n">
        <f aca="false">1958000/325851/1.9835*1.02</f>
        <v>3.09002217649763</v>
      </c>
      <c r="R23" s="131" t="n">
        <v>4.2</v>
      </c>
      <c r="S23" s="131" t="n">
        <f aca="false">((8*1.04)-T23)-4.2</f>
        <v>2.65171344</v>
      </c>
      <c r="T23" s="131" t="n">
        <f aca="false">(1.3319*1.06)*1.04</f>
        <v>1.46828656</v>
      </c>
      <c r="U23" s="355" t="n">
        <v>0</v>
      </c>
      <c r="V23" s="134" t="n">
        <v>142</v>
      </c>
      <c r="W23" s="134" t="n">
        <v>77</v>
      </c>
      <c r="X23" s="135" t="n">
        <f aca="false">M23-N23-O23-P23-Q23-R23-S23-T23-U23+V23+W23-AT23+AR23</f>
        <v>423.646579323502</v>
      </c>
      <c r="Y23" s="135" t="n">
        <f aca="false">X23-AO23</f>
        <v>416.646579323502</v>
      </c>
      <c r="Z23" s="107" t="n">
        <f aca="false">Z22-AA22</f>
        <v>16915.0122971823</v>
      </c>
      <c r="AA23" s="135" t="n">
        <f aca="false">Y23</f>
        <v>416.646579323502</v>
      </c>
      <c r="AB23" s="107"/>
      <c r="AC23" s="107" t="n">
        <f aca="false">AC22-(AQ22/1.9835)</f>
        <v>1409.75939980111</v>
      </c>
      <c r="AD23" s="107"/>
      <c r="AE23" s="134" t="n">
        <v>183</v>
      </c>
      <c r="AF23" s="137" t="n">
        <v>1.7</v>
      </c>
      <c r="AG23" s="138" t="n">
        <v>1.3</v>
      </c>
      <c r="AH23" s="134" t="n">
        <v>71</v>
      </c>
      <c r="AI23" s="80" t="n">
        <f aca="false">AI22-AH23</f>
        <v>12372.2578774893</v>
      </c>
      <c r="AJ23" s="134"/>
      <c r="AK23" s="134" t="n">
        <f aca="false">N24+O23+P23+Q23+R23+S23+T23+U23+X23+AE23+AH23-AR23</f>
        <v>780</v>
      </c>
      <c r="AL23" s="134" t="n">
        <f aca="false">IF(L23&lt;0,L23*-1,0)</f>
        <v>43.4088732039325</v>
      </c>
      <c r="AM23" s="134" t="n">
        <f aca="false">AK23+AL23</f>
        <v>823.408873203933</v>
      </c>
      <c r="AN23" s="451"/>
      <c r="AO23" s="150" t="n">
        <v>7</v>
      </c>
      <c r="AP23" s="150"/>
      <c r="AQ23" s="158" t="n">
        <f aca="false">63.14*(Z23*1.9835+AC23*1.9835)/E23</f>
        <v>12.8839205926896</v>
      </c>
      <c r="AR23" s="136" t="n">
        <v>37.049</v>
      </c>
      <c r="AS23" s="97"/>
      <c r="AT23" s="11"/>
      <c r="AV23" s="102" t="n">
        <v>0</v>
      </c>
      <c r="AW23" s="103" t="n">
        <v>82</v>
      </c>
      <c r="AX23" s="103" t="n">
        <v>50</v>
      </c>
      <c r="AY23" s="294"/>
      <c r="AZ23" s="250" t="n">
        <f aca="false">SUM(N23,P23:U23)</f>
        <v>12.3524206764976</v>
      </c>
    </row>
    <row r="24" customFormat="false" ht="12.95" hidden="false" customHeight="true" outlineLevel="0" collapsed="false">
      <c r="A24" s="10" t="n">
        <f aca="false">A23+1</f>
        <v>10</v>
      </c>
      <c r="B24" s="357" t="n">
        <v>6911.75</v>
      </c>
      <c r="C24" s="94" t="n">
        <v>329033</v>
      </c>
      <c r="D24" s="103" t="n">
        <f aca="false">C24-C23</f>
        <v>-1093</v>
      </c>
      <c r="E24" s="94" t="n">
        <f aca="false">C24-152000</f>
        <v>177033</v>
      </c>
      <c r="F24" s="141" t="n">
        <f aca="false">D24/$D$2</f>
        <v>-551.046130577262</v>
      </c>
      <c r="G24" s="134" t="n">
        <v>264</v>
      </c>
      <c r="H24" s="97" t="n">
        <v>0</v>
      </c>
      <c r="I24" s="134" t="n">
        <f aca="false">G24+H24</f>
        <v>264</v>
      </c>
      <c r="J24" s="366" t="n">
        <f aca="false">IF(L24&gt;0,L24,0)</f>
        <v>0</v>
      </c>
      <c r="K24" s="134" t="n">
        <f aca="false">I24+J24</f>
        <v>264</v>
      </c>
      <c r="L24" s="134" t="n">
        <f aca="false">F24-(I24-AK24)</f>
        <v>-48.0461305772624</v>
      </c>
      <c r="M24" s="137" t="n">
        <v>302</v>
      </c>
      <c r="N24" s="158" t="n">
        <f aca="false">(1.8299*1.03)/2</f>
        <v>0.9423985</v>
      </c>
      <c r="O24" s="142" t="n">
        <f aca="false">121*1.05</f>
        <v>127.05</v>
      </c>
      <c r="P24" s="83" t="n">
        <v>0</v>
      </c>
      <c r="Q24" s="336" t="n">
        <f aca="false">2251500/325851/1.9835*1.02</f>
        <v>3.55320987251502</v>
      </c>
      <c r="R24" s="131" t="n">
        <v>4.2</v>
      </c>
      <c r="S24" s="131" t="n">
        <f aca="false">((8*1.04)-T24)-4.2</f>
        <v>2.65171344</v>
      </c>
      <c r="T24" s="131" t="n">
        <f aca="false">(1.3319*1.06)*1.04</f>
        <v>1.46828656</v>
      </c>
      <c r="U24" s="355" t="n">
        <v>0</v>
      </c>
      <c r="V24" s="134" t="n">
        <v>141</v>
      </c>
      <c r="W24" s="134" t="n">
        <v>77</v>
      </c>
      <c r="X24" s="135" t="n">
        <f aca="false">M24-N24-O24-P24-Q24-R24-S24-T24-U24+V24+W24-AT24+AR24</f>
        <v>417.183391627485</v>
      </c>
      <c r="Y24" s="135" t="n">
        <f aca="false">X24-AO24</f>
        <v>410.183391627485</v>
      </c>
      <c r="Z24" s="107" t="n">
        <f aca="false">Z23-AA23</f>
        <v>16498.3657178588</v>
      </c>
      <c r="AA24" s="135" t="n">
        <f aca="false">Y24</f>
        <v>410.183391627485</v>
      </c>
      <c r="AB24" s="107"/>
      <c r="AC24" s="107" t="n">
        <f aca="false">AC23-(AQ23/1.9835)</f>
        <v>1403.26385122905</v>
      </c>
      <c r="AD24" s="107"/>
      <c r="AE24" s="134" t="n">
        <v>176</v>
      </c>
      <c r="AF24" s="137" t="n">
        <v>1.7</v>
      </c>
      <c r="AG24" s="138" t="n">
        <v>1.3</v>
      </c>
      <c r="AH24" s="134" t="n">
        <v>71</v>
      </c>
      <c r="AI24" s="80" t="n">
        <f aca="false">AI23-AH24</f>
        <v>12301.2578774893</v>
      </c>
      <c r="AJ24" s="134"/>
      <c r="AK24" s="134" t="n">
        <f aca="false">N25+O24+P24+Q24+R24+S24+T24+U24+X24+AE24+AH24-AR24</f>
        <v>767</v>
      </c>
      <c r="AL24" s="134" t="n">
        <f aca="false">IF(L24&lt;0,L24*-1,0)</f>
        <v>48.0461305772624</v>
      </c>
      <c r="AM24" s="134" t="n">
        <f aca="false">AK24+AL24</f>
        <v>815.046130577262</v>
      </c>
      <c r="AN24" s="451"/>
      <c r="AO24" s="150" t="n">
        <v>7</v>
      </c>
      <c r="AP24" s="150"/>
      <c r="AQ24" s="158" t="n">
        <f aca="false">63.14*(Z24*1.9835+AC24*1.9835)/E24</f>
        <v>12.6641229899682</v>
      </c>
      <c r="AR24" s="136" t="n">
        <v>37.049</v>
      </c>
      <c r="AS24" s="97"/>
      <c r="AT24" s="11"/>
      <c r="AV24" s="102" t="n">
        <v>0</v>
      </c>
      <c r="AW24" s="103" t="n">
        <v>77</v>
      </c>
      <c r="AX24" s="103" t="n">
        <v>47</v>
      </c>
      <c r="AY24" s="294"/>
      <c r="AZ24" s="250" t="n">
        <f aca="false">SUM(N24,P24:U24)</f>
        <v>12.815608372515</v>
      </c>
    </row>
    <row r="25" customFormat="false" ht="12.95" hidden="false" customHeight="true" outlineLevel="0" collapsed="false">
      <c r="A25" s="10" t="n">
        <f aca="false">A24+1</f>
        <v>11</v>
      </c>
      <c r="B25" s="357" t="n">
        <v>6911.46</v>
      </c>
      <c r="C25" s="94" t="n">
        <v>327860</v>
      </c>
      <c r="D25" s="103" t="n">
        <f aca="false">C25-C24</f>
        <v>-1173</v>
      </c>
      <c r="E25" s="94" t="n">
        <f aca="false">C25-152000</f>
        <v>175860</v>
      </c>
      <c r="F25" s="141" t="n">
        <f aca="false">D25/$D$2</f>
        <v>-591.378875724729</v>
      </c>
      <c r="G25" s="134" t="n">
        <v>234</v>
      </c>
      <c r="H25" s="97" t="n">
        <v>0</v>
      </c>
      <c r="I25" s="134" t="n">
        <f aca="false">G25+H25</f>
        <v>234</v>
      </c>
      <c r="J25" s="366" t="n">
        <f aca="false">IF(L25&gt;0,L25,0)</f>
        <v>0</v>
      </c>
      <c r="K25" s="134" t="n">
        <f aca="false">I25+J25</f>
        <v>234</v>
      </c>
      <c r="L25" s="134" t="n">
        <f aca="false">F25-(I25-AK25)</f>
        <v>-59.378875724729</v>
      </c>
      <c r="M25" s="137" t="n">
        <v>294</v>
      </c>
      <c r="N25" s="158" t="n">
        <f aca="false">(1.8299*1.03)/2</f>
        <v>0.9423985</v>
      </c>
      <c r="O25" s="142" t="n">
        <f aca="false">109*1.05</f>
        <v>114.45</v>
      </c>
      <c r="P25" s="83" t="n">
        <v>0</v>
      </c>
      <c r="Q25" s="336" t="n">
        <f aca="false">2236100/325851/1.9835*1.02</f>
        <v>3.52890632730662</v>
      </c>
      <c r="R25" s="131" t="n">
        <v>4.2</v>
      </c>
      <c r="S25" s="131" t="n">
        <f aca="false">((8*1.04)-T25)-4.2</f>
        <v>2.65171344</v>
      </c>
      <c r="T25" s="131" t="n">
        <f aca="false">(1.3319*1.06)*1.04</f>
        <v>1.46828656</v>
      </c>
      <c r="U25" s="355" t="n">
        <v>0</v>
      </c>
      <c r="V25" s="134" t="n">
        <v>133</v>
      </c>
      <c r="W25" s="134" t="n">
        <v>75</v>
      </c>
      <c r="X25" s="135" t="n">
        <f aca="false">M25-N25-O25-P25-Q25-R25-S25-T25-U25+V25+W25-AT25+AR25</f>
        <v>411.807695172693</v>
      </c>
      <c r="Y25" s="135" t="n">
        <f aca="false">X25-AO25</f>
        <v>404.807695172693</v>
      </c>
      <c r="Z25" s="107" t="n">
        <f aca="false">Z24-AA24</f>
        <v>16088.1823262314</v>
      </c>
      <c r="AA25" s="135" t="n">
        <f aca="false">Y25</f>
        <v>404.807695172693</v>
      </c>
      <c r="AB25" s="107"/>
      <c r="AC25" s="107" t="n">
        <f aca="false">AC24+AS25-(AQ24/1.9835)</f>
        <v>1402.87911566567</v>
      </c>
      <c r="AD25" s="107"/>
      <c r="AE25" s="134" t="n">
        <v>193</v>
      </c>
      <c r="AF25" s="137" t="n">
        <v>1.7</v>
      </c>
      <c r="AG25" s="138" t="n">
        <v>1.3</v>
      </c>
      <c r="AH25" s="134" t="n">
        <v>71</v>
      </c>
      <c r="AI25" s="80" t="n">
        <f aca="false">AI24-AH25</f>
        <v>12230.2578774893</v>
      </c>
      <c r="AJ25" s="134"/>
      <c r="AK25" s="134" t="n">
        <f aca="false">N26+O25+P25+Q25+R25+S25+T25+U25+X25+AE25+AH25-AR25</f>
        <v>766</v>
      </c>
      <c r="AL25" s="134" t="n">
        <f aca="false">IF(L25&lt;0,L25*-1,0)</f>
        <v>59.378875724729</v>
      </c>
      <c r="AM25" s="134" t="n">
        <f aca="false">AK25+AL25</f>
        <v>825.378875724729</v>
      </c>
      <c r="AN25" s="451"/>
      <c r="AO25" s="150" t="n">
        <v>7</v>
      </c>
      <c r="AP25" s="150"/>
      <c r="AQ25" s="158" t="n">
        <f aca="false">63.14*(Z25*1.9835+AC25*1.9835)/E25</f>
        <v>12.4562087806322</v>
      </c>
      <c r="AR25" s="136" t="n">
        <v>37.049</v>
      </c>
      <c r="AS25" s="97" t="n">
        <v>6</v>
      </c>
      <c r="AT25" s="11"/>
      <c r="AV25" s="102" t="n">
        <v>0</v>
      </c>
      <c r="AW25" s="103" t="n">
        <v>83</v>
      </c>
      <c r="AX25" s="103" t="n">
        <v>47</v>
      </c>
      <c r="AY25" s="294"/>
      <c r="AZ25" s="250" t="n">
        <f aca="false">SUM(N25,P25:U25)</f>
        <v>12.7913048273066</v>
      </c>
    </row>
    <row r="26" customFormat="false" ht="12.95" hidden="false" customHeight="true" outlineLevel="0" collapsed="false">
      <c r="A26" s="10" t="n">
        <f aca="false">A25+1</f>
        <v>12</v>
      </c>
      <c r="B26" s="357" t="n">
        <v>6911.17</v>
      </c>
      <c r="C26" s="94" t="n">
        <v>326687</v>
      </c>
      <c r="D26" s="103" t="n">
        <f aca="false">C26-C25</f>
        <v>-1173</v>
      </c>
      <c r="E26" s="94" t="n">
        <f aca="false">C26-152000</f>
        <v>174687</v>
      </c>
      <c r="F26" s="141" t="n">
        <f aca="false">D26/$D$2</f>
        <v>-591.378875724729</v>
      </c>
      <c r="G26" s="134" t="n">
        <v>202</v>
      </c>
      <c r="H26" s="97" t="n">
        <v>0</v>
      </c>
      <c r="I26" s="134" t="n">
        <f aca="false">G26+H26</f>
        <v>202</v>
      </c>
      <c r="J26" s="366" t="n">
        <f aca="false">IF(L26&gt;0,L26,0)</f>
        <v>0</v>
      </c>
      <c r="K26" s="134" t="n">
        <f aca="false">I26+J26</f>
        <v>202</v>
      </c>
      <c r="L26" s="134" t="n">
        <f aca="false">F26-(I26-AK26)</f>
        <v>-55.378875724729</v>
      </c>
      <c r="M26" s="137" t="n">
        <v>272</v>
      </c>
      <c r="N26" s="158" t="n">
        <f aca="false">(1.8299*1.03)/2</f>
        <v>0.9423985</v>
      </c>
      <c r="O26" s="142" t="n">
        <f aca="false">86*1.05</f>
        <v>90.3</v>
      </c>
      <c r="P26" s="83" t="n">
        <v>0</v>
      </c>
      <c r="Q26" s="336" t="n">
        <f aca="false">2116600/325851/1.9835*1.02</f>
        <v>3.34031712909851</v>
      </c>
      <c r="R26" s="131" t="n">
        <v>4.2</v>
      </c>
      <c r="S26" s="131" t="n">
        <f aca="false">((7*1.04)-T26)-4.2</f>
        <v>1.61171344</v>
      </c>
      <c r="T26" s="131" t="n">
        <f aca="false">(1.3319*1.06)*1.04</f>
        <v>1.46828656</v>
      </c>
      <c r="U26" s="355" t="n">
        <v>0</v>
      </c>
      <c r="V26" s="134" t="n">
        <v>129</v>
      </c>
      <c r="W26" s="134" t="n">
        <v>73</v>
      </c>
      <c r="X26" s="135" t="n">
        <f aca="false">M26-N26-O26-P26-Q26-R26-S26-T26-U26+V26+W26-AT26+AR26</f>
        <v>409.186284370901</v>
      </c>
      <c r="Y26" s="135" t="n">
        <f aca="false">X26-AO26</f>
        <v>402.186284370902</v>
      </c>
      <c r="Z26" s="107" t="n">
        <f aca="false">Z25-AA25</f>
        <v>15683.3746310587</v>
      </c>
      <c r="AA26" s="135" t="n">
        <f aca="false">Y26</f>
        <v>402.186284370902</v>
      </c>
      <c r="AB26" s="107"/>
      <c r="AC26" s="107" t="n">
        <f aca="false">AC25+AS26-(AQ25/1.9835)</f>
        <v>1402.5992019875</v>
      </c>
      <c r="AD26" s="107"/>
      <c r="AE26" s="134" t="n">
        <v>201</v>
      </c>
      <c r="AF26" s="137" t="n">
        <v>1.7</v>
      </c>
      <c r="AG26" s="138" t="n">
        <v>1.3</v>
      </c>
      <c r="AH26" s="134" t="n">
        <v>63</v>
      </c>
      <c r="AI26" s="80" t="n">
        <f aca="false">AI25-AH26</f>
        <v>12167.2578774893</v>
      </c>
      <c r="AJ26" s="134"/>
      <c r="AK26" s="134" t="n">
        <f aca="false">N27+O26+P26+Q26+R26+S26+T26+U26+X26+AE26+AH26-AR26</f>
        <v>738</v>
      </c>
      <c r="AL26" s="134" t="n">
        <f aca="false">IF(L26&lt;0,L26*-1,0)</f>
        <v>55.378875724729</v>
      </c>
      <c r="AM26" s="134" t="n">
        <f aca="false">AK26+AL26</f>
        <v>793.378875724729</v>
      </c>
      <c r="AN26" s="451"/>
      <c r="AO26" s="150" t="n">
        <v>7</v>
      </c>
      <c r="AP26" s="150"/>
      <c r="AQ26" s="158" t="n">
        <f aca="false">63.14*(Z26*1.9835+AC26*1.9835)/E26</f>
        <v>12.2494314816676</v>
      </c>
      <c r="AR26" s="136" t="n">
        <v>37.049</v>
      </c>
      <c r="AS26" s="97" t="n">
        <v>6</v>
      </c>
      <c r="AT26" s="11"/>
      <c r="AV26" s="102" t="n">
        <v>0</v>
      </c>
      <c r="AW26" s="103" t="n">
        <v>87</v>
      </c>
      <c r="AX26" s="103" t="n">
        <v>50</v>
      </c>
      <c r="AY26" s="294"/>
      <c r="AZ26" s="250" t="n">
        <f aca="false">SUM(N26,P26:U26)</f>
        <v>11.5627156290985</v>
      </c>
    </row>
    <row r="27" customFormat="false" ht="12.95" hidden="false" customHeight="true" outlineLevel="0" collapsed="false">
      <c r="A27" s="10" t="n">
        <f aca="false">A26+1</f>
        <v>13</v>
      </c>
      <c r="B27" s="357" t="n">
        <v>6910.88</v>
      </c>
      <c r="C27" s="94" t="n">
        <v>325518</v>
      </c>
      <c r="D27" s="103" t="n">
        <f aca="false">C27-C26</f>
        <v>-1169</v>
      </c>
      <c r="E27" s="94" t="n">
        <f aca="false">C27-152000</f>
        <v>173518</v>
      </c>
      <c r="F27" s="141" t="n">
        <f aca="false">D27/$D$2</f>
        <v>-589.362238467356</v>
      </c>
      <c r="G27" s="134" t="n">
        <v>185</v>
      </c>
      <c r="H27" s="97" t="n">
        <v>0</v>
      </c>
      <c r="I27" s="134" t="n">
        <f aca="false">G27+H27</f>
        <v>185</v>
      </c>
      <c r="J27" s="366" t="n">
        <f aca="false">IF(L27&gt;0,L27,0)</f>
        <v>0</v>
      </c>
      <c r="K27" s="134" t="n">
        <f aca="false">I27+J27</f>
        <v>185</v>
      </c>
      <c r="L27" s="134" t="n">
        <f aca="false">F27-(I27-AK27)</f>
        <v>-29.3622384673557</v>
      </c>
      <c r="M27" s="137" t="n">
        <v>287</v>
      </c>
      <c r="N27" s="158" t="n">
        <f aca="false">(1.8299*1.03)/2</f>
        <v>0.9423985</v>
      </c>
      <c r="O27" s="142" t="n">
        <f aca="false">96*1.05</f>
        <v>100.8</v>
      </c>
      <c r="P27" s="83" t="n">
        <v>0</v>
      </c>
      <c r="Q27" s="336" t="n">
        <f aca="false">2189600/325851/1.9835*1.02</f>
        <v>3.45552224599551</v>
      </c>
      <c r="R27" s="131" t="n">
        <v>4.2</v>
      </c>
      <c r="S27" s="131" t="n">
        <f aca="false">((7*1.04)-T27)-4.2</f>
        <v>1.61171344</v>
      </c>
      <c r="T27" s="131" t="n">
        <f aca="false">(1.3319*1.06)*1.04</f>
        <v>1.46828656</v>
      </c>
      <c r="U27" s="355" t="n">
        <v>0</v>
      </c>
      <c r="V27" s="134" t="n">
        <v>127</v>
      </c>
      <c r="W27" s="134" t="n">
        <v>73</v>
      </c>
      <c r="X27" s="135" t="n">
        <f aca="false">M27-N27-O27-P27-Q27-R27-S27-T27-U27+V27+W27-AT27+AR27</f>
        <v>411.571079254004</v>
      </c>
      <c r="Y27" s="135" t="n">
        <f aca="false">X27-AO27</f>
        <v>404.571079254004</v>
      </c>
      <c r="Z27" s="107" t="n">
        <f aca="false">Z26-AA26</f>
        <v>15281.1883466878</v>
      </c>
      <c r="AA27" s="135" t="n">
        <f aca="false">Y27</f>
        <v>404.571079254004</v>
      </c>
      <c r="AB27" s="107"/>
      <c r="AC27" s="107" t="n">
        <f aca="false">AC26+AS27-(AQ26/1.9835)</f>
        <v>1402.42353701061</v>
      </c>
      <c r="AD27" s="107"/>
      <c r="AE27" s="134" t="n">
        <v>199</v>
      </c>
      <c r="AF27" s="137" t="n">
        <v>1.7</v>
      </c>
      <c r="AG27" s="138" t="n">
        <v>1.3</v>
      </c>
      <c r="AH27" s="134" t="n">
        <v>59</v>
      </c>
      <c r="AI27" s="80" t="n">
        <f aca="false">AI26-AH27</f>
        <v>12108.2578774893</v>
      </c>
      <c r="AJ27" s="134"/>
      <c r="AK27" s="134" t="n">
        <f aca="false">N28+O27+P27+Q27+R27+S27+T27+U27+X27+AE27+AH27-AR27</f>
        <v>745</v>
      </c>
      <c r="AL27" s="134" t="n">
        <f aca="false">IF(L27&lt;0,L27*-1,0)</f>
        <v>29.3622384673557</v>
      </c>
      <c r="AM27" s="134" t="n">
        <f aca="false">AK27+AL27</f>
        <v>774.362238467356</v>
      </c>
      <c r="AN27" s="451"/>
      <c r="AO27" s="150" t="n">
        <v>7</v>
      </c>
      <c r="AP27" s="150"/>
      <c r="AQ27" s="158" t="n">
        <f aca="false">63.14*(Z27*1.9835+AC27*1.9835)/E27</f>
        <v>12.0415481677801</v>
      </c>
      <c r="AR27" s="136" t="n">
        <v>37.049</v>
      </c>
      <c r="AS27" s="97" t="n">
        <v>6</v>
      </c>
      <c r="AT27" s="11"/>
      <c r="AV27" s="102" t="n">
        <v>0</v>
      </c>
      <c r="AW27" s="103" t="n">
        <v>89</v>
      </c>
      <c r="AX27" s="103" t="n">
        <v>50</v>
      </c>
      <c r="AY27" s="294"/>
      <c r="AZ27" s="250" t="n">
        <f aca="false">SUM(N27,P27:U27)</f>
        <v>11.6779207459955</v>
      </c>
    </row>
    <row r="28" customFormat="false" ht="12.95" hidden="false" customHeight="true" outlineLevel="0" collapsed="false">
      <c r="A28" s="10" t="n">
        <f aca="false">A27+1</f>
        <v>14</v>
      </c>
      <c r="B28" s="357" t="n">
        <v>6910.59</v>
      </c>
      <c r="C28" s="94" t="n">
        <v>324354</v>
      </c>
      <c r="D28" s="103" t="n">
        <f aca="false">C28-C27</f>
        <v>-1164</v>
      </c>
      <c r="E28" s="94" t="n">
        <f aca="false">C28-152000</f>
        <v>172354</v>
      </c>
      <c r="F28" s="141" t="n">
        <f aca="false">D28/$D$2</f>
        <v>-586.841441895639</v>
      </c>
      <c r="G28" s="134" t="n">
        <v>182</v>
      </c>
      <c r="H28" s="97" t="n">
        <v>0</v>
      </c>
      <c r="I28" s="134" t="n">
        <f aca="false">G28+H28</f>
        <v>182</v>
      </c>
      <c r="J28" s="366" t="n">
        <f aca="false">IF(L28&gt;0,L28,0)</f>
        <v>0</v>
      </c>
      <c r="K28" s="134" t="n">
        <f aca="false">I28+J28</f>
        <v>182</v>
      </c>
      <c r="L28" s="134" t="n">
        <f aca="false">F28-(I28-AK28)</f>
        <v>-41.841441895639</v>
      </c>
      <c r="M28" s="137" t="n">
        <v>256</v>
      </c>
      <c r="N28" s="158" t="n">
        <f aca="false">(1.8299*1.03)/2</f>
        <v>0.9423985</v>
      </c>
      <c r="O28" s="142" t="n">
        <f aca="false">64*1.05</f>
        <v>67.2</v>
      </c>
      <c r="P28" s="83" t="n">
        <v>0</v>
      </c>
      <c r="Q28" s="336" t="n">
        <f aca="false">2192800/325851/1.9835*1.02</f>
        <v>3.46057233331155</v>
      </c>
      <c r="R28" s="131" t="n">
        <v>4.2</v>
      </c>
      <c r="S28" s="131" t="n">
        <f aca="false">((7*1.04)-T28)-4.2</f>
        <v>1.61171344</v>
      </c>
      <c r="T28" s="131" t="n">
        <f aca="false">(1.3319*1.06)*1.04</f>
        <v>1.46828656</v>
      </c>
      <c r="U28" s="355" t="n">
        <v>0</v>
      </c>
      <c r="V28" s="134" t="n">
        <v>130</v>
      </c>
      <c r="W28" s="134" t="n">
        <v>72</v>
      </c>
      <c r="X28" s="135" t="n">
        <f aca="false">M28-N28-O28-P28-Q28-R28-S28-T28-U28+V28+W28-AT28+AR28</f>
        <v>416.166029166688</v>
      </c>
      <c r="Y28" s="135" t="n">
        <f aca="false">X28-AO28</f>
        <v>409.166029166688</v>
      </c>
      <c r="Z28" s="107" t="n">
        <f aca="false">Z27-AA27</f>
        <v>14876.6172674338</v>
      </c>
      <c r="AA28" s="135" t="n">
        <f aca="false">Y28</f>
        <v>409.166029166688</v>
      </c>
      <c r="AB28" s="107"/>
      <c r="AC28" s="107" t="n">
        <f aca="false">AC27+AS28-(AQ27/1.9835)</f>
        <v>1402.35267834271</v>
      </c>
      <c r="AD28" s="107"/>
      <c r="AE28" s="134" t="n">
        <v>199</v>
      </c>
      <c r="AF28" s="137" t="n">
        <v>1.7</v>
      </c>
      <c r="AG28" s="138" t="n">
        <v>1.3</v>
      </c>
      <c r="AH28" s="134" t="n">
        <v>70</v>
      </c>
      <c r="AI28" s="80" t="n">
        <f aca="false">AI27-AH28</f>
        <v>12038.2578774893</v>
      </c>
      <c r="AJ28" s="134"/>
      <c r="AK28" s="134" t="n">
        <f aca="false">N29+O28+P28+Q28+R28+S28+T28+U28+X28+AE28+AH28-AR28</f>
        <v>727</v>
      </c>
      <c r="AL28" s="134" t="n">
        <f aca="false">IF(L28&lt;0,L28*-1,0)</f>
        <v>41.841441895639</v>
      </c>
      <c r="AM28" s="134" t="n">
        <f aca="false">AK28+AL28</f>
        <v>768.841441895639</v>
      </c>
      <c r="AN28" s="451"/>
      <c r="AO28" s="150" t="n">
        <v>7</v>
      </c>
      <c r="AP28" s="150"/>
      <c r="AQ28" s="158" t="n">
        <f aca="false">63.14*(Z28*1.9835+AC28*1.9835)/E28</f>
        <v>11.8288448836316</v>
      </c>
      <c r="AR28" s="136" t="n">
        <v>37.049</v>
      </c>
      <c r="AS28" s="97" t="n">
        <v>6</v>
      </c>
      <c r="AT28" s="11"/>
      <c r="AV28" s="102" t="n">
        <v>0</v>
      </c>
      <c r="AW28" s="103" t="n">
        <v>90</v>
      </c>
      <c r="AX28" s="103" t="n">
        <v>49</v>
      </c>
      <c r="AY28" s="294"/>
      <c r="AZ28" s="250" t="n">
        <f aca="false">SUM(N28,P28:U28)</f>
        <v>11.6829708333115</v>
      </c>
    </row>
    <row r="29" customFormat="false" ht="12.95" hidden="false" customHeight="true" outlineLevel="0" collapsed="false">
      <c r="A29" s="10" t="n">
        <f aca="false">A28+1</f>
        <v>15</v>
      </c>
      <c r="B29" s="357" t="n">
        <v>6910.28</v>
      </c>
      <c r="C29" s="94" t="n">
        <v>323110</v>
      </c>
      <c r="D29" s="103" t="n">
        <f aca="false">C29-C28</f>
        <v>-1244</v>
      </c>
      <c r="E29" s="94" t="n">
        <f aca="false">C29-152000</f>
        <v>171110</v>
      </c>
      <c r="F29" s="141" t="n">
        <f aca="false">D29/$D$2</f>
        <v>-627.174187043106</v>
      </c>
      <c r="G29" s="134" t="n">
        <v>172</v>
      </c>
      <c r="H29" s="97" t="n">
        <v>0</v>
      </c>
      <c r="I29" s="134" t="n">
        <f aca="false">G29+H29</f>
        <v>172</v>
      </c>
      <c r="J29" s="366" t="n">
        <f aca="false">IF(L29&gt;0,L29,0)</f>
        <v>0</v>
      </c>
      <c r="K29" s="134" t="n">
        <f aca="false">I29+J29</f>
        <v>172</v>
      </c>
      <c r="L29" s="134" t="n">
        <f aca="false">F29-(I29-AK29)</f>
        <v>-46.1741870431056</v>
      </c>
      <c r="M29" s="137" t="n">
        <v>276</v>
      </c>
      <c r="N29" s="158" t="n">
        <f aca="false">(1.8299*1.03)/2</f>
        <v>0.9423985</v>
      </c>
      <c r="O29" s="142" t="n">
        <f aca="false">64*1.05</f>
        <v>67.2</v>
      </c>
      <c r="P29" s="83" t="n">
        <v>0</v>
      </c>
      <c r="Q29" s="336" t="n">
        <f aca="false">2045200/325851/1.9835*1.02</f>
        <v>3.22763705585953</v>
      </c>
      <c r="R29" s="131" t="n">
        <v>4.2</v>
      </c>
      <c r="S29" s="131" t="n">
        <f aca="false">((7.5*1.04)-T29)-4.2</f>
        <v>2.1404224</v>
      </c>
      <c r="T29" s="131" t="n">
        <f aca="false">(1.324*1.06)*1.04</f>
        <v>1.4595776</v>
      </c>
      <c r="U29" s="355" t="n">
        <v>0</v>
      </c>
      <c r="V29" s="134" t="n">
        <v>129</v>
      </c>
      <c r="W29" s="134" t="n">
        <v>74</v>
      </c>
      <c r="X29" s="135" t="n">
        <f aca="false">M29-N29-O29-P29-Q29-R29-S29-T29-U29+V29+W29-AT29+AR29</f>
        <v>436.878964444141</v>
      </c>
      <c r="Y29" s="135" t="n">
        <f aca="false">X29-AO29</f>
        <v>429.87896444414</v>
      </c>
      <c r="Z29" s="107" t="n">
        <f aca="false">Z28-AA28</f>
        <v>14467.4512382671</v>
      </c>
      <c r="AA29" s="135" t="n">
        <f aca="false">Y29</f>
        <v>429.87896444414</v>
      </c>
      <c r="AB29" s="107"/>
      <c r="AC29" s="107" t="n">
        <f aca="false">AC28+AS29-(AQ28/1.9835)</f>
        <v>1402.38905601671</v>
      </c>
      <c r="AD29" s="107"/>
      <c r="AE29" s="134" t="n">
        <v>203</v>
      </c>
      <c r="AF29" s="137" t="n">
        <v>1.7</v>
      </c>
      <c r="AG29" s="138" t="n">
        <v>1.3</v>
      </c>
      <c r="AH29" s="134" t="n">
        <v>71</v>
      </c>
      <c r="AI29" s="80" t="n">
        <f aca="false">AI28-AH29</f>
        <v>11967.2578774893</v>
      </c>
      <c r="AJ29" s="134"/>
      <c r="AK29" s="134" t="n">
        <f aca="false">N30+O29+P29+Q29+R29+S29+T29+U29+X29+AE29+AH29-AR29</f>
        <v>753</v>
      </c>
      <c r="AL29" s="134" t="n">
        <f aca="false">IF(L29&lt;0,L29*-1,0)</f>
        <v>46.1741870431056</v>
      </c>
      <c r="AM29" s="134" t="n">
        <f aca="false">AK29+AL29</f>
        <v>799.174187043106</v>
      </c>
      <c r="AN29" s="451"/>
      <c r="AO29" s="150" t="n">
        <v>7</v>
      </c>
      <c r="AP29" s="150"/>
      <c r="AQ29" s="158" t="n">
        <f aca="false">63.14*(Z29*1.9835+AC29*1.9835)/E29</f>
        <v>11.6153940391863</v>
      </c>
      <c r="AR29" s="136" t="n">
        <v>37.049</v>
      </c>
      <c r="AS29" s="97" t="n">
        <v>6</v>
      </c>
      <c r="AT29" s="11"/>
      <c r="AV29" s="102" t="n">
        <v>0</v>
      </c>
      <c r="AW29" s="103" t="n">
        <v>88</v>
      </c>
      <c r="AX29" s="103" t="n">
        <v>49</v>
      </c>
      <c r="AY29" s="294"/>
      <c r="AZ29" s="250" t="n">
        <f aca="false">SUM(N29,P29:U29)</f>
        <v>11.9700355558595</v>
      </c>
    </row>
    <row r="30" customFormat="false" ht="12.95" hidden="false" customHeight="true" outlineLevel="0" collapsed="false">
      <c r="A30" s="10" t="n">
        <f aca="false">A29+1</f>
        <v>16</v>
      </c>
      <c r="B30" s="357" t="n">
        <v>6909.96</v>
      </c>
      <c r="C30" s="94" t="n">
        <v>321827</v>
      </c>
      <c r="D30" s="103" t="n">
        <f aca="false">C30-C29</f>
        <v>-1283</v>
      </c>
      <c r="E30" s="94" t="n">
        <f aca="false">C30-152000</f>
        <v>169827</v>
      </c>
      <c r="F30" s="141" t="n">
        <f aca="false">D30/$D$2</f>
        <v>-646.836400302496</v>
      </c>
      <c r="G30" s="134" t="n">
        <v>156</v>
      </c>
      <c r="H30" s="97" t="n">
        <v>0</v>
      </c>
      <c r="I30" s="134" t="n">
        <f aca="false">G30+H30</f>
        <v>156</v>
      </c>
      <c r="J30" s="366" t="n">
        <f aca="false">IF(L30&gt;0,L30,0)</f>
        <v>0</v>
      </c>
      <c r="K30" s="134" t="n">
        <f aca="false">I30+J30</f>
        <v>156</v>
      </c>
      <c r="L30" s="134" t="n">
        <f aca="false">F30-(I30-AK30)</f>
        <v>-30.8364003024956</v>
      </c>
      <c r="M30" s="137" t="n">
        <v>291</v>
      </c>
      <c r="N30" s="158" t="n">
        <f aca="false">(1.8299*1.03)/2</f>
        <v>0.9423985</v>
      </c>
      <c r="O30" s="142" t="n">
        <f aca="false">78*1.05</f>
        <v>81.9</v>
      </c>
      <c r="P30" s="83" t="n">
        <v>0</v>
      </c>
      <c r="Q30" s="336" t="n">
        <f aca="false">2040400/325851/1.9835*1.02</f>
        <v>3.22006192488548</v>
      </c>
      <c r="R30" s="131" t="n">
        <v>4.2</v>
      </c>
      <c r="S30" s="131" t="n">
        <f aca="false">((7.5*1.04)-T30)-4.2</f>
        <v>2.1404224</v>
      </c>
      <c r="T30" s="131" t="n">
        <f aca="false">(1.324*1.06)*1.04</f>
        <v>1.4595776</v>
      </c>
      <c r="U30" s="355" t="n">
        <v>0</v>
      </c>
      <c r="V30" s="134" t="n">
        <v>128</v>
      </c>
      <c r="W30" s="134" t="n">
        <v>74</v>
      </c>
      <c r="X30" s="135" t="n">
        <f aca="false">M30-N30-O30-P30-Q30-R30-S30-T30-U30+V30+W30-AT30+AR30</f>
        <v>436.186539575114</v>
      </c>
      <c r="Y30" s="135" t="n">
        <f aca="false">X30-AO30</f>
        <v>429.186539575114</v>
      </c>
      <c r="Z30" s="107" t="n">
        <f aca="false">Z29-AA29</f>
        <v>14037.5722738229</v>
      </c>
      <c r="AA30" s="135" t="n">
        <f aca="false">Y30</f>
        <v>429.186539575114</v>
      </c>
      <c r="AB30" s="107"/>
      <c r="AC30" s="107" t="n">
        <f aca="false">AC29+AS30-(AQ29/1.9835)</f>
        <v>1402.53304692208</v>
      </c>
      <c r="AD30" s="107"/>
      <c r="AE30" s="134" t="n">
        <v>208</v>
      </c>
      <c r="AF30" s="137" t="n">
        <v>1.7</v>
      </c>
      <c r="AG30" s="138" t="n">
        <v>1.3</v>
      </c>
      <c r="AH30" s="134" t="n">
        <v>71</v>
      </c>
      <c r="AI30" s="80" t="n">
        <f aca="false">AI29-AH30</f>
        <v>11896.2578774893</v>
      </c>
      <c r="AJ30" s="80"/>
      <c r="AK30" s="134" t="n">
        <f aca="false">N31+O30+P30+Q30+R30+S30+T30+U30+X30+AE30+AH30-AR30</f>
        <v>772</v>
      </c>
      <c r="AL30" s="134" t="n">
        <f aca="false">IF(L30&lt;0,L30*-1,0)</f>
        <v>30.8364003024956</v>
      </c>
      <c r="AM30" s="134" t="n">
        <f aca="false">AK30+AL30</f>
        <v>802.836400302496</v>
      </c>
      <c r="AN30" s="451"/>
      <c r="AO30" s="150" t="n">
        <v>7</v>
      </c>
      <c r="AP30" s="150"/>
      <c r="AQ30" s="158" t="n">
        <f aca="false">63.14*(Z30*1.9835+AC30*1.9835)/E30</f>
        <v>11.3862391950601</v>
      </c>
      <c r="AR30" s="136" t="n">
        <v>37.049</v>
      </c>
      <c r="AS30" s="97" t="n">
        <v>6</v>
      </c>
      <c r="AT30" s="11"/>
      <c r="AV30" s="102" t="n">
        <v>0</v>
      </c>
      <c r="AW30" s="103" t="n">
        <v>90</v>
      </c>
      <c r="AX30" s="103" t="n">
        <v>55</v>
      </c>
      <c r="AY30" s="294"/>
      <c r="AZ30" s="250" t="n">
        <f aca="false">SUM(N30,P30:U30)</f>
        <v>11.9624604248855</v>
      </c>
    </row>
    <row r="31" customFormat="false" ht="12.95" hidden="false" customHeight="true" outlineLevel="0" collapsed="false">
      <c r="A31" s="10" t="n">
        <f aca="false">A30+1</f>
        <v>17</v>
      </c>
      <c r="B31" s="357" t="n">
        <v>6909.64</v>
      </c>
      <c r="C31" s="94" t="n">
        <v>320553</v>
      </c>
      <c r="D31" s="103" t="n">
        <f aca="false">C31-C30</f>
        <v>-1274</v>
      </c>
      <c r="E31" s="94" t="n">
        <f aca="false">C31-152000</f>
        <v>168553</v>
      </c>
      <c r="F31" s="141" t="n">
        <f aca="false">D31/$D$2</f>
        <v>-642.298966473406</v>
      </c>
      <c r="G31" s="134" t="n">
        <v>147</v>
      </c>
      <c r="H31" s="97" t="n">
        <v>0</v>
      </c>
      <c r="I31" s="134" t="n">
        <f aca="false">G31+H31</f>
        <v>147</v>
      </c>
      <c r="J31" s="366" t="n">
        <f aca="false">IF(L31&gt;0,L31,0)</f>
        <v>0</v>
      </c>
      <c r="K31" s="134" t="n">
        <f aca="false">I31+J31</f>
        <v>147</v>
      </c>
      <c r="L31" s="134" t="n">
        <f aca="false">F31-(I31-AK31)</f>
        <v>-25.2989664734056</v>
      </c>
      <c r="M31" s="137" t="n">
        <v>284</v>
      </c>
      <c r="N31" s="158" t="n">
        <f aca="false">(1.8299*1.03)/2</f>
        <v>0.9423985</v>
      </c>
      <c r="O31" s="142" t="n">
        <f aca="false">75*1.05</f>
        <v>78.75</v>
      </c>
      <c r="P31" s="83" t="n">
        <v>0</v>
      </c>
      <c r="Q31" s="336" t="n">
        <f aca="false">2151500/325851/1.9835*1.02</f>
        <v>3.395394643889</v>
      </c>
      <c r="R31" s="131" t="n">
        <v>4.2</v>
      </c>
      <c r="S31" s="131" t="n">
        <f aca="false">((7.5*1.04)-T31)-4.2</f>
        <v>2.1404224</v>
      </c>
      <c r="T31" s="131" t="n">
        <f aca="false">(1.324*1.06)*1.04</f>
        <v>1.4595776</v>
      </c>
      <c r="U31" s="355" t="n">
        <v>0</v>
      </c>
      <c r="V31" s="134" t="n">
        <v>128</v>
      </c>
      <c r="W31" s="134" t="n">
        <v>74</v>
      </c>
      <c r="X31" s="135" t="n">
        <f aca="false">M31-N31-O31-P31-Q31-R31-S31-T31-U31+V31+W31-AT31+AR31</f>
        <v>432.161206856111</v>
      </c>
      <c r="Y31" s="135" t="n">
        <f aca="false">X31-AO31</f>
        <v>425.161206856111</v>
      </c>
      <c r="Z31" s="107" t="n">
        <f aca="false">Z30-AA30</f>
        <v>13608.3857342478</v>
      </c>
      <c r="AA31" s="135" t="n">
        <f aca="false">Y31</f>
        <v>425.161206856111</v>
      </c>
      <c r="AB31" s="107"/>
      <c r="AC31" s="107" t="n">
        <f aca="false">AC30+AS31-(AQ30/1.9835)</f>
        <v>1402.79256837655</v>
      </c>
      <c r="AD31" s="107"/>
      <c r="AE31" s="134" t="n">
        <v>208</v>
      </c>
      <c r="AF31" s="137" t="n">
        <v>1.7</v>
      </c>
      <c r="AG31" s="138" t="n">
        <v>1.3</v>
      </c>
      <c r="AH31" s="134" t="n">
        <v>70</v>
      </c>
      <c r="AI31" s="80" t="n">
        <f aca="false">AI30-AH31</f>
        <v>11826.2578774893</v>
      </c>
      <c r="AJ31" s="80"/>
      <c r="AK31" s="134" t="n">
        <f aca="false">N32+O31+P31+Q31+R31+S31+T31+U31+X31+AE31+AH31-AR31</f>
        <v>764</v>
      </c>
      <c r="AL31" s="134" t="n">
        <f aca="false">IF(L31&lt;0,L31*-1,0)</f>
        <v>25.2989664734056</v>
      </c>
      <c r="AM31" s="134" t="n">
        <f aca="false">AK31+AL31</f>
        <v>789.298966473406</v>
      </c>
      <c r="AN31" s="451"/>
      <c r="AO31" s="150" t="n">
        <v>7</v>
      </c>
      <c r="AP31" s="150"/>
      <c r="AQ31" s="158" t="n">
        <f aca="false">63.14*(Z31*1.9835+AC31*1.9835)/E31</f>
        <v>11.1536003535265</v>
      </c>
      <c r="AR31" s="136" t="n">
        <v>37.049</v>
      </c>
      <c r="AS31" s="97" t="n">
        <v>6</v>
      </c>
      <c r="AT31" s="11"/>
      <c r="AV31" s="102" t="n">
        <v>0</v>
      </c>
      <c r="AW31" s="103" t="n">
        <v>91</v>
      </c>
      <c r="AX31" s="103" t="n">
        <v>55</v>
      </c>
      <c r="AY31" s="294"/>
      <c r="AZ31" s="250" t="n">
        <f aca="false">SUM(N31,P31:U31)</f>
        <v>12.137793143889</v>
      </c>
    </row>
    <row r="32" customFormat="false" ht="12.95" hidden="false" customHeight="true" outlineLevel="0" collapsed="false">
      <c r="A32" s="10" t="n">
        <f aca="false">A31+1</f>
        <v>18</v>
      </c>
      <c r="B32" s="357" t="n">
        <v>6909.29</v>
      </c>
      <c r="C32" s="94" t="n">
        <v>319160</v>
      </c>
      <c r="D32" s="103" t="n">
        <f aca="false">C32-C31</f>
        <v>-1393</v>
      </c>
      <c r="E32" s="94" t="n">
        <f aca="false">C32-152000</f>
        <v>167160</v>
      </c>
      <c r="F32" s="141" t="n">
        <f aca="false">D32/$D$2</f>
        <v>-702.293924880262</v>
      </c>
      <c r="G32" s="134" t="n">
        <v>141</v>
      </c>
      <c r="H32" s="97" t="n">
        <v>0</v>
      </c>
      <c r="I32" s="134" t="n">
        <f aca="false">G32+H32</f>
        <v>141</v>
      </c>
      <c r="J32" s="366" t="n">
        <f aca="false">IF(L32&gt;0,L32,0)</f>
        <v>0</v>
      </c>
      <c r="K32" s="134" t="n">
        <f aca="false">I32+J32</f>
        <v>141</v>
      </c>
      <c r="L32" s="134" t="n">
        <f aca="false">F32-(I32-AK32)</f>
        <v>-55.2939248802621</v>
      </c>
      <c r="M32" s="137" t="n">
        <v>278</v>
      </c>
      <c r="N32" s="158" t="n">
        <f aca="false">(1.8299*1.03)/2</f>
        <v>0.9423985</v>
      </c>
      <c r="O32" s="142" t="n">
        <f aca="false">70*1.05</f>
        <v>73.5</v>
      </c>
      <c r="P32" s="83" t="n">
        <v>0</v>
      </c>
      <c r="Q32" s="336" t="n">
        <f aca="false">2274400/325851/1.9835*1.02</f>
        <v>3.58934955987039</v>
      </c>
      <c r="R32" s="131" t="n">
        <v>4.2</v>
      </c>
      <c r="S32" s="131" t="n">
        <f aca="false">((7.5*1.04)-T32)-4.2</f>
        <v>2.1404224</v>
      </c>
      <c r="T32" s="131" t="n">
        <f aca="false">(1.324*1.06)*1.04</f>
        <v>1.4595776</v>
      </c>
      <c r="U32" s="355" t="n">
        <v>0</v>
      </c>
      <c r="V32" s="134" t="n">
        <v>134</v>
      </c>
      <c r="W32" s="134" t="n">
        <v>75</v>
      </c>
      <c r="X32" s="135" t="n">
        <f aca="false">M32-N32-O32-P32-Q32-R32-S32-T32-U32+V32+W32-AT32+AR32</f>
        <v>438.21725194013</v>
      </c>
      <c r="Y32" s="135" t="n">
        <f aca="false">X32-AO32</f>
        <v>431.21725194013</v>
      </c>
      <c r="Z32" s="107" t="n">
        <f aca="false">Z31-AA31</f>
        <v>13183.2245273917</v>
      </c>
      <c r="AA32" s="135" t="n">
        <f aca="false">Y32</f>
        <v>431.21725194013</v>
      </c>
      <c r="AB32" s="107"/>
      <c r="AC32" s="107" t="n">
        <f aca="false">AC31+AS32-(AQ31/1.9835)</f>
        <v>1403.16937686986</v>
      </c>
      <c r="AD32" s="107"/>
      <c r="AE32" s="134" t="n">
        <v>231</v>
      </c>
      <c r="AF32" s="137" t="n">
        <v>1.7</v>
      </c>
      <c r="AG32" s="138" t="n">
        <v>1.3</v>
      </c>
      <c r="AH32" s="134" t="n">
        <v>70</v>
      </c>
      <c r="AI32" s="80" t="n">
        <f aca="false">AI31-AH32</f>
        <v>11756.2578774893</v>
      </c>
      <c r="AJ32" s="80"/>
      <c r="AK32" s="134" t="n">
        <f aca="false">N33+O32+P32+Q32+R32+S32+T32+U32+X32+AE32+AH32-AR32</f>
        <v>788</v>
      </c>
      <c r="AL32" s="134" t="n">
        <f aca="false">IF(L32&lt;0,L32*-1,0)</f>
        <v>55.2939248802621</v>
      </c>
      <c r="AM32" s="134" t="n">
        <f aca="false">AK32+AL32</f>
        <v>843.293924880262</v>
      </c>
      <c r="AN32" s="451"/>
      <c r="AO32" s="150" t="n">
        <v>7</v>
      </c>
      <c r="AP32" s="150"/>
      <c r="AQ32" s="158" t="n">
        <f aca="false">63.14*(Z32*1.9835+AC32*1.9835)/E32</f>
        <v>10.9282936778939</v>
      </c>
      <c r="AR32" s="136" t="n">
        <v>37.049</v>
      </c>
      <c r="AS32" s="97" t="n">
        <v>6</v>
      </c>
      <c r="AT32" s="11"/>
      <c r="AV32" s="102" t="n">
        <v>0</v>
      </c>
      <c r="AW32" s="103" t="n">
        <v>90</v>
      </c>
      <c r="AX32" s="103" t="n">
        <v>51</v>
      </c>
      <c r="AY32" s="294"/>
      <c r="AZ32" s="250" t="n">
        <f aca="false">SUM(N32,P32:U32)</f>
        <v>12.3317480598704</v>
      </c>
    </row>
    <row r="33" customFormat="false" ht="12.95" hidden="false" customHeight="true" outlineLevel="0" collapsed="false">
      <c r="A33" s="10" t="n">
        <f aca="false">A32+1</f>
        <v>19</v>
      </c>
      <c r="B33" s="357" t="n">
        <v>6908.93</v>
      </c>
      <c r="C33" s="94" t="n">
        <v>317729</v>
      </c>
      <c r="D33" s="103" t="n">
        <f aca="false">C33-C32</f>
        <v>-1431</v>
      </c>
      <c r="E33" s="94" t="n">
        <f aca="false">C33-152000</f>
        <v>165729</v>
      </c>
      <c r="F33" s="141" t="n">
        <f aca="false">D33/$D$2</f>
        <v>-721.451978825309</v>
      </c>
      <c r="G33" s="134" t="n">
        <v>139</v>
      </c>
      <c r="H33" s="97" t="n">
        <v>0</v>
      </c>
      <c r="I33" s="134" t="n">
        <f aca="false">G33+H33</f>
        <v>139</v>
      </c>
      <c r="J33" s="366" t="n">
        <f aca="false">IF(L33&gt;0,L33,0)</f>
        <v>0</v>
      </c>
      <c r="K33" s="134" t="n">
        <f aca="false">I33+J33</f>
        <v>139</v>
      </c>
      <c r="L33" s="134" t="n">
        <f aca="false">F33-(I33-AK33)</f>
        <v>-51.4519788253087</v>
      </c>
      <c r="M33" s="137" t="n">
        <v>277</v>
      </c>
      <c r="N33" s="158" t="n">
        <f aca="false">(1.8299*1.03)/2</f>
        <v>0.9423985</v>
      </c>
      <c r="O33" s="142" t="n">
        <f aca="false">55*1.05</f>
        <v>57.75</v>
      </c>
      <c r="P33" s="83" t="n">
        <v>0</v>
      </c>
      <c r="Q33" s="336" t="n">
        <f aca="false">2303200/325851/1.9835*1.02</f>
        <v>3.63480034571468</v>
      </c>
      <c r="R33" s="131" t="n">
        <v>4.2</v>
      </c>
      <c r="S33" s="131" t="n">
        <f aca="false">((8*1.04)-T33)-4.2</f>
        <v>2.6604224</v>
      </c>
      <c r="T33" s="131" t="n">
        <f aca="false">(1.324*1.06)*1.04</f>
        <v>1.4595776</v>
      </c>
      <c r="U33" s="355" t="n">
        <v>0</v>
      </c>
      <c r="V33" s="134" t="n">
        <v>140</v>
      </c>
      <c r="W33" s="134" t="n">
        <v>75</v>
      </c>
      <c r="X33" s="135" t="n">
        <f aca="false">M33-N33-O33-P33-Q33-R33-S33-T33-U33+V33+W33-AT33+AR33</f>
        <v>458.401801154285</v>
      </c>
      <c r="Y33" s="135" t="n">
        <f aca="false">X33-AO33</f>
        <v>451.401801154285</v>
      </c>
      <c r="Z33" s="107" t="n">
        <f aca="false">Z32-AA32</f>
        <v>12752.0072754516</v>
      </c>
      <c r="AA33" s="135" t="n">
        <f aca="false">Y33</f>
        <v>451.401801154285</v>
      </c>
      <c r="AB33" s="107"/>
      <c r="AC33" s="107" t="n">
        <f aca="false">AC32+AS33-(AQ32/1.9835)</f>
        <v>1403.65977582227</v>
      </c>
      <c r="AD33" s="107"/>
      <c r="AE33" s="134" t="n">
        <v>246</v>
      </c>
      <c r="AF33" s="137" t="n">
        <v>1.7</v>
      </c>
      <c r="AG33" s="138" t="n">
        <v>1.3</v>
      </c>
      <c r="AH33" s="134" t="n">
        <v>71</v>
      </c>
      <c r="AI33" s="80" t="n">
        <f aca="false">AI32-AH33</f>
        <v>11685.2578774893</v>
      </c>
      <c r="AJ33" s="80"/>
      <c r="AK33" s="134" t="n">
        <f aca="false">N34+O33+P33+Q33+R33+S33+T33+U33+X33+AE33+AH33-AR33</f>
        <v>809</v>
      </c>
      <c r="AL33" s="134" t="n">
        <f aca="false">IF(L33&lt;0,L33*-1,0)</f>
        <v>51.4519788253087</v>
      </c>
      <c r="AM33" s="134" t="n">
        <f aca="false">AK33+AL33</f>
        <v>860.451978825309</v>
      </c>
      <c r="AN33" s="451"/>
      <c r="AO33" s="150" t="n">
        <v>7</v>
      </c>
      <c r="AP33" s="150"/>
      <c r="AQ33" s="158" t="n">
        <f aca="false">63.14*(Z33*1.9835+AC33*1.9835)/E33</f>
        <v>10.6971629572626</v>
      </c>
      <c r="AR33" s="136" t="n">
        <v>37.049</v>
      </c>
      <c r="AS33" s="97" t="n">
        <v>6</v>
      </c>
      <c r="AT33" s="11"/>
      <c r="AV33" s="102" t="n">
        <v>0</v>
      </c>
      <c r="AW33" s="103" t="n">
        <v>91</v>
      </c>
      <c r="AX33" s="103" t="n">
        <v>51</v>
      </c>
      <c r="AY33" s="294"/>
      <c r="AZ33" s="250" t="n">
        <f aca="false">SUM(N33,P33:U33)</f>
        <v>12.8971988457147</v>
      </c>
    </row>
    <row r="34" customFormat="false" ht="12.95" hidden="false" customHeight="true" outlineLevel="0" collapsed="false">
      <c r="A34" s="10" t="n">
        <f aca="false">A33+1</f>
        <v>20</v>
      </c>
      <c r="B34" s="357" t="n">
        <v>6908.53</v>
      </c>
      <c r="C34" s="94" t="n">
        <v>316149</v>
      </c>
      <c r="D34" s="103" t="n">
        <f aca="false">C34-C33</f>
        <v>-1580</v>
      </c>
      <c r="E34" s="94" t="n">
        <f aca="false">C34-152000</f>
        <v>164149</v>
      </c>
      <c r="F34" s="141" t="n">
        <f aca="false">D34/$D$2</f>
        <v>-796.571716662465</v>
      </c>
      <c r="G34" s="134" t="n">
        <v>128</v>
      </c>
      <c r="H34" s="97" t="n">
        <v>0</v>
      </c>
      <c r="I34" s="134" t="n">
        <f aca="false">G34+H34</f>
        <v>128</v>
      </c>
      <c r="J34" s="366" t="n">
        <f aca="false">IF(L34&gt;0,L34,0)</f>
        <v>0</v>
      </c>
      <c r="K34" s="134" t="n">
        <f aca="false">I34+J34</f>
        <v>128</v>
      </c>
      <c r="L34" s="134" t="n">
        <f aca="false">F34-(I34-AK34)</f>
        <v>-45.5717166624653</v>
      </c>
      <c r="M34" s="137" t="n">
        <v>314</v>
      </c>
      <c r="N34" s="158" t="n">
        <f aca="false">(1.8299*1.03)/2</f>
        <v>0.9423985</v>
      </c>
      <c r="O34" s="97" t="n">
        <f aca="false">87*1.05</f>
        <v>91.35</v>
      </c>
      <c r="P34" s="83" t="n">
        <v>0</v>
      </c>
      <c r="Q34" s="336" t="n">
        <f aca="false">2297800/325851/1.9835*1.02</f>
        <v>3.62627832336888</v>
      </c>
      <c r="R34" s="131" t="n">
        <v>4.2</v>
      </c>
      <c r="S34" s="131" t="n">
        <f aca="false">((8*1.04)-T34)-4.2</f>
        <v>2.6604224</v>
      </c>
      <c r="T34" s="131" t="n">
        <f aca="false">(1.324*1.06)*1.04</f>
        <v>1.4595776</v>
      </c>
      <c r="U34" s="355" t="n">
        <v>0</v>
      </c>
      <c r="V34" s="134" t="n">
        <v>144</v>
      </c>
      <c r="W34" s="134" t="n">
        <v>75</v>
      </c>
      <c r="X34" s="135" t="n">
        <f aca="false">M34-N34-O34-P34-Q34-R34-S34-T34-U34+V34+W34-AT34+AR34</f>
        <v>465.810323176631</v>
      </c>
      <c r="Y34" s="135" t="n">
        <f aca="false">X34-AO34</f>
        <v>458.810323176631</v>
      </c>
      <c r="Z34" s="107" t="n">
        <f aca="false">Z33-AA33</f>
        <v>12300.6054742973</v>
      </c>
      <c r="AA34" s="135" t="n">
        <f aca="false">Y34</f>
        <v>458.810323176631</v>
      </c>
      <c r="AB34" s="107"/>
      <c r="AC34" s="107" t="n">
        <f aca="false">AC33+AS34-(AQ33/1.9835)</f>
        <v>1404.26670148032</v>
      </c>
      <c r="AD34" s="107"/>
      <c r="AE34" s="134" t="n">
        <v>275</v>
      </c>
      <c r="AF34" s="137" t="n">
        <v>1.7</v>
      </c>
      <c r="AG34" s="138" t="n">
        <v>1.3</v>
      </c>
      <c r="AH34" s="134" t="n">
        <v>71</v>
      </c>
      <c r="AI34" s="80" t="n">
        <f aca="false">AI33-AH34</f>
        <v>11614.2578774893</v>
      </c>
      <c r="AJ34" s="80"/>
      <c r="AK34" s="134" t="n">
        <f aca="false">N35+O34+P34+Q34+R34+S34+T34+U34+X34+AE34+AH34-AR34</f>
        <v>879</v>
      </c>
      <c r="AL34" s="134" t="n">
        <f aca="false">IF(L34&lt;0,L34*-1,0)</f>
        <v>45.5717166624653</v>
      </c>
      <c r="AM34" s="134" t="n">
        <f aca="false">AK34+AL34</f>
        <v>924.571716662465</v>
      </c>
      <c r="AN34" s="451"/>
      <c r="AO34" s="150" t="n">
        <v>7</v>
      </c>
      <c r="AP34" s="150"/>
      <c r="AQ34" s="158" t="n">
        <f aca="false">63.14*(Z34*1.9835+AC34*1.9835)/E34</f>
        <v>10.4561915422924</v>
      </c>
      <c r="AR34" s="136" t="n">
        <v>37.049</v>
      </c>
      <c r="AS34" s="97" t="n">
        <v>6</v>
      </c>
      <c r="AT34" s="11"/>
      <c r="AV34" s="102" t="n">
        <v>0</v>
      </c>
      <c r="AW34" s="103" t="n">
        <v>87</v>
      </c>
      <c r="AX34" s="103" t="n">
        <v>51</v>
      </c>
      <c r="AY34" s="294"/>
      <c r="AZ34" s="250" t="n">
        <f aca="false">SUM(N34,P34:U34)</f>
        <v>12.8886768233689</v>
      </c>
    </row>
    <row r="35" customFormat="false" ht="12.95" hidden="false" customHeight="true" outlineLevel="0" collapsed="false">
      <c r="A35" s="10" t="n">
        <f aca="false">A34+1</f>
        <v>21</v>
      </c>
      <c r="B35" s="357" t="n">
        <v>6908.12</v>
      </c>
      <c r="C35" s="94" t="n">
        <v>314530</v>
      </c>
      <c r="D35" s="103" t="n">
        <f aca="false">C35-C34</f>
        <v>-1619</v>
      </c>
      <c r="E35" s="94" t="n">
        <f aca="false">C35-152000</f>
        <v>162530</v>
      </c>
      <c r="F35" s="141" t="n">
        <f aca="false">D35/$D$2</f>
        <v>-816.233929921855</v>
      </c>
      <c r="G35" s="134" t="n">
        <v>114</v>
      </c>
      <c r="H35" s="97" t="n">
        <v>0</v>
      </c>
      <c r="I35" s="134" t="n">
        <f aca="false">G35+H35</f>
        <v>114</v>
      </c>
      <c r="J35" s="366" t="n">
        <f aca="false">IF(L35&gt;0,L35,0)</f>
        <v>0</v>
      </c>
      <c r="K35" s="134" t="n">
        <f aca="false">I35+J35</f>
        <v>114</v>
      </c>
      <c r="L35" s="134" t="n">
        <f aca="false">F35-(I35-AK35)</f>
        <v>-43.2339299218553</v>
      </c>
      <c r="M35" s="137" t="n">
        <v>326</v>
      </c>
      <c r="N35" s="158" t="n">
        <f aca="false">(1.8299*1.03)/2</f>
        <v>0.9423985</v>
      </c>
      <c r="O35" s="142" t="n">
        <f aca="false">88*1.05</f>
        <v>92.4</v>
      </c>
      <c r="P35" s="83" t="n">
        <v>0</v>
      </c>
      <c r="Q35" s="336" t="n">
        <f aca="false">2259900/325851/1.9835*1.02</f>
        <v>3.56646635171961</v>
      </c>
      <c r="R35" s="131" t="n">
        <v>4.2</v>
      </c>
      <c r="S35" s="131" t="n">
        <f aca="false">((8*1.04)-T35)-4.2</f>
        <v>2.6604224</v>
      </c>
      <c r="T35" s="131" t="n">
        <f aca="false">(1.324*1.06)*1.04</f>
        <v>1.4595776</v>
      </c>
      <c r="U35" s="355" t="n">
        <v>0</v>
      </c>
      <c r="V35" s="134" t="n">
        <v>144</v>
      </c>
      <c r="W35" s="134" t="n">
        <v>75</v>
      </c>
      <c r="X35" s="135" t="n">
        <f aca="false">M35-N35-O35-P35-Q35-R35-S35-T35-U35+V35+W35-AT35+AR35</f>
        <v>476.82013514828</v>
      </c>
      <c r="Y35" s="135" t="n">
        <f aca="false">X35-AO35</f>
        <v>469.82013514828</v>
      </c>
      <c r="Z35" s="107" t="n">
        <f aca="false">Z34-AA34</f>
        <v>11841.7951511207</v>
      </c>
      <c r="AA35" s="135" t="n">
        <f aca="false">Y35</f>
        <v>469.82013514828</v>
      </c>
      <c r="AB35" s="107"/>
      <c r="AC35" s="107" t="n">
        <f aca="false">AC34+AS35-(AQ34/1.9835)</f>
        <v>1404.99511512171</v>
      </c>
      <c r="AD35" s="107"/>
      <c r="AE35" s="134" t="n">
        <v>271</v>
      </c>
      <c r="AF35" s="137" t="n">
        <v>1.7</v>
      </c>
      <c r="AG35" s="138" t="n">
        <v>1.3</v>
      </c>
      <c r="AH35" s="134" t="n">
        <v>71</v>
      </c>
      <c r="AI35" s="80" t="n">
        <f aca="false">AI34-AH35</f>
        <v>11543.2578774893</v>
      </c>
      <c r="AJ35" s="80"/>
      <c r="AK35" s="134" t="n">
        <f aca="false">N36+O35+P35+Q35+R35+S35+T35+U35+X35+AE35+AH35-AR35</f>
        <v>887</v>
      </c>
      <c r="AL35" s="134" t="n">
        <f aca="false">IF(L35&lt;0,L35*-1,0)</f>
        <v>43.2339299218553</v>
      </c>
      <c r="AM35" s="134" t="n">
        <f aca="false">AK35+AL35</f>
        <v>930.233929921855</v>
      </c>
      <c r="AN35" s="451"/>
      <c r="AO35" s="150" t="n">
        <v>7</v>
      </c>
      <c r="AP35" s="150"/>
      <c r="AQ35" s="158" t="n">
        <f aca="false">63.14*(Z35*1.9835+AC35*1.9835)/E35</f>
        <v>10.2073711699613</v>
      </c>
      <c r="AR35" s="136" t="n">
        <v>37.049</v>
      </c>
      <c r="AS35" s="97" t="n">
        <v>6</v>
      </c>
      <c r="AT35" s="11"/>
      <c r="AV35" s="102" t="n">
        <v>0</v>
      </c>
      <c r="AW35" s="103" t="n">
        <v>95</v>
      </c>
      <c r="AX35" s="103" t="n">
        <v>56</v>
      </c>
      <c r="AY35" s="294"/>
      <c r="AZ35" s="250" t="n">
        <f aca="false">SUM(N35,P35:U35)</f>
        <v>12.8288648517196</v>
      </c>
    </row>
    <row r="36" customFormat="false" ht="12.95" hidden="false" customHeight="true" outlineLevel="0" collapsed="false">
      <c r="A36" s="10" t="n">
        <f aca="false">A35+1</f>
        <v>22</v>
      </c>
      <c r="B36" s="357" t="n">
        <v>6907.71</v>
      </c>
      <c r="C36" s="94" t="n">
        <v>312920</v>
      </c>
      <c r="D36" s="103" t="n">
        <f aca="false">C36-C35</f>
        <v>-1610</v>
      </c>
      <c r="E36" s="94" t="n">
        <f aca="false">C36-152000</f>
        <v>160920</v>
      </c>
      <c r="F36" s="141" t="n">
        <f aca="false">D36/$D$2</f>
        <v>-811.696496092765</v>
      </c>
      <c r="G36" s="134" t="n">
        <v>110</v>
      </c>
      <c r="H36" s="97" t="n">
        <v>0</v>
      </c>
      <c r="I36" s="134" t="n">
        <f aca="false">G36+H36</f>
        <v>110</v>
      </c>
      <c r="J36" s="366" t="n">
        <f aca="false">IF(L36&gt;0,L36,0)</f>
        <v>0</v>
      </c>
      <c r="K36" s="134" t="n">
        <f aca="false">I36+J36</f>
        <v>110</v>
      </c>
      <c r="L36" s="134" t="n">
        <f aca="false">F36-(I36-AK36)</f>
        <v>-46.6964960927653</v>
      </c>
      <c r="M36" s="137" t="n">
        <v>318</v>
      </c>
      <c r="N36" s="158" t="n">
        <f aca="false">(1.8299*1.03)/2</f>
        <v>0.9423985</v>
      </c>
      <c r="O36" s="142" t="n">
        <f aca="false">80*1.05</f>
        <v>84</v>
      </c>
      <c r="P36" s="83" t="n">
        <v>0</v>
      </c>
      <c r="Q36" s="336" t="n">
        <f aca="false">2190400/325851/1.9835*1.02</f>
        <v>3.45678476782452</v>
      </c>
      <c r="R36" s="131" t="n">
        <v>4.2</v>
      </c>
      <c r="S36" s="131" t="n">
        <f aca="false">((8*1.04)-T36)-4.2</f>
        <v>2.62216912</v>
      </c>
      <c r="T36" s="131" t="n">
        <f aca="false">(1.3587*1.06)*1.04</f>
        <v>1.49783088</v>
      </c>
      <c r="U36" s="355" t="n">
        <v>0</v>
      </c>
      <c r="V36" s="134" t="n">
        <v>140</v>
      </c>
      <c r="W36" s="134" t="n">
        <v>75</v>
      </c>
      <c r="X36" s="135" t="n">
        <f aca="false">M36-N36-O36-P36-Q36-R36-S36-T36-U36+V36+W36-AT36+AR36</f>
        <v>473.329816732175</v>
      </c>
      <c r="Y36" s="135" t="n">
        <f aca="false">X36-AO36</f>
        <v>466.329816732176</v>
      </c>
      <c r="Z36" s="107" t="n">
        <f aca="false">Z35-AA35</f>
        <v>11371.9750159724</v>
      </c>
      <c r="AA36" s="135" t="n">
        <f aca="false">Y36</f>
        <v>466.329816732176</v>
      </c>
      <c r="AB36" s="107"/>
      <c r="AC36" s="107" t="n">
        <f aca="false">AC35+AS36-(AQ35/1.9835)</f>
        <v>1405.84897387142</v>
      </c>
      <c r="AD36" s="107"/>
      <c r="AE36" s="134" t="n">
        <v>271</v>
      </c>
      <c r="AF36" s="137" t="n">
        <v>1.7</v>
      </c>
      <c r="AG36" s="138" t="n">
        <v>1.3</v>
      </c>
      <c r="AH36" s="134" t="n">
        <v>71</v>
      </c>
      <c r="AI36" s="80" t="n">
        <f aca="false">AI35-AH36</f>
        <v>11472.2578774893</v>
      </c>
      <c r="AJ36" s="80"/>
      <c r="AK36" s="134" t="n">
        <f aca="false">N37+O36+P36+Q36+R36+S36+T36+U36+X36+AE36+AH36-AR36</f>
        <v>875</v>
      </c>
      <c r="AL36" s="134" t="n">
        <f aca="false">IF(L36&lt;0,L36*-1,0)</f>
        <v>46.6964960927653</v>
      </c>
      <c r="AM36" s="134" t="n">
        <f aca="false">AK36+AL36</f>
        <v>921.696496092765</v>
      </c>
      <c r="AN36" s="451"/>
      <c r="AO36" s="150" t="n">
        <v>7</v>
      </c>
      <c r="AP36" s="150"/>
      <c r="AQ36" s="158" t="n">
        <f aca="false">63.14*(Z36*1.9835+AC36*1.9835)/E36</f>
        <v>9.94451621070479</v>
      </c>
      <c r="AR36" s="136" t="n">
        <v>37.049</v>
      </c>
      <c r="AS36" s="97" t="n">
        <v>6</v>
      </c>
      <c r="AT36" s="11"/>
      <c r="AV36" s="102" t="n">
        <v>0</v>
      </c>
      <c r="AW36" s="103" t="n">
        <v>95</v>
      </c>
      <c r="AX36" s="103" t="n">
        <v>61</v>
      </c>
      <c r="AY36" s="294"/>
      <c r="AZ36" s="250" t="n">
        <f aca="false">SUM(N36,P36:U36)</f>
        <v>12.7191832678245</v>
      </c>
    </row>
    <row r="37" customFormat="false" ht="12.95" hidden="false" customHeight="true" outlineLevel="0" collapsed="false">
      <c r="A37" s="10" t="n">
        <f aca="false">A36+1</f>
        <v>23</v>
      </c>
      <c r="B37" s="357" t="n">
        <v>6907.29</v>
      </c>
      <c r="C37" s="94" t="n">
        <v>311274</v>
      </c>
      <c r="D37" s="103" t="n">
        <f aca="false">C37-C36</f>
        <v>-1646</v>
      </c>
      <c r="E37" s="94" t="n">
        <f aca="false">C37-152000</f>
        <v>159274</v>
      </c>
      <c r="F37" s="141" t="n">
        <f aca="false">D37/$D$2</f>
        <v>-829.846231409125</v>
      </c>
      <c r="G37" s="134" t="n">
        <v>105</v>
      </c>
      <c r="H37" s="97" t="n">
        <v>0</v>
      </c>
      <c r="I37" s="134" t="n">
        <f aca="false">G37+H37</f>
        <v>105</v>
      </c>
      <c r="J37" s="366" t="n">
        <f aca="false">IF(L37&gt;0,L37,0)</f>
        <v>0</v>
      </c>
      <c r="K37" s="134" t="n">
        <f aca="false">I37+J37</f>
        <v>105</v>
      </c>
      <c r="L37" s="134" t="n">
        <f aca="false">F37-(I37-AK37)</f>
        <v>-36.8462314091253</v>
      </c>
      <c r="M37" s="137" t="n">
        <v>319</v>
      </c>
      <c r="N37" s="158" t="n">
        <f aca="false">(1.8299*1.03)/2</f>
        <v>0.9423985</v>
      </c>
      <c r="O37" s="142" t="n">
        <f aca="false">77*1.05</f>
        <v>80.85</v>
      </c>
      <c r="P37" s="83" t="n">
        <v>0</v>
      </c>
      <c r="Q37" s="336" t="n">
        <f aca="false">2393500/325851/1.9835*1.02</f>
        <v>3.77730749716398</v>
      </c>
      <c r="R37" s="131" t="n">
        <v>4.2</v>
      </c>
      <c r="S37" s="131" t="n">
        <f aca="false">((8.4*1.04)-T37)-4.2</f>
        <v>3.03816912</v>
      </c>
      <c r="T37" s="131" t="n">
        <f aca="false">(1.3587*1.06)*1.04</f>
        <v>1.49783088</v>
      </c>
      <c r="U37" s="355" t="n">
        <v>0</v>
      </c>
      <c r="V37" s="134" t="n">
        <v>142</v>
      </c>
      <c r="W37" s="134" t="n">
        <v>74</v>
      </c>
      <c r="X37" s="135" t="n">
        <f aca="false">M37-N37-O37-P37-Q37-R37-S37-T37-U37+V37+W37-AT37+AR37</f>
        <v>477.743294002836</v>
      </c>
      <c r="Y37" s="135" t="n">
        <f aca="false">X37-AO37</f>
        <v>470.743294002836</v>
      </c>
      <c r="Z37" s="107" t="n">
        <f aca="false">Z36-AA36</f>
        <v>10905.6451992402</v>
      </c>
      <c r="AA37" s="135" t="n">
        <f aca="false">Y37</f>
        <v>470.743294002836</v>
      </c>
      <c r="AB37" s="107"/>
      <c r="AC37" s="107" t="n">
        <f aca="false">AC36+AS37-(AQ36/1.9835)</f>
        <v>1406.83535339715</v>
      </c>
      <c r="AD37" s="107"/>
      <c r="AE37" s="134" t="n">
        <v>292</v>
      </c>
      <c r="AF37" s="137" t="n">
        <v>1.7</v>
      </c>
      <c r="AG37" s="138" t="n">
        <v>1.3</v>
      </c>
      <c r="AH37" s="134" t="n">
        <v>71</v>
      </c>
      <c r="AI37" s="80" t="n">
        <f aca="false">AI36-AH37</f>
        <v>11401.2578774893</v>
      </c>
      <c r="AJ37" s="80"/>
      <c r="AK37" s="134" t="n">
        <f aca="false">N38+O37+P37+Q37+R37+S37+T37+U37+X37+AE37+AH37-AR37</f>
        <v>898</v>
      </c>
      <c r="AL37" s="134" t="n">
        <f aca="false">IF(L37&lt;0,L37*-1,0)</f>
        <v>36.8462314091253</v>
      </c>
      <c r="AM37" s="134" t="n">
        <f aca="false">AK37+AL37</f>
        <v>934.846231409125</v>
      </c>
      <c r="AN37" s="451"/>
      <c r="AO37" s="150" t="n">
        <v>7</v>
      </c>
      <c r="AP37" s="150"/>
      <c r="AQ37" s="158" t="n">
        <f aca="false">63.14*(Z37*1.9835+AC37*1.9835)/E37</f>
        <v>9.68138414821315</v>
      </c>
      <c r="AR37" s="136" t="n">
        <v>37.049</v>
      </c>
      <c r="AS37" s="97" t="n">
        <v>6</v>
      </c>
      <c r="AT37" s="11"/>
      <c r="AV37" s="102" t="n">
        <v>0</v>
      </c>
      <c r="AW37" s="103" t="n">
        <v>95</v>
      </c>
      <c r="AX37" s="103" t="n">
        <v>56</v>
      </c>
      <c r="AY37" s="294"/>
      <c r="AZ37" s="250" t="n">
        <f aca="false">SUM(N37,P37:U37)</f>
        <v>13.455705997164</v>
      </c>
    </row>
    <row r="38" customFormat="false" ht="12.95" hidden="false" customHeight="true" outlineLevel="0" collapsed="false">
      <c r="A38" s="10" t="n">
        <f aca="false">A37+1</f>
        <v>24</v>
      </c>
      <c r="B38" s="357" t="n">
        <v>6906.88</v>
      </c>
      <c r="C38" s="94" t="n">
        <v>309671</v>
      </c>
      <c r="D38" s="103" t="n">
        <f aca="false">C38-C37</f>
        <v>-1603</v>
      </c>
      <c r="E38" s="94" t="n">
        <f aca="false">C38-152000</f>
        <v>157671</v>
      </c>
      <c r="F38" s="141" t="n">
        <f aca="false">D38/$D$2</f>
        <v>-808.167380892362</v>
      </c>
      <c r="G38" s="134" t="n">
        <v>105</v>
      </c>
      <c r="H38" s="97" t="n">
        <v>0</v>
      </c>
      <c r="I38" s="134" t="n">
        <f aca="false">G38+H38</f>
        <v>105</v>
      </c>
      <c r="J38" s="366" t="n">
        <f aca="false">IF(L38&gt;0,L38,0)</f>
        <v>0</v>
      </c>
      <c r="K38" s="134" t="n">
        <f aca="false">I38+J38</f>
        <v>105</v>
      </c>
      <c r="L38" s="134" t="n">
        <f aca="false">F38-(I38-AK38)</f>
        <v>-38.167380892362</v>
      </c>
      <c r="M38" s="137" t="n">
        <v>317</v>
      </c>
      <c r="N38" s="158" t="n">
        <f aca="false">(1.8299*1.03)/2</f>
        <v>0.9423985</v>
      </c>
      <c r="O38" s="142" t="n">
        <f aca="false">75*1.05</f>
        <v>78.75</v>
      </c>
      <c r="P38" s="83" t="n">
        <v>0</v>
      </c>
      <c r="Q38" s="336" t="n">
        <f aca="false">2712900/325851/1.9835*1.02</f>
        <v>4.28136933739552</v>
      </c>
      <c r="R38" s="131" t="n">
        <v>4.2</v>
      </c>
      <c r="S38" s="131" t="n">
        <f aca="false">((8.4*1.04)-T38)-4.2</f>
        <v>3.03816912</v>
      </c>
      <c r="T38" s="131" t="n">
        <f aca="false">(1.3587*1.06)*1.04</f>
        <v>1.49783088</v>
      </c>
      <c r="U38" s="355" t="n">
        <v>0</v>
      </c>
      <c r="V38" s="134" t="n">
        <v>143</v>
      </c>
      <c r="W38" s="134" t="n">
        <v>75</v>
      </c>
      <c r="X38" s="135" t="n">
        <f aca="false">M38-N38-O38-P38-Q38-R38-S38-T38-U38+V38+W38-AT38+AR38</f>
        <v>479.339232162605</v>
      </c>
      <c r="Y38" s="135" t="n">
        <f aca="false">X38-AO38</f>
        <v>472.339232162604</v>
      </c>
      <c r="Z38" s="107" t="n">
        <f aca="false">Z37-AA37</f>
        <v>10434.9019052374</v>
      </c>
      <c r="AA38" s="135" t="n">
        <f aca="false">Y38</f>
        <v>472.339232162604</v>
      </c>
      <c r="AB38" s="107"/>
      <c r="AC38" s="107" t="n">
        <f aca="false">AC37+AS38-(AQ37/1.9835)</f>
        <v>1407.95439340309</v>
      </c>
      <c r="AD38" s="107"/>
      <c r="AE38" s="134" t="n">
        <v>269</v>
      </c>
      <c r="AF38" s="137" t="n">
        <v>1.7</v>
      </c>
      <c r="AG38" s="138" t="n">
        <v>1.3</v>
      </c>
      <c r="AH38" s="134" t="n">
        <v>71</v>
      </c>
      <c r="AI38" s="80" t="n">
        <f aca="false">AI37-AH38</f>
        <v>11330.2578774893</v>
      </c>
      <c r="AJ38" s="80"/>
      <c r="AK38" s="134" t="n">
        <f aca="false">N39+O38+P38+Q38+R38+S38+T38+U38+X38+AE38+AH38-AR38</f>
        <v>875</v>
      </c>
      <c r="AL38" s="134" t="n">
        <f aca="false">IF(L38&lt;0,L38*-1,0)</f>
        <v>38.167380892362</v>
      </c>
      <c r="AM38" s="134" t="n">
        <f aca="false">AK38+AL38</f>
        <v>913.167380892362</v>
      </c>
      <c r="AN38" s="451"/>
      <c r="AO38" s="150" t="n">
        <v>7</v>
      </c>
      <c r="AP38" s="150"/>
      <c r="AQ38" s="158" t="n">
        <f aca="false">63.14*(Z38*1.9835+AC38*1.9835)/E38</f>
        <v>9.4067893732635</v>
      </c>
      <c r="AR38" s="136" t="n">
        <v>37.049</v>
      </c>
      <c r="AS38" s="97" t="n">
        <v>6</v>
      </c>
      <c r="AT38" s="11"/>
      <c r="AV38" s="102" t="n">
        <v>0</v>
      </c>
      <c r="AW38" s="103" t="n">
        <v>97</v>
      </c>
      <c r="AX38" s="103" t="n">
        <v>61</v>
      </c>
      <c r="AY38" s="294"/>
      <c r="AZ38" s="250" t="n">
        <f aca="false">SUM(N38,P38:U38)</f>
        <v>13.9597678373955</v>
      </c>
    </row>
    <row r="39" customFormat="false" ht="12.95" hidden="false" customHeight="true" outlineLevel="0" collapsed="false">
      <c r="A39" s="10" t="n">
        <f aca="false">A38+1</f>
        <v>25</v>
      </c>
      <c r="B39" s="357" t="n">
        <v>6906.44</v>
      </c>
      <c r="C39" s="94" t="n">
        <v>307961</v>
      </c>
      <c r="D39" s="103" t="n">
        <f aca="false">C39-C38</f>
        <v>-1710</v>
      </c>
      <c r="E39" s="94" t="n">
        <f aca="false">C39-152000</f>
        <v>155961</v>
      </c>
      <c r="F39" s="141" t="n">
        <f aca="false">D39/$D$2</f>
        <v>-862.112427527099</v>
      </c>
      <c r="G39" s="134" t="n">
        <v>92</v>
      </c>
      <c r="H39" s="97" t="n">
        <v>0</v>
      </c>
      <c r="I39" s="134" t="n">
        <f aca="false">G39+H39</f>
        <v>92</v>
      </c>
      <c r="J39" s="366" t="n">
        <f aca="false">IF(L39&gt;0,L39,0)</f>
        <v>0</v>
      </c>
      <c r="K39" s="134" t="n">
        <f aca="false">I39+J39</f>
        <v>92</v>
      </c>
      <c r="L39" s="134" t="n">
        <f aca="false">F39-(I39-AK39)</f>
        <v>-35.1124275270986</v>
      </c>
      <c r="M39" s="137" t="n">
        <v>332</v>
      </c>
      <c r="N39" s="158" t="n">
        <f aca="false">(1.8299*1.03)/2</f>
        <v>0.9423985</v>
      </c>
      <c r="O39" s="142" t="n">
        <f aca="false">81*1.05</f>
        <v>85.05</v>
      </c>
      <c r="P39" s="83" t="n">
        <v>0</v>
      </c>
      <c r="Q39" s="336" t="n">
        <f aca="false">2253900/325851/1.9835*1.02</f>
        <v>3.55699743800205</v>
      </c>
      <c r="R39" s="131" t="n">
        <v>4.2</v>
      </c>
      <c r="S39" s="131" t="n">
        <f aca="false">((8.4*1.04)-T39)-4.2</f>
        <v>3.03816912</v>
      </c>
      <c r="T39" s="131" t="n">
        <f aca="false">(1.3587*1.06)*1.04</f>
        <v>1.49783088</v>
      </c>
      <c r="U39" s="355" t="n">
        <v>0</v>
      </c>
      <c r="V39" s="134" t="n">
        <v>148</v>
      </c>
      <c r="W39" s="134" t="n">
        <v>75</v>
      </c>
      <c r="X39" s="135" t="n">
        <f aca="false">M39-N39-O39-P39-Q39-R39-S39-T39-U39+V39+W39-AT39+AR39</f>
        <v>493.763604061998</v>
      </c>
      <c r="Y39" s="135" t="n">
        <f aca="false">X39-AO39</f>
        <v>486.763604061998</v>
      </c>
      <c r="Z39" s="107" t="n">
        <f aca="false">Z38-AA38</f>
        <v>9962.56267307476</v>
      </c>
      <c r="AA39" s="135" t="n">
        <f aca="false">Y39</f>
        <v>486.763604061998</v>
      </c>
      <c r="AB39" s="107"/>
      <c r="AC39" s="107" t="n">
        <f aca="false">AC38+AS39-(AQ38/1.9835)</f>
        <v>1409.2118729225</v>
      </c>
      <c r="AD39" s="107"/>
      <c r="AE39" s="134" t="n">
        <v>293</v>
      </c>
      <c r="AF39" s="137" t="n">
        <v>1.7</v>
      </c>
      <c r="AG39" s="138" t="n">
        <v>1.3</v>
      </c>
      <c r="AH39" s="134" t="n">
        <v>71</v>
      </c>
      <c r="AI39" s="80" t="n">
        <f aca="false">AI38-AH39</f>
        <v>11259.2578774893</v>
      </c>
      <c r="AJ39" s="80"/>
      <c r="AK39" s="134" t="n">
        <f aca="false">N40+O39+P39+Q39+R39+S39+T39+U39+X39+AE39+AH39-AR39</f>
        <v>919</v>
      </c>
      <c r="AL39" s="134" t="n">
        <f aca="false">IF(L39&lt;0,L39*-1,0)</f>
        <v>35.1124275270986</v>
      </c>
      <c r="AM39" s="134" t="n">
        <f aca="false">AK39+AL39</f>
        <v>954.112427527099</v>
      </c>
      <c r="AN39" s="451"/>
      <c r="AO39" s="150" t="n">
        <v>7</v>
      </c>
      <c r="AP39" s="150"/>
      <c r="AQ39" s="158" t="n">
        <f aca="false">63.14*(Z39*1.9835+AC39*1.9835)/E39</f>
        <v>9.13164484216418</v>
      </c>
      <c r="AR39" s="136" t="n">
        <v>37.049</v>
      </c>
      <c r="AS39" s="97" t="n">
        <v>6</v>
      </c>
      <c r="AT39" s="11"/>
      <c r="AV39" s="102" t="n">
        <v>0</v>
      </c>
      <c r="AW39" s="103" t="n">
        <v>95</v>
      </c>
      <c r="AX39" s="103" t="n">
        <v>61</v>
      </c>
      <c r="AY39" s="294"/>
      <c r="AZ39" s="250" t="n">
        <f aca="false">SUM(N39,P39:U39)</f>
        <v>13.2353959380021</v>
      </c>
    </row>
    <row r="40" customFormat="false" ht="12.95" hidden="false" customHeight="true" outlineLevel="0" collapsed="false">
      <c r="A40" s="10" t="n">
        <f aca="false">A39+1</f>
        <v>26</v>
      </c>
      <c r="B40" s="357" t="n">
        <v>6906.02</v>
      </c>
      <c r="C40" s="94" t="n">
        <v>306329</v>
      </c>
      <c r="D40" s="103" t="n">
        <f aca="false">C40-C39</f>
        <v>-1632</v>
      </c>
      <c r="E40" s="94" t="n">
        <f aca="false">C40-152000</f>
        <v>154329</v>
      </c>
      <c r="F40" s="141" t="n">
        <f aca="false">D40/$D$2</f>
        <v>-822.788001008319</v>
      </c>
      <c r="G40" s="134" t="n">
        <v>81</v>
      </c>
      <c r="H40" s="97" t="n">
        <v>0</v>
      </c>
      <c r="I40" s="134" t="n">
        <f aca="false">G40+H40</f>
        <v>81</v>
      </c>
      <c r="J40" s="366" t="n">
        <f aca="false">IF(L40&gt;0,L40,0)</f>
        <v>17.2119989916814</v>
      </c>
      <c r="K40" s="134" t="n">
        <f aca="false">I40+J40</f>
        <v>98.2119989916814</v>
      </c>
      <c r="L40" s="134" t="n">
        <f aca="false">F40-(I40-AK40)</f>
        <v>17.2119989916814</v>
      </c>
      <c r="M40" s="137" t="n">
        <v>318</v>
      </c>
      <c r="N40" s="158" t="n">
        <f aca="false">(1.8299*1.03)/2</f>
        <v>0.9423985</v>
      </c>
      <c r="O40" s="4" t="n">
        <f aca="false">83*1.05</f>
        <v>87.15</v>
      </c>
      <c r="P40" s="83" t="n">
        <v>0</v>
      </c>
      <c r="Q40" s="336" t="n">
        <f aca="false">2329800/325851/1.9835*1.02</f>
        <v>3.6767791965292</v>
      </c>
      <c r="R40" s="131" t="n">
        <v>4.2</v>
      </c>
      <c r="S40" s="131" t="n">
        <f aca="false">((8*1.04)-T40)-4.2</f>
        <v>2.62216912</v>
      </c>
      <c r="T40" s="131" t="n">
        <f aca="false">(1.3587*1.06)*1.04</f>
        <v>1.49783088</v>
      </c>
      <c r="U40" s="355" t="n">
        <v>0</v>
      </c>
      <c r="V40" s="134" t="n">
        <v>149</v>
      </c>
      <c r="W40" s="134" t="n">
        <v>75</v>
      </c>
      <c r="X40" s="135" t="n">
        <f aca="false">M40-N40-O40-P40-Q40-R40-S40-T40-U40+V40+W40-AT40+AR40</f>
        <v>478.959822303471</v>
      </c>
      <c r="Y40" s="135" t="n">
        <f aca="false">X40-AO40</f>
        <v>471.959822303471</v>
      </c>
      <c r="Z40" s="107" t="n">
        <f aca="false">Z39-AA39</f>
        <v>9475.79906901276</v>
      </c>
      <c r="AA40" s="135" t="n">
        <f aca="false">Y40</f>
        <v>471.959822303471</v>
      </c>
      <c r="AB40" s="107"/>
      <c r="AC40" s="107" t="n">
        <f aca="false">AC39+AS40-(AQ39/1.9835)</f>
        <v>1410.60806912004</v>
      </c>
      <c r="AD40" s="107"/>
      <c r="AE40" s="460" t="n">
        <v>309</v>
      </c>
      <c r="AF40" s="137" t="n">
        <v>1.7</v>
      </c>
      <c r="AG40" s="138" t="n">
        <v>1.3</v>
      </c>
      <c r="AH40" s="134" t="n">
        <v>70</v>
      </c>
      <c r="AI40" s="80" t="n">
        <f aca="false">AI39-AH40</f>
        <v>11189.2578774893</v>
      </c>
      <c r="AJ40" s="80"/>
      <c r="AK40" s="134" t="n">
        <f aca="false">N41+O40+P40+Q40+R40+S40+T40+U40+X40+AE40+AH40-AR40</f>
        <v>921</v>
      </c>
      <c r="AL40" s="134" t="n">
        <f aca="false">IF(L40&lt;0,L40*-1,0)</f>
        <v>0</v>
      </c>
      <c r="AM40" s="134" t="n">
        <f aca="false">AK40+AL40</f>
        <v>921</v>
      </c>
      <c r="AN40" s="451"/>
      <c r="AO40" s="150" t="n">
        <v>7</v>
      </c>
      <c r="AP40" s="150"/>
      <c r="AQ40" s="158" t="n">
        <f aca="false">63.14*(Z40*1.9835+AC40*1.9835)/E40</f>
        <v>8.83433395915759</v>
      </c>
      <c r="AR40" s="136" t="n">
        <v>37.049</v>
      </c>
      <c r="AS40" s="97" t="n">
        <v>6</v>
      </c>
      <c r="AT40" s="4"/>
      <c r="AV40" s="102" t="n">
        <v>0.01</v>
      </c>
      <c r="AW40" s="103" t="n">
        <v>91</v>
      </c>
      <c r="AX40" s="103" t="n">
        <v>60</v>
      </c>
      <c r="AY40" s="294"/>
      <c r="AZ40" s="250" t="n">
        <f aca="false">SUM(N40,P40:U40)</f>
        <v>12.9391776965292</v>
      </c>
    </row>
    <row r="41" customFormat="false" ht="12.95" hidden="false" customHeight="true" outlineLevel="0" collapsed="false">
      <c r="A41" s="10" t="n">
        <f aca="false">A40+1</f>
        <v>27</v>
      </c>
      <c r="B41" s="357" t="n">
        <v>6905.59</v>
      </c>
      <c r="C41" s="94" t="n">
        <v>304670</v>
      </c>
      <c r="D41" s="103" t="n">
        <f aca="false">C41-C40</f>
        <v>-1659</v>
      </c>
      <c r="E41" s="94" t="n">
        <f aca="false">C41-152000</f>
        <v>152670</v>
      </c>
      <c r="F41" s="141" t="n">
        <f aca="false">D41/$D$2</f>
        <v>-836.400302495589</v>
      </c>
      <c r="G41" s="134" t="n">
        <v>82</v>
      </c>
      <c r="H41" s="97" t="n">
        <v>0</v>
      </c>
      <c r="I41" s="134" t="n">
        <f aca="false">G41+H41</f>
        <v>82</v>
      </c>
      <c r="J41" s="366" t="n">
        <f aca="false">IF(L41&gt;0,L41,0)</f>
        <v>0</v>
      </c>
      <c r="K41" s="134" t="n">
        <f aca="false">I41+J41</f>
        <v>82</v>
      </c>
      <c r="L41" s="134" t="n">
        <f aca="false">F41-(I41-AK41)</f>
        <v>-16.4003024955886</v>
      </c>
      <c r="M41" s="137" t="n">
        <v>308</v>
      </c>
      <c r="N41" s="158" t="n">
        <f aca="false">(1.8299*1.03)/2</f>
        <v>0.9423985</v>
      </c>
      <c r="O41" s="142" t="n">
        <f aca="false">63*1.05</f>
        <v>66.15</v>
      </c>
      <c r="P41" s="83" t="n">
        <v>0</v>
      </c>
      <c r="Q41" s="336" t="n">
        <f aca="false">2031100/325851/1.9835*1.02</f>
        <v>3.20538510862326</v>
      </c>
      <c r="R41" s="131" t="n">
        <v>4.2</v>
      </c>
      <c r="S41" s="131" t="n">
        <f aca="false">((8*1.04)-T41)-4.2</f>
        <v>2.62216912</v>
      </c>
      <c r="T41" s="131" t="n">
        <f aca="false">(1.3587*1.06)*1.04</f>
        <v>1.49783088</v>
      </c>
      <c r="U41" s="355" t="n">
        <v>0</v>
      </c>
      <c r="V41" s="134" t="n">
        <v>149</v>
      </c>
      <c r="W41" s="134" t="n">
        <v>75</v>
      </c>
      <c r="X41" s="135" t="n">
        <f aca="false">M41-N41-O41-P41-Q41-R41-S41-T41-U41+V41+W41-AT41+AR41</f>
        <v>490.431216391377</v>
      </c>
      <c r="Y41" s="135" t="n">
        <f aca="false">X41-AO41</f>
        <v>483.431216391377</v>
      </c>
      <c r="Z41" s="107" t="n">
        <f aca="false">Z40-AA40</f>
        <v>9003.83924670929</v>
      </c>
      <c r="AA41" s="135" t="n">
        <f aca="false">Y41</f>
        <v>483.431216391377</v>
      </c>
      <c r="AB41" s="107"/>
      <c r="AC41" s="107" t="n">
        <f aca="false">AC40+AS41-(AQ40/1.9835)</f>
        <v>1412.15415736852</v>
      </c>
      <c r="AD41" s="107"/>
      <c r="AE41" s="134" t="n">
        <v>301</v>
      </c>
      <c r="AF41" s="137" t="n">
        <v>1.7</v>
      </c>
      <c r="AG41" s="138" t="n">
        <v>1.3</v>
      </c>
      <c r="AH41" s="134" t="n">
        <v>69</v>
      </c>
      <c r="AI41" s="80" t="n">
        <f aca="false">AI40-AH41</f>
        <v>11120.2578774893</v>
      </c>
      <c r="AJ41" s="80"/>
      <c r="AK41" s="134" t="n">
        <f aca="false">N42+O41+P41+Q41+R41+S41+T41+U41+X41+AE41+AH41-AR41</f>
        <v>902</v>
      </c>
      <c r="AL41" s="134" t="n">
        <f aca="false">IF(L41&lt;0,L41*-1,0)</f>
        <v>16.4003024955886</v>
      </c>
      <c r="AM41" s="134" t="n">
        <f aca="false">AK41+AL41</f>
        <v>918.400302495589</v>
      </c>
      <c r="AN41" s="451"/>
      <c r="AO41" s="150" t="n">
        <v>7</v>
      </c>
      <c r="AP41" s="150"/>
      <c r="AQ41" s="158" t="n">
        <f aca="false">63.14*(Z41*1.9835+AC41*1.9835)/E41</f>
        <v>8.54444331550824</v>
      </c>
      <c r="AR41" s="136" t="n">
        <v>37.049</v>
      </c>
      <c r="AS41" s="97" t="n">
        <v>6</v>
      </c>
      <c r="AT41" s="11"/>
      <c r="AV41" s="102" t="n">
        <v>0</v>
      </c>
      <c r="AW41" s="103" t="n">
        <v>90</v>
      </c>
      <c r="AX41" s="103" t="n">
        <v>61</v>
      </c>
      <c r="AY41" s="294"/>
      <c r="AZ41" s="250" t="n">
        <f aca="false">SUM(N41,P41:U41)</f>
        <v>12.4677836086233</v>
      </c>
    </row>
    <row r="42" customFormat="false" ht="12.95" hidden="false" customHeight="true" outlineLevel="0" collapsed="false">
      <c r="A42" s="10" t="n">
        <f aca="false">A41+1</f>
        <v>28</v>
      </c>
      <c r="B42" s="357" t="n">
        <v>6905.19</v>
      </c>
      <c r="C42" s="94" t="n">
        <v>303128</v>
      </c>
      <c r="D42" s="103" t="n">
        <f aca="false">C42-C41</f>
        <v>-1542</v>
      </c>
      <c r="E42" s="94" t="n">
        <f aca="false">C42-152000</f>
        <v>151128</v>
      </c>
      <c r="F42" s="141" t="n">
        <f aca="false">D42/$D$2</f>
        <v>-777.413662717419</v>
      </c>
      <c r="G42" s="134" t="n">
        <v>80</v>
      </c>
      <c r="H42" s="97" t="n">
        <v>0</v>
      </c>
      <c r="I42" s="134" t="n">
        <f aca="false">G42+H42</f>
        <v>80</v>
      </c>
      <c r="J42" s="366" t="n">
        <f aca="false">IF(L42&gt;0,L42,0)</f>
        <v>0</v>
      </c>
      <c r="K42" s="134" t="n">
        <f aca="false">I42+J42</f>
        <v>80</v>
      </c>
      <c r="L42" s="134" t="n">
        <f aca="false">F42-(I42-AK42)</f>
        <v>-14.4136627174187</v>
      </c>
      <c r="M42" s="137" t="n">
        <v>314</v>
      </c>
      <c r="N42" s="158" t="n">
        <f aca="false">(1.8299*1.03)/2</f>
        <v>0.9423985</v>
      </c>
      <c r="O42" s="142" t="n">
        <f aca="false">88*1.05</f>
        <v>92.4</v>
      </c>
      <c r="P42" s="83" t="n">
        <v>0</v>
      </c>
      <c r="Q42" s="336" t="n">
        <f aca="false">2226100/325851/1.9835*1.02</f>
        <v>3.51312480444401</v>
      </c>
      <c r="R42" s="131" t="n">
        <v>4.2</v>
      </c>
      <c r="S42" s="131" t="n">
        <f aca="false">((8*1.04)-T42)-4.2</f>
        <v>2.62216912</v>
      </c>
      <c r="T42" s="131" t="n">
        <f aca="false">(1.3587*1.06)*1.04</f>
        <v>1.49783088</v>
      </c>
      <c r="U42" s="355" t="n">
        <v>0</v>
      </c>
      <c r="V42" s="134" t="n">
        <v>151</v>
      </c>
      <c r="W42" s="134" t="n">
        <v>78</v>
      </c>
      <c r="X42" s="135" t="n">
        <f aca="false">M42-N42-O42-P42-Q42-R42-S42-T42-U42+V42+W42-AT42+AR42</f>
        <v>474.873476695556</v>
      </c>
      <c r="Y42" s="135" t="n">
        <f aca="false">X42-AO42</f>
        <v>467.873476695556</v>
      </c>
      <c r="Z42" s="107" t="n">
        <f aca="false">Z41-AA41</f>
        <v>8520.40803031791</v>
      </c>
      <c r="AA42" s="135" t="n">
        <f aca="false">Y42</f>
        <v>467.873476695556</v>
      </c>
      <c r="AB42" s="107"/>
      <c r="AC42" s="107" t="n">
        <f aca="false">AC41+AS42-(AQ41/1.9835)</f>
        <v>1413.84639668512</v>
      </c>
      <c r="AD42" s="107"/>
      <c r="AE42" s="134" t="n">
        <v>231</v>
      </c>
      <c r="AF42" s="137" t="n">
        <v>1.7</v>
      </c>
      <c r="AG42" s="138" t="n">
        <v>1.3</v>
      </c>
      <c r="AH42" s="134" t="n">
        <v>69</v>
      </c>
      <c r="AI42" s="80" t="n">
        <f aca="false">AI41-AH42</f>
        <v>11051.2578774893</v>
      </c>
      <c r="AJ42" s="80"/>
      <c r="AK42" s="134" t="n">
        <f aca="false">N43+O42+P42+Q42+R42+S42+T42+U42+X42+AE42+AH42-AR42</f>
        <v>843</v>
      </c>
      <c r="AL42" s="134" t="n">
        <f aca="false">IF(L42&lt;0,L42*-1,0)</f>
        <v>14.4136627174187</v>
      </c>
      <c r="AM42" s="134" t="n">
        <f aca="false">AK42+AL42</f>
        <v>857.413662717419</v>
      </c>
      <c r="AN42" s="451"/>
      <c r="AO42" s="150" t="n">
        <v>7</v>
      </c>
      <c r="AP42" s="150"/>
      <c r="AQ42" s="158" t="n">
        <f aca="false">63.14*(Z42*1.9835+AC42*1.9835)/E42</f>
        <v>8.23241254722717</v>
      </c>
      <c r="AR42" s="136" t="n">
        <v>37.049</v>
      </c>
      <c r="AS42" s="97" t="n">
        <v>6</v>
      </c>
      <c r="AT42" s="11"/>
      <c r="AV42" s="102" t="n">
        <v>0</v>
      </c>
      <c r="AW42" s="103" t="n">
        <v>93</v>
      </c>
      <c r="AX42" s="103" t="n">
        <v>59</v>
      </c>
      <c r="AY42" s="294"/>
      <c r="AZ42" s="250" t="n">
        <f aca="false">SUM(N42,P42:U42)</f>
        <v>12.775523304444</v>
      </c>
    </row>
    <row r="43" customFormat="false" ht="12.95" hidden="false" customHeight="true" outlineLevel="0" collapsed="false">
      <c r="A43" s="10" t="n">
        <f aca="false">A42+1</f>
        <v>29</v>
      </c>
      <c r="B43" s="357" t="n">
        <v>6904.73</v>
      </c>
      <c r="C43" s="94" t="n">
        <v>301363</v>
      </c>
      <c r="D43" s="103" t="n">
        <f aca="false">C43-C42</f>
        <v>-1765</v>
      </c>
      <c r="E43" s="94" t="n">
        <f aca="false">C43-152000</f>
        <v>149363</v>
      </c>
      <c r="F43" s="141" t="n">
        <f aca="false">D43/$D$2</f>
        <v>-889.841189815982</v>
      </c>
      <c r="G43" s="134" t="n">
        <v>77</v>
      </c>
      <c r="H43" s="97" t="n">
        <v>0</v>
      </c>
      <c r="I43" s="134" t="n">
        <f aca="false">G43+H43</f>
        <v>77</v>
      </c>
      <c r="J43" s="366" t="n">
        <f aca="false">IF(L43&gt;0,L43,0)</f>
        <v>0</v>
      </c>
      <c r="K43" s="134" t="n">
        <f aca="false">I43+J43</f>
        <v>77</v>
      </c>
      <c r="L43" s="134" t="n">
        <f aca="false">F43-(I43-AK43)</f>
        <v>-17.8411898159818</v>
      </c>
      <c r="M43" s="137" t="n">
        <v>338</v>
      </c>
      <c r="N43" s="158" t="n">
        <f aca="false">(1.8299*1.03)/2</f>
        <v>0.9423985</v>
      </c>
      <c r="O43" s="142" t="n">
        <f aca="false">96*1.05</f>
        <v>100.8</v>
      </c>
      <c r="P43" s="83" t="n">
        <v>0</v>
      </c>
      <c r="Q43" s="336" t="n">
        <f aca="false">2257500/325851/1.9835*1.02</f>
        <v>3.56267878623259</v>
      </c>
      <c r="R43" s="131" t="n">
        <v>4.2</v>
      </c>
      <c r="S43" s="131" t="n">
        <f aca="false">((8*1.04)-T43)-4.2</f>
        <v>2.62757088</v>
      </c>
      <c r="T43" s="131" t="n">
        <f aca="false">(1.3538*1.06)*1.04</f>
        <v>1.49242912</v>
      </c>
      <c r="U43" s="355" t="n">
        <v>0</v>
      </c>
      <c r="V43" s="134" t="n">
        <v>148</v>
      </c>
      <c r="W43" s="134" t="n">
        <v>78</v>
      </c>
      <c r="X43" s="135" t="n">
        <f aca="false">M43-N43-O43-P43-Q43-R43-S43-T43-U43+V43+W43-AT43+AR43</f>
        <v>487.423922713767</v>
      </c>
      <c r="Y43" s="135" t="n">
        <f aca="false">X43-AO43</f>
        <v>480.423922713767</v>
      </c>
      <c r="Z43" s="107" t="n">
        <f aca="false">Z42-AA42</f>
        <v>8052.53455362236</v>
      </c>
      <c r="AA43" s="135" t="n">
        <f aca="false">Y43</f>
        <v>480.423922713767</v>
      </c>
      <c r="AB43" s="107"/>
      <c r="AC43" s="107" t="n">
        <f aca="false">AC42+AS43-(AQ42/1.9835)</f>
        <v>1415.69594921992</v>
      </c>
      <c r="AD43" s="107"/>
      <c r="AE43" s="134" t="n">
        <v>317</v>
      </c>
      <c r="AF43" s="137" t="n">
        <v>1.7</v>
      </c>
      <c r="AG43" s="138" t="n">
        <v>1.3</v>
      </c>
      <c r="AH43" s="134" t="n">
        <v>68</v>
      </c>
      <c r="AI43" s="80" t="n">
        <f aca="false">AI42-AH43</f>
        <v>10983.2578774893</v>
      </c>
      <c r="AJ43" s="80"/>
      <c r="AK43" s="134" t="n">
        <f aca="false">N44+O43+P43+Q43+R43+S43+T43+U43+X43+AE43+AH43-AR43</f>
        <v>949</v>
      </c>
      <c r="AL43" s="134" t="n">
        <f aca="false">IF(L43&lt;0,L43*-1,0)</f>
        <v>17.8411898159818</v>
      </c>
      <c r="AM43" s="134" t="n">
        <f aca="false">AK43+AL43</f>
        <v>966.841189815982</v>
      </c>
      <c r="AN43" s="451"/>
      <c r="AO43" s="150" t="n">
        <v>7</v>
      </c>
      <c r="AP43" s="150"/>
      <c r="AQ43" s="158" t="n">
        <f aca="false">63.14*(Z43*1.9835+AC43*1.9835)/E43</f>
        <v>7.93894104081169</v>
      </c>
      <c r="AR43" s="136" t="n">
        <v>37.049</v>
      </c>
      <c r="AS43" s="97" t="n">
        <v>6</v>
      </c>
      <c r="AT43" s="11"/>
      <c r="AV43" s="102" t="n">
        <v>0</v>
      </c>
      <c r="AW43" s="103" t="n">
        <v>94</v>
      </c>
      <c r="AX43" s="103" t="n">
        <v>58</v>
      </c>
      <c r="AY43" s="294"/>
      <c r="AZ43" s="250" t="n">
        <f aca="false">SUM(N43,P43:U43)</f>
        <v>12.8250772862326</v>
      </c>
    </row>
    <row r="44" customFormat="false" ht="12.95" hidden="false" customHeight="true" outlineLevel="0" collapsed="false">
      <c r="A44" s="10" t="n">
        <v>30</v>
      </c>
      <c r="B44" s="357" t="n">
        <v>6904.28</v>
      </c>
      <c r="C44" s="94" t="n">
        <v>299642</v>
      </c>
      <c r="D44" s="103" t="n">
        <f aca="false">C44-C43</f>
        <v>-1721</v>
      </c>
      <c r="E44" s="94" t="n">
        <f aca="false">C44-152000</f>
        <v>147642</v>
      </c>
      <c r="F44" s="141" t="n">
        <f aca="false">D44/$D$2</f>
        <v>-867.658179984875</v>
      </c>
      <c r="G44" s="134" t="n">
        <v>71</v>
      </c>
      <c r="H44" s="97" t="n">
        <v>0</v>
      </c>
      <c r="I44" s="134" t="n">
        <f aca="false">G44+H44</f>
        <v>71</v>
      </c>
      <c r="J44" s="366" t="n">
        <f aca="false">IF(L44&gt;0,L44,0)</f>
        <v>0</v>
      </c>
      <c r="K44" s="134" t="n">
        <f aca="false">I44+J44</f>
        <v>71</v>
      </c>
      <c r="L44" s="134" t="n">
        <f aca="false">F44-(I44-AK44)</f>
        <v>-15.6005784848753</v>
      </c>
      <c r="M44" s="137" t="n">
        <v>328</v>
      </c>
      <c r="N44" s="158" t="n">
        <f aca="false">(1.8299*1.03)/2</f>
        <v>0.9423985</v>
      </c>
      <c r="O44" s="142" t="n">
        <f aca="false">95*1.05</f>
        <v>99.75</v>
      </c>
      <c r="P44" s="83" t="n">
        <v>0</v>
      </c>
      <c r="Q44" s="336" t="n">
        <f aca="false">2264800/325851/1.9835*1.02</f>
        <v>3.57419929792229</v>
      </c>
      <c r="R44" s="131" t="n">
        <v>4.2</v>
      </c>
      <c r="S44" s="131" t="n">
        <f aca="false">((8*1.04)-T44)-4.2</f>
        <v>2.62757088</v>
      </c>
      <c r="T44" s="131" t="n">
        <f aca="false">(1.3538*1.06)*1.04</f>
        <v>1.49242912</v>
      </c>
      <c r="U44" s="355" t="n">
        <v>0</v>
      </c>
      <c r="V44" s="134" t="n">
        <v>148</v>
      </c>
      <c r="W44" s="134" t="n">
        <v>79</v>
      </c>
      <c r="X44" s="135" t="n">
        <f aca="false">M44-N44-O44-P44-Q44-R44-S44-T44-U44+V44+W44-AT44+AR44</f>
        <v>479.462402202078</v>
      </c>
      <c r="Y44" s="135" t="n">
        <f aca="false">X44-AO44</f>
        <v>472.462402202078</v>
      </c>
      <c r="Z44" s="107" t="n">
        <f aca="false">Z43-AA43</f>
        <v>7572.11063090859</v>
      </c>
      <c r="AA44" s="135" t="n">
        <f aca="false">Y44</f>
        <v>472.462402202078</v>
      </c>
      <c r="AB44" s="107"/>
      <c r="AC44" s="107" t="n">
        <f aca="false">AC43+AS44-(AQ43/1.9835)</f>
        <v>1417.69345814817</v>
      </c>
      <c r="AD44" s="107"/>
      <c r="AE44" s="134" t="n">
        <v>300</v>
      </c>
      <c r="AF44" s="137" t="n">
        <v>1.7</v>
      </c>
      <c r="AG44" s="138" t="n">
        <v>1.3</v>
      </c>
      <c r="AH44" s="134" t="n">
        <v>69</v>
      </c>
      <c r="AI44" s="80" t="n">
        <f aca="false">AI43-AH44</f>
        <v>10914.2578774893</v>
      </c>
      <c r="AJ44" s="80"/>
      <c r="AK44" s="134" t="n">
        <f aca="false">N45+O44+P44+Q44+R44+S44+T44+U44+X44+AE44+AH44-AR44</f>
        <v>923.0576015</v>
      </c>
      <c r="AL44" s="134" t="n">
        <f aca="false">IF(L44&lt;0,L44*-1,0)</f>
        <v>15.6005784848753</v>
      </c>
      <c r="AM44" s="141" t="n">
        <f aca="false">AK44+AL44</f>
        <v>938.658179984875</v>
      </c>
      <c r="AN44" s="103"/>
      <c r="AO44" s="150" t="n">
        <v>7</v>
      </c>
      <c r="AP44" s="150"/>
      <c r="AQ44" s="158" t="n">
        <f aca="false">63.14*(Z44*1.9835+AC44*1.9835)/E44</f>
        <v>7.62565389637141</v>
      </c>
      <c r="AR44" s="136" t="n">
        <v>37.049</v>
      </c>
      <c r="AS44" s="97" t="n">
        <v>6</v>
      </c>
      <c r="AT44" s="11"/>
      <c r="AV44" s="102" t="n">
        <v>0</v>
      </c>
      <c r="AW44" s="103" t="n">
        <v>96</v>
      </c>
      <c r="AX44" s="103" t="n">
        <v>58</v>
      </c>
      <c r="AY44" s="294"/>
      <c r="AZ44" s="250" t="n">
        <f aca="false">SUM(N44,P44:U44)</f>
        <v>12.8365977979223</v>
      </c>
    </row>
    <row r="45" customFormat="false" ht="3" hidden="false" customHeight="true" outlineLevel="0" collapsed="false">
      <c r="A45" s="109"/>
      <c r="B45" s="370"/>
      <c r="C45" s="119" t="s">
        <v>132</v>
      </c>
      <c r="D45" s="116"/>
      <c r="E45" s="119"/>
      <c r="F45" s="144"/>
      <c r="G45" s="116"/>
      <c r="H45" s="118"/>
      <c r="I45" s="116"/>
      <c r="J45" s="116"/>
      <c r="K45" s="116"/>
      <c r="L45" s="116"/>
      <c r="M45" s="120"/>
      <c r="N45" s="116"/>
      <c r="O45" s="116"/>
      <c r="P45" s="116"/>
      <c r="Q45" s="116"/>
      <c r="R45" s="116"/>
      <c r="S45" s="116"/>
      <c r="T45" s="116"/>
      <c r="U45" s="364"/>
      <c r="V45" s="116"/>
      <c r="W45" s="116"/>
      <c r="X45" s="116"/>
      <c r="Y45" s="116"/>
      <c r="Z45" s="119"/>
      <c r="AA45" s="116"/>
      <c r="AB45" s="233"/>
      <c r="AC45" s="119"/>
      <c r="AD45" s="119"/>
      <c r="AE45" s="116"/>
      <c r="AF45" s="120"/>
      <c r="AG45" s="121"/>
      <c r="AH45" s="116"/>
      <c r="AI45" s="116"/>
      <c r="AJ45" s="116"/>
      <c r="AK45" s="116"/>
      <c r="AL45" s="116"/>
      <c r="AM45" s="144"/>
      <c r="AN45" s="123"/>
      <c r="AO45" s="123"/>
      <c r="AP45" s="123"/>
      <c r="AQ45" s="238"/>
      <c r="AR45" s="240"/>
      <c r="AS45" s="240"/>
      <c r="AT45" s="243"/>
      <c r="AU45" s="240"/>
      <c r="AV45" s="125"/>
      <c r="AW45" s="123"/>
      <c r="AX45" s="123"/>
      <c r="AY45" s="156"/>
      <c r="AZ45" s="459"/>
    </row>
    <row r="46" customFormat="false" ht="12.95" hidden="false" customHeight="true" outlineLevel="0" collapsed="false">
      <c r="A46" s="11" t="s">
        <v>101</v>
      </c>
      <c r="B46" s="354"/>
      <c r="C46" s="94"/>
      <c r="D46" s="94"/>
      <c r="E46" s="94"/>
      <c r="F46" s="146" t="n">
        <f aca="false">SUM(F15:F44)</f>
        <v>-19455.0037811949</v>
      </c>
      <c r="G46" s="80" t="n">
        <f aca="false">SUM(G15:G44)</f>
        <v>6165</v>
      </c>
      <c r="H46" s="150" t="n">
        <f aca="false">SUM(H15:H44)</f>
        <v>0</v>
      </c>
      <c r="I46" s="80" t="n">
        <f aca="false">SUM(I15:I44)</f>
        <v>6165</v>
      </c>
      <c r="J46" s="80" t="n">
        <f aca="false">SUM(J15:J44)</f>
        <v>43.0695739853794</v>
      </c>
      <c r="K46" s="80" t="n">
        <f aca="false">SUM(K15:K44)</f>
        <v>6208.06957398538</v>
      </c>
      <c r="L46" s="80" t="n">
        <f aca="false">SUM(L15:L44)</f>
        <v>-849.946179694857</v>
      </c>
      <c r="M46" s="98" t="n">
        <f aca="false">SUM(M15:M44)</f>
        <v>9040</v>
      </c>
      <c r="N46" s="94" t="n">
        <f aca="false">SUM(N15:N44)</f>
        <v>28.271955</v>
      </c>
      <c r="O46" s="103" t="n">
        <f aca="false">SUM(O15:O44)</f>
        <v>2836.05</v>
      </c>
      <c r="P46" s="83" t="n">
        <f aca="false">SUM(P15:P44)</f>
        <v>0</v>
      </c>
      <c r="Q46" s="103" t="n">
        <f aca="false">SUM(Q15:Q44)</f>
        <v>102.774011338128</v>
      </c>
      <c r="R46" s="103" t="n">
        <f aca="false">SUM(R15:R44)</f>
        <v>126</v>
      </c>
      <c r="S46" s="103" t="n">
        <f aca="false">SUM(S15:S44)</f>
        <v>66.48126976</v>
      </c>
      <c r="T46" s="103" t="n">
        <f aca="false">SUM(T15:T44)</f>
        <v>43.80673024</v>
      </c>
      <c r="U46" s="358" t="n">
        <f aca="false">SUM(U15:U44)</f>
        <v>0</v>
      </c>
      <c r="V46" s="80" t="n">
        <f aca="false">SUM(V15:V44)</f>
        <v>4260</v>
      </c>
      <c r="W46" s="80" t="n">
        <f aca="false">SUM(W15:W44)</f>
        <v>2271</v>
      </c>
      <c r="X46" s="80" t="n">
        <f aca="false">SUM(X15:X44)</f>
        <v>13479.0860336619</v>
      </c>
      <c r="Y46" s="80" t="n">
        <f aca="false">SUM(Y15:Y44)</f>
        <v>13269.0860336619</v>
      </c>
      <c r="Z46" s="80"/>
      <c r="AA46" s="80" t="n">
        <f aca="false">SUM(AA15:AA44)</f>
        <v>13269.0860336619</v>
      </c>
      <c r="AB46" s="107"/>
      <c r="AC46" s="80"/>
      <c r="AD46" s="80"/>
      <c r="AE46" s="80" t="n">
        <f aca="false">SUM(AE15:AE44)</f>
        <v>7104</v>
      </c>
      <c r="AF46" s="98" t="n">
        <f aca="false">SUM(AF15:AF44)</f>
        <v>51</v>
      </c>
      <c r="AG46" s="99" t="n">
        <f aca="false">SUM(AG15:AG44)</f>
        <v>39</v>
      </c>
      <c r="AH46" s="80" t="n">
        <f aca="false">SUM(AH15:AH44)</f>
        <v>2096</v>
      </c>
      <c r="AI46" s="80"/>
      <c r="AJ46" s="80" t="n">
        <f aca="false">SUM(AJ15:AJ44)</f>
        <v>0</v>
      </c>
      <c r="AK46" s="80" t="n">
        <f aca="false">SUM(AK15:AK44)</f>
        <v>24770.0576015</v>
      </c>
      <c r="AL46" s="80" t="n">
        <f aca="false">SUM(AL15:AL44)</f>
        <v>893.015753680237</v>
      </c>
      <c r="AM46" s="146" t="n">
        <f aca="false">SUM(AM15:AM44)</f>
        <v>25663.0733551802</v>
      </c>
      <c r="AN46" s="80" t="n">
        <f aca="false">SUM(AN15:AN44)</f>
        <v>0</v>
      </c>
      <c r="AO46" s="80" t="n">
        <f aca="false">SUM(AO15:AO44)</f>
        <v>210</v>
      </c>
      <c r="AP46" s="134"/>
      <c r="AQ46" s="158"/>
      <c r="AR46" s="80" t="n">
        <f aca="false">SUM(AR15:AR44)</f>
        <v>1111.47</v>
      </c>
      <c r="AS46" s="97" t="n">
        <f aca="false">SUM(AS15:AS44)</f>
        <v>120</v>
      </c>
      <c r="AT46" s="150" t="n">
        <f aca="false">SUM(AT15:AT44)</f>
        <v>0</v>
      </c>
      <c r="AU46" s="97" t="n">
        <f aca="false">SUM(AU15:AU44)</f>
        <v>0</v>
      </c>
      <c r="AV46" s="102" t="n">
        <f aca="false">SUM(AV15:AV44)</f>
        <v>0.01</v>
      </c>
      <c r="AW46" s="103" t="n">
        <f aca="false">AVERAGE(AW15:AW44)</f>
        <v>89.4</v>
      </c>
      <c r="AX46" s="103" t="n">
        <f aca="false">AVERAGE(AX15:AX44)</f>
        <v>53.5666666666667</v>
      </c>
      <c r="AY46" s="461" t="s">
        <v>125</v>
      </c>
      <c r="AZ46" s="457" t="n">
        <f aca="false">SUM(AZ15:AZ44)</f>
        <v>367.333966338128</v>
      </c>
    </row>
    <row r="47" customFormat="false" ht="12.95" hidden="false" customHeight="true" outlineLevel="0" collapsed="false">
      <c r="A47" s="11" t="s">
        <v>103</v>
      </c>
      <c r="B47" s="354"/>
      <c r="C47" s="94"/>
      <c r="D47" s="94" t="n">
        <f aca="false">SUM(D15:D44)</f>
        <v>-38589</v>
      </c>
      <c r="E47" s="94"/>
      <c r="F47" s="146" t="n">
        <f aca="false">F46*$D$2</f>
        <v>-38589</v>
      </c>
      <c r="G47" s="80" t="n">
        <f aca="false">G46*$D$2</f>
        <v>12228.2775</v>
      </c>
      <c r="H47" s="150" t="n">
        <f aca="false">H46*$D$2</f>
        <v>0</v>
      </c>
      <c r="I47" s="80" t="n">
        <f aca="false">I46*$D$2</f>
        <v>12228.2775</v>
      </c>
      <c r="J47" s="80" t="n">
        <f aca="false">J46*$D$2</f>
        <v>85.4285000000001</v>
      </c>
      <c r="K47" s="80" t="n">
        <f aca="false">K46*$D$2</f>
        <v>12313.706</v>
      </c>
      <c r="L47" s="80" t="n">
        <f aca="false">L46*$D$2</f>
        <v>-1685.86824742475</v>
      </c>
      <c r="M47" s="98" t="n">
        <f aca="false">M46*$D$2</f>
        <v>17930.84</v>
      </c>
      <c r="N47" s="94" t="n">
        <f aca="false">N46*$D$2</f>
        <v>56.0774227425</v>
      </c>
      <c r="O47" s="103" t="n">
        <f aca="false">O46*$D$2</f>
        <v>5625.305175</v>
      </c>
      <c r="P47" s="83" t="n">
        <f aca="false">P46*$D$2</f>
        <v>0</v>
      </c>
      <c r="Q47" s="103" t="n">
        <f aca="false">Q46*$D$2</f>
        <v>203.852251489178</v>
      </c>
      <c r="R47" s="103" t="n">
        <f aca="false">R46*$D$2</f>
        <v>249.921</v>
      </c>
      <c r="S47" s="103" t="n">
        <f aca="false">S46*$D$2</f>
        <v>131.86559856896</v>
      </c>
      <c r="T47" s="103" t="n">
        <f aca="false">T46*$D$2</f>
        <v>86.89064943104</v>
      </c>
      <c r="U47" s="358" t="n">
        <f aca="false">U46*$D$2</f>
        <v>0</v>
      </c>
      <c r="V47" s="80" t="n">
        <f aca="false">V46*$D$2</f>
        <v>8449.71</v>
      </c>
      <c r="W47" s="80" t="n">
        <f aca="false">W46*$D$2</f>
        <v>4504.5285</v>
      </c>
      <c r="X47" s="80" t="n">
        <f aca="false">X46*$D$2</f>
        <v>26735.7671477683</v>
      </c>
      <c r="Y47" s="80" t="n">
        <f aca="false">Y46*$D$2</f>
        <v>26319.2321477683</v>
      </c>
      <c r="Z47" s="80"/>
      <c r="AA47" s="80" t="n">
        <f aca="false">AA46*$D$2</f>
        <v>26319.2321477683</v>
      </c>
      <c r="AB47" s="107"/>
      <c r="AC47" s="80"/>
      <c r="AD47" s="80"/>
      <c r="AE47" s="80" t="n">
        <f aca="false">AE46*$D$2</f>
        <v>14090.784</v>
      </c>
      <c r="AF47" s="98" t="n">
        <f aca="false">AF46*$D$2</f>
        <v>101.1585</v>
      </c>
      <c r="AG47" s="99" t="n">
        <f aca="false">AG46*$D$2</f>
        <v>77.3565</v>
      </c>
      <c r="AH47" s="80" t="n">
        <f aca="false">AH46*$D$2</f>
        <v>4157.416</v>
      </c>
      <c r="AI47" s="80"/>
      <c r="AJ47" s="80" t="n">
        <f aca="false">AJ46*$D$2</f>
        <v>0</v>
      </c>
      <c r="AK47" s="80" t="n">
        <f aca="false">AK46*$D$2</f>
        <v>49131.4092525753</v>
      </c>
      <c r="AL47" s="80" t="n">
        <f aca="false">AL46*$D$2</f>
        <v>1771.29674742475</v>
      </c>
      <c r="AM47" s="146" t="n">
        <f aca="false">AM46*$D$2</f>
        <v>50902.706</v>
      </c>
      <c r="AN47" s="80" t="n">
        <f aca="false">AN46*$D$2</f>
        <v>0</v>
      </c>
      <c r="AO47" s="80" t="n">
        <f aca="false">AO46*$D$2</f>
        <v>416.535</v>
      </c>
      <c r="AP47" s="134"/>
      <c r="AQ47" s="158" t="n">
        <f aca="false">SUM(AQ15:AQ44)</f>
        <v>341.139758829325</v>
      </c>
      <c r="AR47" s="80" t="n">
        <f aca="false">AR46*$D$2</f>
        <v>2204.600745</v>
      </c>
      <c r="AS47" s="136" t="n">
        <f aca="false">AS46*$D$2</f>
        <v>238.02</v>
      </c>
      <c r="AT47" s="215" t="n">
        <f aca="false">AT46*$D$2</f>
        <v>0</v>
      </c>
      <c r="AU47" s="136" t="n">
        <f aca="false">AU46*$D$2</f>
        <v>0</v>
      </c>
      <c r="AV47" s="102"/>
      <c r="AW47" s="103" t="n">
        <f aca="false">MAX(AW15:AW44)</f>
        <v>97</v>
      </c>
      <c r="AX47" s="103" t="n">
        <f aca="false">MAX(AX15:AX44)</f>
        <v>61</v>
      </c>
      <c r="AY47" s="461" t="s">
        <v>104</v>
      </c>
      <c r="AZ47" s="457" t="n">
        <f aca="false">AZ46*$D$2</f>
        <v>728.606922231678</v>
      </c>
    </row>
    <row r="48" customFormat="false" ht="3" hidden="false" customHeight="true" outlineLevel="0" collapsed="false">
      <c r="A48" s="109"/>
      <c r="B48" s="370"/>
      <c r="C48" s="119"/>
      <c r="D48" s="119"/>
      <c r="E48" s="119"/>
      <c r="F48" s="156"/>
      <c r="G48" s="119"/>
      <c r="H48" s="123"/>
      <c r="I48" s="119"/>
      <c r="J48" s="119"/>
      <c r="K48" s="119"/>
      <c r="L48" s="119"/>
      <c r="M48" s="154"/>
      <c r="N48" s="119"/>
      <c r="O48" s="123"/>
      <c r="P48" s="363"/>
      <c r="Q48" s="118"/>
      <c r="R48" s="118"/>
      <c r="S48" s="119"/>
      <c r="T48" s="119"/>
      <c r="U48" s="155"/>
      <c r="V48" s="119"/>
      <c r="W48" s="119"/>
      <c r="X48" s="119"/>
      <c r="Y48" s="119"/>
      <c r="Z48" s="119"/>
      <c r="AA48" s="119"/>
      <c r="AB48" s="233"/>
      <c r="AC48" s="119"/>
      <c r="AD48" s="119"/>
      <c r="AE48" s="119"/>
      <c r="AF48" s="154"/>
      <c r="AG48" s="155"/>
      <c r="AH48" s="119"/>
      <c r="AI48" s="116"/>
      <c r="AJ48" s="119"/>
      <c r="AK48" s="119"/>
      <c r="AL48" s="119"/>
      <c r="AM48" s="156"/>
      <c r="AN48" s="119"/>
      <c r="AO48" s="119"/>
      <c r="AP48" s="119"/>
      <c r="AQ48" s="238"/>
      <c r="AR48" s="119"/>
      <c r="AS48" s="240"/>
      <c r="AT48" s="243"/>
      <c r="AU48" s="240"/>
      <c r="AV48" s="157"/>
      <c r="AW48" s="119"/>
      <c r="AX48" s="119"/>
      <c r="AY48" s="156"/>
      <c r="AZ48" s="459"/>
    </row>
    <row r="49" customFormat="false" ht="12.95" hidden="false" customHeight="true" outlineLevel="0" collapsed="false">
      <c r="A49" s="11" t="s">
        <v>105</v>
      </c>
      <c r="B49" s="354"/>
      <c r="C49" s="94"/>
      <c r="D49" s="94"/>
      <c r="E49" s="94"/>
      <c r="F49" s="146" t="n">
        <f aca="false">F12+F46</f>
        <v>-1777.16158306025</v>
      </c>
      <c r="G49" s="80" t="n">
        <f aca="false">G12+G46</f>
        <v>53412</v>
      </c>
      <c r="H49" s="150" t="n">
        <f aca="false">H12+H46</f>
        <v>728.31</v>
      </c>
      <c r="I49" s="80" t="n">
        <f aca="false">I12+I46</f>
        <v>54140.31</v>
      </c>
      <c r="J49" s="80" t="n">
        <f aca="false">J12+J46</f>
        <v>1721.15435089488</v>
      </c>
      <c r="K49" s="80" t="n">
        <f aca="false">K12+K46</f>
        <v>55861.4543508949</v>
      </c>
      <c r="L49" s="80" t="n">
        <f aca="false">L12+L46</f>
        <v>-221.803981560247</v>
      </c>
      <c r="M49" s="98" t="n">
        <f aca="false">M12+M46</f>
        <v>22783.7</v>
      </c>
      <c r="N49" s="94" t="n">
        <f aca="false">N12+N46</f>
        <v>85.7582635</v>
      </c>
      <c r="O49" s="103" t="n">
        <f aca="false">O12+O46</f>
        <v>7739.5405</v>
      </c>
      <c r="P49" s="83" t="n">
        <f aca="false">P12+P46</f>
        <v>7.32</v>
      </c>
      <c r="Q49" s="142"/>
      <c r="R49" s="142"/>
      <c r="S49" s="94"/>
      <c r="T49" s="94"/>
      <c r="U49" s="99"/>
      <c r="V49" s="80" t="n">
        <f aca="false">V12+V46</f>
        <v>8160</v>
      </c>
      <c r="W49" s="80" t="n">
        <f aca="false">W12+W46</f>
        <v>5061.9</v>
      </c>
      <c r="X49" s="80" t="n">
        <f aca="false">X12+X46</f>
        <v>29657.4499461492</v>
      </c>
      <c r="Y49" s="80" t="n">
        <f aca="false">Y12+Y46</f>
        <v>28811.6199461492</v>
      </c>
      <c r="Z49" s="80"/>
      <c r="AA49" s="80" t="n">
        <f aca="false">AA12+AA46</f>
        <v>17146.090866729</v>
      </c>
      <c r="AB49" s="107"/>
      <c r="AC49" s="462"/>
      <c r="AD49" s="462"/>
      <c r="AE49" s="80" t="n">
        <f aca="false">AE12+AE46</f>
        <v>14535</v>
      </c>
      <c r="AF49" s="98" t="n">
        <f aca="false">AF12+AF46</f>
        <v>154.7</v>
      </c>
      <c r="AG49" s="99" t="n">
        <f aca="false">AG12+AG46</f>
        <v>118.3</v>
      </c>
      <c r="AH49" s="80"/>
      <c r="AI49" s="462"/>
      <c r="AJ49" s="80" t="n">
        <f aca="false">AJ12+AJ46</f>
        <v>33</v>
      </c>
      <c r="AK49" s="80" t="n">
        <f aca="false">AK12+AK46</f>
        <v>55695.6576015</v>
      </c>
      <c r="AL49" s="80" t="n">
        <f aca="false">AL12+AL46</f>
        <v>1942.95833245513</v>
      </c>
      <c r="AM49" s="146" t="n">
        <f aca="false">AM12+AM46</f>
        <v>57638.6159339551</v>
      </c>
      <c r="AN49" s="80"/>
      <c r="AO49" s="80"/>
      <c r="AP49" s="134"/>
      <c r="AQ49" s="158"/>
      <c r="AR49" s="80" t="n">
        <f aca="false">AR12+AR46</f>
        <v>2218.5955</v>
      </c>
      <c r="AS49" s="136" t="n">
        <f aca="false">AS12+AS46</f>
        <v>120</v>
      </c>
      <c r="AT49" s="158" t="n">
        <f aca="false">AT12+AT46</f>
        <v>0</v>
      </c>
      <c r="AU49" s="136" t="n">
        <f aca="false">AU12+AU46</f>
        <v>0</v>
      </c>
      <c r="AV49" s="102"/>
      <c r="AW49" s="103" t="n">
        <f aca="false">MIN(AW15:AW44)</f>
        <v>77</v>
      </c>
      <c r="AX49" s="103" t="n">
        <f aca="false">MIN(AX15:AX44)</f>
        <v>46</v>
      </c>
      <c r="AY49" s="461" t="s">
        <v>106</v>
      </c>
      <c r="AZ49" s="457" t="n">
        <f aca="false">AZ12+AZ46</f>
        <v>367.333966338128</v>
      </c>
    </row>
    <row r="50" customFormat="false" ht="12.95" hidden="false" customHeight="true" outlineLevel="0" collapsed="false">
      <c r="A50" s="11" t="s">
        <v>107</v>
      </c>
      <c r="B50" s="354"/>
      <c r="C50" s="94"/>
      <c r="D50" s="94"/>
      <c r="E50" s="94"/>
      <c r="F50" s="146" t="n">
        <f aca="false">F49*$D$2</f>
        <v>-3525</v>
      </c>
      <c r="G50" s="80" t="n">
        <f aca="false">G49*$D$2</f>
        <v>105942.702</v>
      </c>
      <c r="H50" s="150" t="n">
        <f aca="false">H49*$D$2</f>
        <v>1444.602885</v>
      </c>
      <c r="I50" s="80" t="n">
        <f aca="false">I49*$D$2</f>
        <v>107387.304885</v>
      </c>
      <c r="J50" s="80" t="n">
        <f aca="false">J49*$D$2</f>
        <v>3413.909655</v>
      </c>
      <c r="K50" s="80" t="n">
        <f aca="false">K49*$D$2</f>
        <v>110801.194705</v>
      </c>
      <c r="L50" s="80" t="n">
        <f aca="false">L49*$D$2</f>
        <v>-439.94819742475</v>
      </c>
      <c r="M50" s="98" t="n">
        <f aca="false">M49*$D$2</f>
        <v>45191.46895</v>
      </c>
      <c r="N50" s="94" t="n">
        <f aca="false">N49*$D$2</f>
        <v>170.10151565225</v>
      </c>
      <c r="O50" s="103" t="n">
        <f aca="false">O49*$D$2</f>
        <v>15351.37858175</v>
      </c>
      <c r="P50" s="83" t="n">
        <f aca="false">P49*$D$2</f>
        <v>14.51922</v>
      </c>
      <c r="Q50" s="142"/>
      <c r="R50" s="142"/>
      <c r="S50" s="94"/>
      <c r="T50" s="94"/>
      <c r="U50" s="99"/>
      <c r="V50" s="80" t="n">
        <f aca="false">V49*$D$2</f>
        <v>16185.36</v>
      </c>
      <c r="W50" s="80" t="n">
        <f aca="false">W49*$D$2</f>
        <v>10040.27865</v>
      </c>
      <c r="X50" s="80" t="n">
        <f aca="false">X49*$D$2</f>
        <v>58825.551968187</v>
      </c>
      <c r="Y50" s="80" t="n">
        <f aca="false">Y49*$D$2</f>
        <v>57147.848163187</v>
      </c>
      <c r="Z50" s="80"/>
      <c r="AA50" s="80" t="n">
        <f aca="false">AA49*$D$2</f>
        <v>34009.271234157</v>
      </c>
      <c r="AB50" s="107"/>
      <c r="AC50" s="80"/>
      <c r="AD50" s="80"/>
      <c r="AE50" s="80" t="n">
        <f aca="false">AE49*$D$2</f>
        <v>28830.1725</v>
      </c>
      <c r="AF50" s="98" t="n">
        <f aca="false">AF49*$D$2</f>
        <v>306.84745</v>
      </c>
      <c r="AG50" s="99" t="n">
        <f aca="false">AG49*$D$2</f>
        <v>234.64805</v>
      </c>
      <c r="AH50" s="80"/>
      <c r="AI50" s="80"/>
      <c r="AJ50" s="80" t="n">
        <f aca="false">AJ49*$D$2</f>
        <v>65.4555</v>
      </c>
      <c r="AK50" s="80" t="n">
        <f aca="false">AK49*$D$2</f>
        <v>110472.336852575</v>
      </c>
      <c r="AL50" s="80" t="n">
        <f aca="false">AL49*$D$2</f>
        <v>3853.85785242475</v>
      </c>
      <c r="AM50" s="146" t="n">
        <f aca="false">AM49*$D$2</f>
        <v>114326.194705</v>
      </c>
      <c r="AN50" s="80"/>
      <c r="AO50" s="80"/>
      <c r="AP50" s="134"/>
      <c r="AQ50" s="158" t="n">
        <f aca="false">AQ12+AQ47</f>
        <v>833.667204659472</v>
      </c>
      <c r="AR50" s="80" t="n">
        <f aca="false">AR49*$D$2</f>
        <v>4400.58417425</v>
      </c>
      <c r="AS50" s="97" t="n">
        <f aca="false">AS49*$D$2</f>
        <v>238.02</v>
      </c>
      <c r="AT50" s="150" t="n">
        <f aca="false">AT49*$D$2</f>
        <v>0</v>
      </c>
      <c r="AU50" s="97" t="n">
        <f aca="false">AU49*$D$2</f>
        <v>0</v>
      </c>
      <c r="AV50" s="102"/>
      <c r="AW50" s="103"/>
      <c r="AX50" s="103"/>
      <c r="AY50" s="294"/>
      <c r="AZ50" s="457" t="n">
        <f aca="false">AZ49*$D$2</f>
        <v>728.606922231678</v>
      </c>
    </row>
    <row r="51" customFormat="false" ht="3" hidden="false" customHeight="true" outlineLevel="0" collapsed="false">
      <c r="A51" s="109"/>
      <c r="B51" s="370"/>
      <c r="C51" s="119"/>
      <c r="D51" s="119"/>
      <c r="E51" s="119"/>
      <c r="F51" s="156"/>
      <c r="G51" s="119"/>
      <c r="H51" s="123"/>
      <c r="I51" s="119"/>
      <c r="J51" s="119"/>
      <c r="K51" s="119"/>
      <c r="L51" s="119"/>
      <c r="M51" s="154"/>
      <c r="N51" s="119"/>
      <c r="O51" s="123"/>
      <c r="P51" s="363"/>
      <c r="Q51" s="118"/>
      <c r="R51" s="118"/>
      <c r="S51" s="119"/>
      <c r="T51" s="119"/>
      <c r="U51" s="155"/>
      <c r="V51" s="119"/>
      <c r="W51" s="119"/>
      <c r="X51" s="119"/>
      <c r="Y51" s="119"/>
      <c r="Z51" s="119"/>
      <c r="AA51" s="119"/>
      <c r="AB51" s="233"/>
      <c r="AC51" s="119"/>
      <c r="AD51" s="119"/>
      <c r="AE51" s="119"/>
      <c r="AF51" s="154"/>
      <c r="AG51" s="155"/>
      <c r="AH51" s="119"/>
      <c r="AI51" s="119"/>
      <c r="AJ51" s="119"/>
      <c r="AK51" s="119"/>
      <c r="AL51" s="119"/>
      <c r="AM51" s="156"/>
      <c r="AN51" s="119"/>
      <c r="AO51" s="372"/>
      <c r="AP51" s="372"/>
      <c r="AQ51" s="238"/>
      <c r="AR51" s="119"/>
      <c r="AS51" s="240"/>
      <c r="AT51" s="243"/>
      <c r="AU51" s="240"/>
      <c r="AV51" s="125"/>
      <c r="AW51" s="372"/>
      <c r="AX51" s="372"/>
      <c r="AY51" s="156"/>
      <c r="AZ51" s="459"/>
    </row>
    <row r="52" customFormat="false" ht="12.95" hidden="false" customHeight="true" outlineLevel="0" collapsed="false">
      <c r="A52" s="11" t="s">
        <v>108</v>
      </c>
      <c r="B52" s="354"/>
      <c r="C52" s="94"/>
      <c r="D52" s="94"/>
      <c r="E52" s="94"/>
      <c r="F52" s="146" t="n">
        <f aca="false">F13+F46</f>
        <v>3040.58482480464</v>
      </c>
      <c r="G52" s="80" t="n">
        <f aca="false">G13+G46</f>
        <v>65476</v>
      </c>
      <c r="H52" s="150" t="n">
        <f aca="false">H13+H46</f>
        <v>1210.39</v>
      </c>
      <c r="I52" s="80" t="n">
        <f aca="false">I13+I46</f>
        <v>66685.77</v>
      </c>
      <c r="J52" s="80" t="n">
        <f aca="false">J13+J46</f>
        <v>6615.34219309302</v>
      </c>
      <c r="K52" s="80" t="n">
        <f aca="false">K13+K46</f>
        <v>73301.102193093</v>
      </c>
      <c r="L52" s="80" t="n">
        <f aca="false">L13+L46</f>
        <v>4075.68242630464</v>
      </c>
      <c r="M52" s="98" t="n">
        <f aca="false">M13+M46</f>
        <v>23572.4</v>
      </c>
      <c r="N52" s="94" t="n">
        <f aca="false">N13+N46</f>
        <v>85.7582635</v>
      </c>
      <c r="O52" s="103" t="n">
        <f aca="false">O13+O46</f>
        <v>7739.5405</v>
      </c>
      <c r="P52" s="83"/>
      <c r="Q52" s="103" t="n">
        <f aca="false">Q13+Q46</f>
        <v>476.745899372615</v>
      </c>
      <c r="R52" s="103" t="n">
        <f aca="false">R13+R46</f>
        <v>575.20158352</v>
      </c>
      <c r="S52" s="103" t="n">
        <f aca="false">S13+S46</f>
        <v>100.52029552</v>
      </c>
      <c r="T52" s="103" t="n">
        <f aca="false">T13+T46</f>
        <v>177.43172096</v>
      </c>
      <c r="U52" s="358" t="n">
        <f aca="false">U13+U46</f>
        <v>27.7983443318626</v>
      </c>
      <c r="V52" s="80" t="n">
        <f aca="false">V13+V46</f>
        <v>14007</v>
      </c>
      <c r="W52" s="80" t="n">
        <f aca="false">W13+W46</f>
        <v>5121.4</v>
      </c>
      <c r="X52" s="80" t="n">
        <f aca="false">X13+X46</f>
        <v>35729.0788927955</v>
      </c>
      <c r="Y52" s="80" t="n">
        <f aca="false">Y13+Y46</f>
        <v>34680.451820677</v>
      </c>
      <c r="Z52" s="80"/>
      <c r="AA52" s="80"/>
      <c r="AB52" s="107"/>
      <c r="AC52" s="80"/>
      <c r="AD52" s="80"/>
      <c r="AE52" s="80"/>
      <c r="AF52" s="98" t="n">
        <f aca="false">AF13+AF46</f>
        <v>51</v>
      </c>
      <c r="AG52" s="99" t="n">
        <f aca="false">AG13+AG46</f>
        <v>39</v>
      </c>
      <c r="AH52" s="80" t="n">
        <f aca="false">AH13+AH46</f>
        <v>10486</v>
      </c>
      <c r="AI52" s="80" t="n">
        <f aca="false">AI44</f>
        <v>10914.2578774893</v>
      </c>
      <c r="AJ52" s="80" t="n">
        <f aca="false">AJ13+AJ46</f>
        <v>33</v>
      </c>
      <c r="AK52" s="80" t="n">
        <f aca="false">AK13+AK46</f>
        <v>67720.8576015</v>
      </c>
      <c r="AL52" s="80" t="n">
        <f aca="false">AL13+AL46</f>
        <v>2539.65976678838</v>
      </c>
      <c r="AM52" s="146" t="n">
        <f aca="false">AM13+AM46</f>
        <v>70260.5173682884</v>
      </c>
      <c r="AN52" s="80"/>
      <c r="AO52" s="80" t="n">
        <f aca="false">AO13+AO46</f>
        <v>1048.62707211854</v>
      </c>
      <c r="AP52" s="134"/>
      <c r="AQ52" s="158"/>
      <c r="AR52" s="80" t="n">
        <f aca="false">AR13+AR46</f>
        <v>2218.5955</v>
      </c>
      <c r="AS52" s="97" t="n">
        <f aca="false">AS13+AS46</f>
        <v>120</v>
      </c>
      <c r="AT52" s="150"/>
      <c r="AV52" s="102" t="n">
        <f aca="false">AV13+AV46</f>
        <v>2.86</v>
      </c>
      <c r="AW52" s="103"/>
      <c r="AX52" s="103"/>
      <c r="AY52" s="294"/>
      <c r="AZ52" s="457" t="n">
        <f aca="false">AZ13+AZ46</f>
        <v>1450.77610720448</v>
      </c>
    </row>
    <row r="53" customFormat="false" ht="12.95" hidden="false" customHeight="true" outlineLevel="0" collapsed="false">
      <c r="A53" s="11" t="s">
        <v>109</v>
      </c>
      <c r="B53" s="354"/>
      <c r="C53" s="94"/>
      <c r="D53" s="94" t="n">
        <f aca="false">D13+D47</f>
        <v>5957</v>
      </c>
      <c r="E53" s="94" t="n">
        <f aca="false">E44</f>
        <v>147642</v>
      </c>
      <c r="F53" s="146" t="n">
        <f aca="false">F52*$D$2</f>
        <v>6030.99999999999</v>
      </c>
      <c r="G53" s="80" t="n">
        <f aca="false">G52*$D$2</f>
        <v>129871.646</v>
      </c>
      <c r="H53" s="150" t="n">
        <f aca="false">H52*$D$2</f>
        <v>2400.808565</v>
      </c>
      <c r="I53" s="80" t="n">
        <f aca="false">I52*$D$2</f>
        <v>132271.224795</v>
      </c>
      <c r="J53" s="80" t="n">
        <f aca="false">J52*$D$2</f>
        <v>13121.53124</v>
      </c>
      <c r="K53" s="80" t="n">
        <f aca="false">K52*$D$2</f>
        <v>145392.7362</v>
      </c>
      <c r="L53" s="80" t="n">
        <f aca="false">L52*$D$2</f>
        <v>8084.11609257525</v>
      </c>
      <c r="M53" s="98" t="n">
        <f aca="false">M52*$D$2</f>
        <v>46755.8554</v>
      </c>
      <c r="N53" s="94" t="n">
        <f aca="false">N52*$D$2</f>
        <v>170.10151565225</v>
      </c>
      <c r="O53" s="103" t="n">
        <f aca="false">O52*$D$2</f>
        <v>15351.37858175</v>
      </c>
      <c r="P53" s="83"/>
      <c r="Q53" s="103" t="n">
        <f aca="false">Q52*$D$2</f>
        <v>945.625491405581</v>
      </c>
      <c r="R53" s="103" t="n">
        <f aca="false">R52*$D$2</f>
        <v>1140.91234091192</v>
      </c>
      <c r="S53" s="103" t="n">
        <f aca="false">S52*$D$2</f>
        <v>199.38200616392</v>
      </c>
      <c r="T53" s="103" t="n">
        <f aca="false">T52*$D$2</f>
        <v>351.93581852416</v>
      </c>
      <c r="U53" s="358" t="n">
        <f aca="false">U52*$D$2</f>
        <v>55.1380159822495</v>
      </c>
      <c r="V53" s="80" t="n">
        <f aca="false">V52*$D$2</f>
        <v>27782.8845</v>
      </c>
      <c r="W53" s="80" t="n">
        <f aca="false">W52*$D$2</f>
        <v>10158.2969</v>
      </c>
      <c r="X53" s="80" t="n">
        <f aca="false">X52*$D$2</f>
        <v>70868.6279838599</v>
      </c>
      <c r="Y53" s="80" t="n">
        <f aca="false">Y52*$D$2</f>
        <v>68788.6761863128</v>
      </c>
      <c r="Z53" s="80"/>
      <c r="AA53" s="80"/>
      <c r="AB53" s="107"/>
      <c r="AC53" s="80"/>
      <c r="AD53" s="80"/>
      <c r="AE53" s="80"/>
      <c r="AF53" s="360" t="n">
        <f aca="false">AF52*$D$2</f>
        <v>101.1585</v>
      </c>
      <c r="AG53" s="359" t="n">
        <f aca="false">AG52*$D$2</f>
        <v>77.3565</v>
      </c>
      <c r="AH53" s="80" t="n">
        <f aca="false">AH52*$D$2</f>
        <v>20798.981</v>
      </c>
      <c r="AI53" s="80" t="n">
        <f aca="false">AI52*$D$2</f>
        <v>21648.4305</v>
      </c>
      <c r="AJ53" s="80" t="n">
        <f aca="false">AJ52*$D$2</f>
        <v>65.4555</v>
      </c>
      <c r="AK53" s="80" t="n">
        <f aca="false">AK52*$D$2</f>
        <v>134324.321052575</v>
      </c>
      <c r="AL53" s="80" t="n">
        <f aca="false">AL52*$D$2</f>
        <v>5037.41514742475</v>
      </c>
      <c r="AM53" s="161" t="n">
        <f aca="false">AM52*$D$2</f>
        <v>139361.7362</v>
      </c>
      <c r="AN53" s="94" t="n">
        <f aca="false">AN13+AN47</f>
        <v>11712.1708</v>
      </c>
      <c r="AO53" s="80" t="n">
        <f aca="false">AO52*$D$2</f>
        <v>2079.95179754712</v>
      </c>
      <c r="AP53" s="134"/>
      <c r="AQ53" s="158" t="n">
        <f aca="false">AQ13+AQ47</f>
        <v>833.667204659472</v>
      </c>
      <c r="AR53" s="80" t="n">
        <f aca="false">AR52*$D$2</f>
        <v>4400.58417425</v>
      </c>
      <c r="AS53" s="97" t="n">
        <f aca="false">AS52*$D$2</f>
        <v>238.02</v>
      </c>
      <c r="AT53" s="150"/>
      <c r="AV53" s="102"/>
      <c r="AW53" s="103"/>
      <c r="AX53" s="103"/>
      <c r="AY53" s="294"/>
      <c r="AZ53" s="457" t="n">
        <f aca="false">AZ52*$D$2</f>
        <v>2877.61440864008</v>
      </c>
    </row>
    <row r="54" customFormat="false" ht="3" hidden="false" customHeight="true" outlineLevel="0" collapsed="false">
      <c r="A54" s="109"/>
      <c r="B54" s="370"/>
      <c r="C54" s="119"/>
      <c r="D54" s="116"/>
      <c r="E54" s="119"/>
      <c r="F54" s="144"/>
      <c r="G54" s="116"/>
      <c r="H54" s="118"/>
      <c r="I54" s="116"/>
      <c r="J54" s="116"/>
      <c r="K54" s="463"/>
      <c r="L54" s="116"/>
      <c r="M54" s="120"/>
      <c r="N54" s="116"/>
      <c r="O54" s="118"/>
      <c r="P54" s="363"/>
      <c r="Q54" s="118"/>
      <c r="R54" s="118"/>
      <c r="S54" s="116"/>
      <c r="T54" s="116"/>
      <c r="U54" s="364"/>
      <c r="V54" s="116"/>
      <c r="W54" s="116"/>
      <c r="X54" s="116"/>
      <c r="Y54" s="116"/>
      <c r="Z54" s="119"/>
      <c r="AA54" s="116"/>
      <c r="AB54" s="233"/>
      <c r="AC54" s="119"/>
      <c r="AD54" s="119"/>
      <c r="AE54" s="116"/>
      <c r="AF54" s="114"/>
      <c r="AG54" s="165"/>
      <c r="AH54" s="116"/>
      <c r="AI54" s="119"/>
      <c r="AJ54" s="464"/>
      <c r="AK54" s="116"/>
      <c r="AL54" s="116"/>
      <c r="AM54" s="116"/>
      <c r="AN54" s="370"/>
      <c r="AO54" s="116"/>
      <c r="AP54" s="116"/>
      <c r="AQ54" s="238"/>
      <c r="AR54" s="240"/>
      <c r="AS54" s="240"/>
      <c r="AT54" s="238"/>
      <c r="AU54" s="240"/>
      <c r="AV54" s="370"/>
      <c r="AW54" s="116"/>
      <c r="AX54" s="116"/>
      <c r="AY54" s="156"/>
      <c r="AZ54" s="459"/>
    </row>
    <row r="55" customFormat="false" ht="14.1" hidden="false" customHeight="true" outlineLevel="0" collapsed="false">
      <c r="A55" s="170"/>
      <c r="B55" s="173"/>
      <c r="D55" s="11"/>
      <c r="E55" s="465"/>
      <c r="I55" s="11"/>
      <c r="J55" s="11"/>
      <c r="K55" s="466"/>
      <c r="L55" s="177"/>
      <c r="M55" s="11"/>
      <c r="N55" s="11"/>
      <c r="Q55" s="467"/>
      <c r="S55" s="11"/>
      <c r="T55" s="11"/>
      <c r="V55" s="11"/>
      <c r="W55" s="11"/>
      <c r="X55" s="11"/>
      <c r="Y55" s="11"/>
      <c r="AA55" s="11"/>
      <c r="AB55" s="177"/>
      <c r="AE55" s="11"/>
      <c r="AF55" s="11"/>
      <c r="AG55" s="11"/>
      <c r="AH55" s="11"/>
      <c r="AI55" s="465"/>
      <c r="AJ55" s="468"/>
      <c r="AK55" s="11"/>
      <c r="AL55" s="11"/>
      <c r="AM55" s="11"/>
      <c r="AN55" s="10"/>
      <c r="AO55" s="10"/>
      <c r="AP55" s="14"/>
      <c r="AQ55" s="69"/>
      <c r="AR55" s="407"/>
      <c r="AX55" s="9"/>
    </row>
    <row r="56" customFormat="false" ht="11.1" hidden="false" customHeight="true" outlineLevel="0" collapsed="false">
      <c r="A56" s="11"/>
      <c r="B56" s="173"/>
      <c r="E56" s="382"/>
      <c r="F56" s="188"/>
      <c r="I56" s="12"/>
      <c r="J56" s="11"/>
      <c r="K56" s="174"/>
      <c r="L56" s="179"/>
      <c r="M56" s="11"/>
      <c r="N56" s="11"/>
      <c r="S56" s="130"/>
      <c r="T56" s="130"/>
      <c r="U56" s="93"/>
      <c r="V56" s="26"/>
      <c r="W56" s="130"/>
      <c r="X56" s="469"/>
      <c r="Y56" s="469"/>
      <c r="Z56" s="177"/>
      <c r="AA56" s="469"/>
      <c r="AB56" s="177"/>
      <c r="AC56" s="177"/>
      <c r="AD56" s="177"/>
      <c r="AE56" s="26"/>
      <c r="AF56" s="26"/>
      <c r="AG56" s="26"/>
      <c r="AH56" s="11"/>
      <c r="AI56" s="2"/>
      <c r="AJ56" s="105"/>
      <c r="AK56" s="11"/>
      <c r="AL56" s="11"/>
      <c r="AM56" s="11"/>
      <c r="AN56" s="10"/>
      <c r="AO56" s="10"/>
      <c r="AP56" s="14"/>
      <c r="AX56" s="9"/>
    </row>
    <row r="57" customFormat="false" ht="11.1" hidden="false" customHeight="true" outlineLevel="0" collapsed="false">
      <c r="B57" s="177"/>
      <c r="C57" s="177"/>
      <c r="D57" s="176"/>
      <c r="E57" s="382"/>
      <c r="F57" s="225"/>
      <c r="K57" s="383"/>
      <c r="L57" s="440"/>
      <c r="M57" s="470"/>
      <c r="N57" s="470"/>
      <c r="O57" s="471"/>
      <c r="P57" s="472"/>
      <c r="Q57" s="471"/>
      <c r="R57" s="471"/>
      <c r="S57" s="26"/>
      <c r="T57" s="26"/>
      <c r="U57" s="93"/>
      <c r="V57" s="26"/>
      <c r="W57" s="130"/>
      <c r="X57" s="90"/>
      <c r="Y57" s="90"/>
      <c r="Z57" s="177"/>
      <c r="AA57" s="90"/>
      <c r="AC57" s="177"/>
      <c r="AD57" s="177"/>
      <c r="AE57" s="177"/>
      <c r="AF57" s="177"/>
      <c r="AG57" s="177"/>
      <c r="AI57" s="26"/>
      <c r="AJ57" s="473"/>
      <c r="AN57" s="87"/>
      <c r="AO57" s="87"/>
      <c r="AP57" s="87"/>
    </row>
    <row r="58" customFormat="false" ht="11.1" hidden="false" customHeight="true" outlineLevel="0" collapsed="false">
      <c r="B58" s="176"/>
      <c r="C58" s="177"/>
      <c r="D58" s="177"/>
      <c r="E58" s="382"/>
      <c r="H58" s="179"/>
      <c r="K58" s="383"/>
      <c r="L58" s="179"/>
      <c r="O58" s="179"/>
      <c r="P58" s="8"/>
      <c r="Q58" s="179"/>
      <c r="R58" s="179"/>
      <c r="S58" s="26"/>
      <c r="T58" s="26"/>
      <c r="U58" s="93"/>
      <c r="V58" s="26"/>
      <c r="W58" s="26"/>
      <c r="X58" s="90"/>
      <c r="Y58" s="90"/>
      <c r="Z58" s="182"/>
      <c r="AA58" s="90"/>
      <c r="AC58" s="182"/>
      <c r="AD58" s="182"/>
      <c r="AE58" s="177"/>
      <c r="AF58" s="177"/>
      <c r="AG58" s="177"/>
      <c r="AI58" s="177"/>
      <c r="AJ58" s="225"/>
      <c r="AN58" s="87"/>
      <c r="AO58" s="87"/>
      <c r="AP58" s="87"/>
    </row>
    <row r="59" customFormat="false" ht="11.1" hidden="false" customHeight="true" outlineLevel="0" collapsed="false">
      <c r="B59" s="8"/>
      <c r="C59" s="177"/>
      <c r="D59" s="177"/>
      <c r="E59" s="382"/>
      <c r="F59" s="384"/>
      <c r="G59" s="176"/>
      <c r="K59" s="174"/>
      <c r="Z59" s="2"/>
      <c r="AC59" s="2"/>
      <c r="AD59" s="2"/>
      <c r="AN59" s="87"/>
      <c r="AO59" s="87"/>
      <c r="AP59" s="87"/>
    </row>
    <row r="61" customFormat="false" ht="11.1" hidden="false" customHeight="true" outlineLevel="0" collapsed="false">
      <c r="B61" s="171"/>
    </row>
  </sheetData>
  <mergeCells count="1">
    <mergeCell ref="M5:U5"/>
  </mergeCells>
  <printOptions headings="true" gridLines="true" gridLinesSet="true" horizontalCentered="false" verticalCentered="true"/>
  <pageMargins left="0.25" right="0.25" top="0.5" bottom="0" header="0.5" footer="0.511811023622047"/>
  <pageSetup paperSize="3" scale="89" fitToWidth="1" fitToHeight="1" pageOrder="downThenOver" orientation="landscape" blackAndWhite="false" draft="false" cellComments="atEnd" horizontalDpi="300" verticalDpi="300" copies="1"/>
  <headerFooter differentFirst="false" differentOddEven="false">
    <oddHeader>&amp;C2012 Approved</oddHeader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Y31" activePane="bottomRight" state="frozen"/>
      <selection pane="topLeft" activeCell="A1" activeCellId="0" sqref="A1"/>
      <selection pane="topRight" activeCell="Y1" activeCellId="0" sqref="Y1"/>
      <selection pane="bottomLeft" activeCell="A31" activeCellId="0" sqref="A31"/>
      <selection pane="bottomRight" activeCell="AC42" activeCellId="0" sqref="AC42"/>
    </sheetView>
  </sheetViews>
  <sheetFormatPr defaultColWidth="9.328125" defaultRowHeight="11.1" zeroHeight="false" outlineLevelRow="0" outlineLevelCol="0"/>
  <cols>
    <col collapsed="false" customWidth="true" hidden="false" outlineLevel="0" max="1" min="1" style="176" width="4.66"/>
    <col collapsed="false" customWidth="true" hidden="false" outlineLevel="0" max="2" min="2" style="176" width="6.99"/>
    <col collapsed="false" customWidth="true" hidden="false" outlineLevel="0" max="3" min="3" style="177" width="6.32"/>
    <col collapsed="false" customWidth="true" hidden="false" outlineLevel="0" max="4" min="4" style="176" width="6.32"/>
    <col collapsed="false" customWidth="true" hidden="false" outlineLevel="0" max="5" min="5" style="177" width="6.99"/>
    <col collapsed="false" customWidth="true" hidden="false" outlineLevel="0" max="6" min="6" style="176" width="7.32"/>
    <col collapsed="false" customWidth="true" hidden="false" outlineLevel="0" max="7" min="7" style="176" width="6.82"/>
    <col collapsed="false" customWidth="true" hidden="false" outlineLevel="0" max="8" min="8" style="179" width="5.66"/>
    <col collapsed="false" customWidth="true" hidden="false" outlineLevel="0" max="11" min="9" style="176" width="6.32"/>
    <col collapsed="false" customWidth="true" hidden="false" outlineLevel="0" max="12" min="12" style="176" width="6.82"/>
    <col collapsed="false" customWidth="true" hidden="false" outlineLevel="0" max="13" min="13" style="179" width="5.49"/>
    <col collapsed="false" customWidth="true" hidden="false" outlineLevel="0" max="14" min="14" style="179" width="4.49"/>
    <col collapsed="false" customWidth="true" hidden="false" outlineLevel="0" max="15" min="15" style="179" width="5.49"/>
    <col collapsed="false" customWidth="true" hidden="false" outlineLevel="0" max="16" min="16" style="8" width="4.82"/>
    <col collapsed="false" customWidth="true" hidden="false" outlineLevel="0" max="18" min="17" style="179" width="4.32"/>
    <col collapsed="false" customWidth="true" hidden="false" outlineLevel="0" max="20" min="19" style="176" width="4.32"/>
    <col collapsed="false" customWidth="true" hidden="false" outlineLevel="0" max="21" min="21" style="8" width="5.16"/>
    <col collapsed="false" customWidth="true" hidden="false" outlineLevel="0" max="23" min="22" style="176" width="5.49"/>
    <col collapsed="false" customWidth="true" hidden="false" outlineLevel="0" max="25" min="24" style="177" width="6.32"/>
    <col collapsed="false" customWidth="true" hidden="false" outlineLevel="0" max="26" min="26" style="176" width="5.49"/>
    <col collapsed="false" customWidth="true" hidden="false" outlineLevel="0" max="27" min="27" style="177" width="6.32"/>
    <col collapsed="false" customWidth="true" hidden="false" outlineLevel="0" max="28" min="28" style="176" width="5.49"/>
    <col collapsed="false" customWidth="true" hidden="false" outlineLevel="0" max="29" min="29" style="176" width="5.82"/>
    <col collapsed="false" customWidth="true" hidden="false" outlineLevel="0" max="30" min="30" style="182" width="5.49"/>
    <col collapsed="false" customWidth="true" hidden="false" outlineLevel="0" max="33" min="31" style="176" width="5.49"/>
    <col collapsed="false" customWidth="true" hidden="false" outlineLevel="0" max="34" min="34" style="177" width="5.82"/>
    <col collapsed="false" customWidth="true" hidden="false" outlineLevel="0" max="35" min="35" style="176" width="5.49"/>
    <col collapsed="false" customWidth="true" hidden="false" outlineLevel="0" max="36" min="36" style="180" width="6.32"/>
    <col collapsed="false" customWidth="true" hidden="false" outlineLevel="0" max="37" min="37" style="176" width="6.32"/>
    <col collapsed="false" customWidth="true" hidden="false" outlineLevel="0" max="38" min="38" style="176" width="6.82"/>
    <col collapsed="false" customWidth="true" hidden="false" outlineLevel="0" max="39" min="39" style="8" width="6.82"/>
    <col collapsed="false" customWidth="true" hidden="false" outlineLevel="0" max="41" min="40" style="176" width="5.49"/>
    <col collapsed="false" customWidth="true" hidden="false" outlineLevel="0" max="42" min="42" style="179" width="6.32"/>
    <col collapsed="false" customWidth="true" hidden="false" outlineLevel="0" max="43" min="43" style="193" width="6.32"/>
    <col collapsed="false" customWidth="true" hidden="false" outlineLevel="0" max="44" min="44" style="193" width="5.49"/>
    <col collapsed="false" customWidth="true" hidden="false" outlineLevel="0" max="45" min="45" style="193" width="5.99"/>
    <col collapsed="false" customWidth="true" hidden="false" outlineLevel="0" max="46" min="46" style="384" width="5.82"/>
    <col collapsed="false" customWidth="true" hidden="false" outlineLevel="0" max="47" min="47" style="179" width="4.99"/>
    <col collapsed="false" customWidth="true" hidden="false" outlineLevel="0" max="48" min="48" style="182" width="5.32"/>
    <col collapsed="false" customWidth="true" hidden="false" outlineLevel="0" max="49" min="49" style="182" width="3.82"/>
    <col collapsed="false" customWidth="true" hidden="false" outlineLevel="0" max="50" min="50" style="183" width="3.82"/>
    <col collapsed="false" customWidth="true" hidden="false" outlineLevel="0" max="51" min="51" style="184" width="3.82"/>
    <col collapsed="false" customWidth="true" hidden="false" outlineLevel="0" max="52" min="52" style="184" width="5.49"/>
    <col collapsed="false" customWidth="false" hidden="false" outlineLevel="0" max="257" min="53" style="184" width="9.32"/>
  </cols>
  <sheetData>
    <row r="1" customFormat="false" ht="14.1" hidden="false" customHeight="true" outlineLevel="0" collapsed="false">
      <c r="A1" s="11"/>
      <c r="B1" s="11"/>
      <c r="C1" s="2"/>
      <c r="D1" s="11"/>
      <c r="E1" s="2"/>
      <c r="F1" s="11"/>
      <c r="G1" s="11"/>
      <c r="H1" s="4"/>
      <c r="I1" s="11"/>
      <c r="J1" s="11"/>
      <c r="K1" s="13" t="s">
        <v>0</v>
      </c>
      <c r="L1" s="11"/>
      <c r="M1" s="11"/>
      <c r="N1" s="11"/>
      <c r="O1" s="11"/>
      <c r="P1" s="5"/>
      <c r="Q1" s="11"/>
      <c r="R1" s="11"/>
      <c r="S1" s="11"/>
      <c r="T1" s="11"/>
      <c r="U1" s="5"/>
      <c r="V1" s="11"/>
      <c r="W1" s="11"/>
      <c r="X1" s="2"/>
      <c r="Y1" s="2"/>
      <c r="Z1" s="11"/>
      <c r="AA1" s="2"/>
      <c r="AB1" s="11"/>
      <c r="AC1" s="11"/>
      <c r="AD1" s="9"/>
      <c r="AE1" s="11"/>
      <c r="AF1" s="11"/>
      <c r="AG1" s="11"/>
      <c r="AH1" s="2"/>
      <c r="AI1" s="11"/>
      <c r="AJ1" s="14"/>
      <c r="AK1" s="11"/>
      <c r="AL1" s="11"/>
      <c r="AM1" s="5"/>
      <c r="AN1" s="14"/>
      <c r="AO1" s="14"/>
      <c r="AP1" s="344"/>
      <c r="AS1" s="6"/>
      <c r="AT1" s="88"/>
      <c r="AU1" s="4"/>
      <c r="AV1" s="3"/>
      <c r="AW1" s="9"/>
      <c r="AX1" s="1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</row>
    <row r="2" customFormat="false" ht="14.1" hidden="false" customHeight="true" outlineLevel="0" collapsed="false">
      <c r="A2" s="14" t="s">
        <v>1</v>
      </c>
      <c r="B2" s="11"/>
      <c r="C2" s="2"/>
      <c r="D2" s="15" t="n">
        <v>1.9835</v>
      </c>
      <c r="E2" s="2"/>
      <c r="F2" s="11"/>
      <c r="G2" s="11"/>
      <c r="H2" s="4"/>
      <c r="I2" s="11"/>
      <c r="J2" s="11"/>
      <c r="K2" s="345" t="s">
        <v>133</v>
      </c>
      <c r="L2" s="346"/>
      <c r="M2" s="347"/>
      <c r="N2" s="347"/>
      <c r="O2" s="347"/>
      <c r="P2" s="6"/>
      <c r="Q2" s="347"/>
      <c r="R2" s="347"/>
      <c r="S2" s="347"/>
      <c r="T2" s="347"/>
      <c r="U2" s="6"/>
      <c r="V2" s="347"/>
      <c r="W2" s="347"/>
      <c r="X2" s="348"/>
      <c r="Y2" s="348"/>
      <c r="Z2" s="347"/>
      <c r="AA2" s="348"/>
      <c r="AB2" s="347"/>
      <c r="AC2" s="347"/>
      <c r="AD2" s="10"/>
      <c r="AE2" s="347"/>
      <c r="AF2" s="347"/>
      <c r="AG2" s="347"/>
      <c r="AH2" s="348"/>
      <c r="AI2" s="11"/>
      <c r="AJ2" s="14"/>
      <c r="AK2" s="11"/>
      <c r="AL2" s="11"/>
      <c r="AM2" s="5"/>
      <c r="AN2" s="14"/>
      <c r="AO2" s="14"/>
      <c r="AP2" s="344"/>
      <c r="AS2" s="6"/>
      <c r="AT2" s="88"/>
      <c r="AU2" s="4"/>
      <c r="AV2" s="3"/>
      <c r="AW2" s="9"/>
      <c r="AX2" s="1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</row>
    <row r="3" customFormat="false" ht="14.1" hidden="false" customHeight="true" outlineLevel="0" collapsed="false">
      <c r="A3" s="16"/>
      <c r="B3" s="16"/>
      <c r="C3" s="17"/>
      <c r="D3" s="18"/>
      <c r="E3" s="17"/>
      <c r="F3" s="16"/>
      <c r="G3" s="16"/>
      <c r="H3" s="22"/>
      <c r="I3" s="16"/>
      <c r="J3" s="16"/>
      <c r="K3" s="16"/>
      <c r="L3" s="16"/>
      <c r="M3" s="16"/>
      <c r="N3" s="16"/>
      <c r="O3" s="16"/>
      <c r="P3" s="20"/>
      <c r="Q3" s="16"/>
      <c r="R3" s="16"/>
      <c r="S3" s="16"/>
      <c r="T3" s="16"/>
      <c r="U3" s="20"/>
      <c r="V3" s="16"/>
      <c r="W3" s="16"/>
      <c r="X3" s="17"/>
      <c r="Y3" s="17"/>
      <c r="Z3" s="16"/>
      <c r="AA3" s="17"/>
      <c r="AB3" s="16"/>
      <c r="AC3" s="16"/>
      <c r="AD3" s="28"/>
      <c r="AE3" s="16"/>
      <c r="AF3" s="16"/>
      <c r="AG3" s="16"/>
      <c r="AH3" s="17"/>
      <c r="AI3" s="16"/>
      <c r="AJ3" s="350"/>
      <c r="AK3" s="16"/>
      <c r="AL3" s="16"/>
      <c r="AM3" s="20"/>
      <c r="AN3" s="350"/>
      <c r="AO3" s="350"/>
      <c r="AP3" s="349"/>
      <c r="AS3" s="6"/>
      <c r="AT3" s="88"/>
      <c r="AU3" s="4"/>
      <c r="AV3" s="27"/>
      <c r="AW3" s="28"/>
      <c r="AX3" s="29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</row>
    <row r="4" s="1" customFormat="true" ht="14.1" hidden="false" customHeight="true" outlineLevel="0" collapsed="false">
      <c r="A4" s="11"/>
      <c r="B4" s="32"/>
      <c r="C4" s="33"/>
      <c r="D4" s="34" t="s">
        <v>3</v>
      </c>
      <c r="E4" s="33"/>
      <c r="F4" s="31"/>
      <c r="G4" s="11"/>
      <c r="H4" s="4"/>
      <c r="I4" s="474" t="s">
        <v>134</v>
      </c>
      <c r="J4" s="11"/>
      <c r="K4" s="11"/>
      <c r="L4" s="37"/>
      <c r="M4" s="11"/>
      <c r="N4" s="11"/>
      <c r="O4" s="11"/>
      <c r="P4" s="5"/>
      <c r="Q4" s="11"/>
      <c r="R4" s="11"/>
      <c r="S4" s="11"/>
      <c r="T4" s="11"/>
      <c r="U4" s="5"/>
      <c r="V4" s="475"/>
      <c r="W4" s="11"/>
      <c r="X4" s="475" t="s">
        <v>5</v>
      </c>
      <c r="Y4" s="2"/>
      <c r="Z4" s="11"/>
      <c r="AA4" s="2"/>
      <c r="AB4" s="11"/>
      <c r="AC4" s="11"/>
      <c r="AD4" s="9"/>
      <c r="AE4" s="11"/>
      <c r="AF4" s="11"/>
      <c r="AG4" s="11"/>
      <c r="AH4" s="2"/>
      <c r="AI4" s="11"/>
      <c r="AJ4" s="14"/>
      <c r="AK4" s="11"/>
      <c r="AL4" s="11"/>
      <c r="AM4" s="5"/>
      <c r="AN4" s="446"/>
      <c r="AO4" s="53"/>
      <c r="AP4" s="476" t="s">
        <v>6</v>
      </c>
      <c r="AQ4" s="47"/>
      <c r="AR4" s="47"/>
      <c r="AS4" s="38"/>
      <c r="AT4" s="50"/>
      <c r="AU4" s="352"/>
      <c r="AV4" s="51"/>
      <c r="AW4" s="52" t="s">
        <v>7</v>
      </c>
      <c r="AX4" s="53"/>
      <c r="AY4" s="293"/>
      <c r="AZ4" s="328"/>
    </row>
    <row r="5" customFormat="false" ht="12.95" hidden="false" customHeight="true" outlineLevel="0" collapsed="false">
      <c r="A5" s="323" t="s">
        <v>8</v>
      </c>
      <c r="B5" s="405" t="s">
        <v>9</v>
      </c>
      <c r="C5" s="406" t="s">
        <v>9</v>
      </c>
      <c r="D5" s="323" t="s">
        <v>10</v>
      </c>
      <c r="E5" s="406" t="s">
        <v>11</v>
      </c>
      <c r="F5" s="323" t="s">
        <v>12</v>
      </c>
      <c r="G5" s="405" t="s">
        <v>13</v>
      </c>
      <c r="H5" s="407" t="s">
        <v>14</v>
      </c>
      <c r="I5" s="323" t="s">
        <v>15</v>
      </c>
      <c r="J5" s="323" t="s">
        <v>16</v>
      </c>
      <c r="K5" s="323" t="s">
        <v>17</v>
      </c>
      <c r="L5" s="323" t="s">
        <v>16</v>
      </c>
      <c r="M5" s="408" t="s">
        <v>18</v>
      </c>
      <c r="N5" s="408"/>
      <c r="O5" s="408"/>
      <c r="P5" s="408"/>
      <c r="Q5" s="408"/>
      <c r="R5" s="408"/>
      <c r="S5" s="408"/>
      <c r="T5" s="408"/>
      <c r="U5" s="408"/>
      <c r="V5" s="323" t="s">
        <v>19</v>
      </c>
      <c r="W5" s="323" t="s">
        <v>20</v>
      </c>
      <c r="X5" s="55" t="s">
        <v>17</v>
      </c>
      <c r="Y5" s="55" t="s">
        <v>17</v>
      </c>
      <c r="Z5" s="61" t="s">
        <v>21</v>
      </c>
      <c r="AA5" s="55" t="s">
        <v>21</v>
      </c>
      <c r="AB5" s="61" t="s">
        <v>21</v>
      </c>
      <c r="AC5" s="406" t="s">
        <v>22</v>
      </c>
      <c r="AD5" s="411" t="s">
        <v>21</v>
      </c>
      <c r="AE5" s="323" t="s">
        <v>23</v>
      </c>
      <c r="AF5" s="409" t="s">
        <v>127</v>
      </c>
      <c r="AG5" s="410"/>
      <c r="AH5" s="411" t="s">
        <v>25</v>
      </c>
      <c r="AI5" s="406" t="s">
        <v>128</v>
      </c>
      <c r="AJ5" s="406" t="s">
        <v>27</v>
      </c>
      <c r="AK5" s="323" t="s">
        <v>15</v>
      </c>
      <c r="AL5" s="323" t="s">
        <v>16</v>
      </c>
      <c r="AM5" s="323" t="s">
        <v>17</v>
      </c>
      <c r="AN5" s="448" t="s">
        <v>28</v>
      </c>
      <c r="AO5" s="61" t="s">
        <v>21</v>
      </c>
      <c r="AP5" s="67" t="s">
        <v>29</v>
      </c>
      <c r="AQ5" s="67" t="s">
        <v>29</v>
      </c>
      <c r="AR5" s="62" t="s">
        <v>30</v>
      </c>
      <c r="AS5" s="68" t="s">
        <v>31</v>
      </c>
      <c r="AT5" s="407" t="s">
        <v>32</v>
      </c>
      <c r="AU5" s="210" t="s">
        <v>33</v>
      </c>
      <c r="AV5" s="412" t="s">
        <v>34</v>
      </c>
      <c r="AW5" s="411" t="s">
        <v>35</v>
      </c>
      <c r="AX5" s="411" t="s">
        <v>36</v>
      </c>
      <c r="AY5" s="299"/>
      <c r="AZ5" s="295" t="s">
        <v>17</v>
      </c>
    </row>
    <row r="6" customFormat="false" ht="12.95" hidden="false" customHeight="true" outlineLevel="0" collapsed="false">
      <c r="A6" s="413" t="s">
        <v>135</v>
      </c>
      <c r="B6" s="405" t="s">
        <v>38</v>
      </c>
      <c r="C6" s="406"/>
      <c r="D6" s="323" t="s">
        <v>39</v>
      </c>
      <c r="E6" s="406" t="s">
        <v>40</v>
      </c>
      <c r="F6" s="323" t="s">
        <v>41</v>
      </c>
      <c r="G6" s="405" t="s">
        <v>42</v>
      </c>
      <c r="H6" s="407" t="s">
        <v>43</v>
      </c>
      <c r="I6" s="323" t="s">
        <v>44</v>
      </c>
      <c r="J6" s="323" t="s">
        <v>44</v>
      </c>
      <c r="K6" s="323" t="s">
        <v>44</v>
      </c>
      <c r="L6" s="323" t="s">
        <v>45</v>
      </c>
      <c r="M6" s="414" t="s">
        <v>46</v>
      </c>
      <c r="N6" s="69" t="s">
        <v>47</v>
      </c>
      <c r="O6" s="323" t="s">
        <v>48</v>
      </c>
      <c r="P6" s="69" t="s">
        <v>49</v>
      </c>
      <c r="Q6" s="58" t="s">
        <v>50</v>
      </c>
      <c r="R6" s="58" t="s">
        <v>51</v>
      </c>
      <c r="S6" s="58"/>
      <c r="T6" s="58" t="s">
        <v>48</v>
      </c>
      <c r="U6" s="415" t="s">
        <v>52</v>
      </c>
      <c r="V6" s="323" t="s">
        <v>53</v>
      </c>
      <c r="W6" s="323" t="s">
        <v>54</v>
      </c>
      <c r="X6" s="55" t="s">
        <v>21</v>
      </c>
      <c r="Y6" s="55" t="s">
        <v>21</v>
      </c>
      <c r="Z6" s="61" t="s">
        <v>55</v>
      </c>
      <c r="AA6" s="55" t="s">
        <v>55</v>
      </c>
      <c r="AB6" s="61" t="s">
        <v>56</v>
      </c>
      <c r="AC6" s="406" t="s">
        <v>57</v>
      </c>
      <c r="AD6" s="411" t="s">
        <v>58</v>
      </c>
      <c r="AE6" s="323" t="s">
        <v>59</v>
      </c>
      <c r="AF6" s="74" t="s">
        <v>60</v>
      </c>
      <c r="AG6" s="77" t="s">
        <v>61</v>
      </c>
      <c r="AH6" s="411" t="s">
        <v>62</v>
      </c>
      <c r="AI6" s="406" t="s">
        <v>63</v>
      </c>
      <c r="AJ6" s="406"/>
      <c r="AK6" s="323" t="s">
        <v>64</v>
      </c>
      <c r="AL6" s="323" t="s">
        <v>64</v>
      </c>
      <c r="AM6" s="323" t="s">
        <v>64</v>
      </c>
      <c r="AN6" s="448" t="s">
        <v>65</v>
      </c>
      <c r="AO6" s="61" t="s">
        <v>66</v>
      </c>
      <c r="AP6" s="67" t="s">
        <v>67</v>
      </c>
      <c r="AQ6" s="67" t="s">
        <v>67</v>
      </c>
      <c r="AR6" s="62" t="s">
        <v>68</v>
      </c>
      <c r="AS6" s="68" t="s">
        <v>69</v>
      </c>
      <c r="AT6" s="407" t="s">
        <v>70</v>
      </c>
      <c r="AU6" s="210" t="s">
        <v>71</v>
      </c>
      <c r="AV6" s="416"/>
      <c r="AW6" s="411" t="s">
        <v>72</v>
      </c>
      <c r="AX6" s="411" t="s">
        <v>72</v>
      </c>
      <c r="AY6" s="299"/>
      <c r="AZ6" s="295" t="s">
        <v>73</v>
      </c>
    </row>
    <row r="7" customFormat="false" ht="12.95" hidden="false" customHeight="true" outlineLevel="0" collapsed="false">
      <c r="A7" s="323"/>
      <c r="B7" s="405"/>
      <c r="C7" s="406"/>
      <c r="D7" s="323"/>
      <c r="E7" s="406"/>
      <c r="F7" s="323"/>
      <c r="G7" s="405"/>
      <c r="H7" s="407"/>
      <c r="I7" s="323"/>
      <c r="J7" s="323"/>
      <c r="K7" s="323"/>
      <c r="L7" s="323"/>
      <c r="M7" s="414"/>
      <c r="N7" s="69" t="s">
        <v>74</v>
      </c>
      <c r="O7" s="323" t="s">
        <v>75</v>
      </c>
      <c r="P7" s="69"/>
      <c r="Q7" s="58" t="s">
        <v>76</v>
      </c>
      <c r="R7" s="58" t="s">
        <v>76</v>
      </c>
      <c r="S7" s="58" t="s">
        <v>61</v>
      </c>
      <c r="T7" s="58" t="s">
        <v>61</v>
      </c>
      <c r="U7" s="415" t="s">
        <v>77</v>
      </c>
      <c r="V7" s="323"/>
      <c r="W7" s="323"/>
      <c r="X7" s="65" t="s">
        <v>78</v>
      </c>
      <c r="Y7" s="57" t="s">
        <v>79</v>
      </c>
      <c r="Z7" s="61" t="s">
        <v>80</v>
      </c>
      <c r="AA7" s="55" t="s">
        <v>81</v>
      </c>
      <c r="AB7" s="61" t="s">
        <v>82</v>
      </c>
      <c r="AC7" s="406"/>
      <c r="AD7" s="411"/>
      <c r="AE7" s="323"/>
      <c r="AF7" s="477" t="n">
        <v>1.7</v>
      </c>
      <c r="AG7" s="478" t="n">
        <v>1.3</v>
      </c>
      <c r="AH7" s="411"/>
      <c r="AI7" s="406"/>
      <c r="AJ7" s="406"/>
      <c r="AK7" s="323"/>
      <c r="AL7" s="323"/>
      <c r="AM7" s="323"/>
      <c r="AN7" s="448"/>
      <c r="AO7" s="61" t="s">
        <v>41</v>
      </c>
      <c r="AP7" s="67" t="s">
        <v>83</v>
      </c>
      <c r="AQ7" s="67" t="s">
        <v>84</v>
      </c>
      <c r="AR7" s="62" t="s">
        <v>85</v>
      </c>
      <c r="AS7" s="68" t="s">
        <v>86</v>
      </c>
      <c r="AT7" s="407" t="s">
        <v>87</v>
      </c>
      <c r="AU7" s="210" t="s">
        <v>88</v>
      </c>
      <c r="AV7" s="416"/>
      <c r="AW7" s="411"/>
      <c r="AX7" s="411"/>
      <c r="AY7" s="299"/>
      <c r="AZ7" s="295" t="s">
        <v>89</v>
      </c>
    </row>
    <row r="8" customFormat="false" ht="12.95" hidden="false" customHeight="true" outlineLevel="0" collapsed="false">
      <c r="A8" s="323"/>
      <c r="B8" s="405"/>
      <c r="C8" s="406"/>
      <c r="D8" s="323"/>
      <c r="E8" s="406"/>
      <c r="F8" s="323"/>
      <c r="G8" s="405"/>
      <c r="H8" s="407"/>
      <c r="I8" s="323"/>
      <c r="J8" s="323"/>
      <c r="K8" s="323"/>
      <c r="L8" s="323"/>
      <c r="M8" s="414"/>
      <c r="N8" s="69"/>
      <c r="O8" s="323"/>
      <c r="P8" s="69"/>
      <c r="Q8" s="58" t="s">
        <v>61</v>
      </c>
      <c r="R8" s="58" t="s">
        <v>61</v>
      </c>
      <c r="S8" s="58"/>
      <c r="T8" s="58"/>
      <c r="U8" s="415"/>
      <c r="V8" s="323"/>
      <c r="W8" s="323"/>
      <c r="X8" s="65" t="s">
        <v>90</v>
      </c>
      <c r="Y8" s="57" t="s">
        <v>78</v>
      </c>
      <c r="Z8" s="61"/>
      <c r="AA8" s="57" t="s">
        <v>91</v>
      </c>
      <c r="AB8" s="61" t="s">
        <v>92</v>
      </c>
      <c r="AC8" s="406"/>
      <c r="AD8" s="411"/>
      <c r="AE8" s="323"/>
      <c r="AF8" s="418"/>
      <c r="AG8" s="419"/>
      <c r="AH8" s="411"/>
      <c r="AI8" s="406"/>
      <c r="AJ8" s="406"/>
      <c r="AK8" s="323"/>
      <c r="AL8" s="323"/>
      <c r="AM8" s="323"/>
      <c r="AN8" s="448"/>
      <c r="AO8" s="61"/>
      <c r="AP8" s="67"/>
      <c r="AQ8" s="67"/>
      <c r="AR8" s="62"/>
      <c r="AS8" s="68"/>
      <c r="AT8" s="407"/>
      <c r="AU8" s="210"/>
      <c r="AV8" s="416"/>
      <c r="AW8" s="411"/>
      <c r="AX8" s="411"/>
      <c r="AY8" s="299"/>
      <c r="AZ8" s="295"/>
    </row>
    <row r="9" customFormat="false" ht="12.95" hidden="false" customHeight="true" outlineLevel="0" collapsed="false">
      <c r="A9" s="323"/>
      <c r="B9" s="405"/>
      <c r="C9" s="406"/>
      <c r="D9" s="323"/>
      <c r="E9" s="406"/>
      <c r="F9" s="323"/>
      <c r="G9" s="405"/>
      <c r="H9" s="407"/>
      <c r="I9" s="323"/>
      <c r="J9" s="323"/>
      <c r="K9" s="323"/>
      <c r="L9" s="323"/>
      <c r="M9" s="414"/>
      <c r="N9" s="69"/>
      <c r="O9" s="323"/>
      <c r="P9" s="69"/>
      <c r="Q9" s="58"/>
      <c r="R9" s="81" t="n">
        <v>4.2</v>
      </c>
      <c r="S9" s="58"/>
      <c r="T9" s="58"/>
      <c r="U9" s="415"/>
      <c r="V9" s="323"/>
      <c r="W9" s="323"/>
      <c r="X9" s="65"/>
      <c r="Y9" s="57" t="s">
        <v>90</v>
      </c>
      <c r="Z9" s="61"/>
      <c r="AA9" s="57" t="s">
        <v>90</v>
      </c>
      <c r="AB9" s="61" t="s">
        <v>93</v>
      </c>
      <c r="AC9" s="406"/>
      <c r="AD9" s="411"/>
      <c r="AE9" s="323"/>
      <c r="AF9" s="418"/>
      <c r="AG9" s="419"/>
      <c r="AH9" s="411"/>
      <c r="AI9" s="406"/>
      <c r="AJ9" s="406"/>
      <c r="AK9" s="323"/>
      <c r="AL9" s="323"/>
      <c r="AM9" s="323"/>
      <c r="AN9" s="448"/>
      <c r="AO9" s="61"/>
      <c r="AP9" s="67"/>
      <c r="AQ9" s="67"/>
      <c r="AR9" s="62"/>
      <c r="AS9" s="68"/>
      <c r="AT9" s="407"/>
      <c r="AU9" s="210"/>
      <c r="AV9" s="416"/>
      <c r="AW9" s="411"/>
      <c r="AX9" s="411"/>
      <c r="AY9" s="299"/>
      <c r="AZ9" s="295"/>
    </row>
    <row r="10" customFormat="false" ht="12.95" hidden="false" customHeight="true" outlineLevel="0" collapsed="false">
      <c r="A10" s="323"/>
      <c r="B10" s="405"/>
      <c r="C10" s="406" t="s">
        <v>10</v>
      </c>
      <c r="D10" s="323"/>
      <c r="E10" s="406" t="s">
        <v>95</v>
      </c>
      <c r="F10" s="323"/>
      <c r="G10" s="405" t="s">
        <v>41</v>
      </c>
      <c r="H10" s="407" t="s">
        <v>41</v>
      </c>
      <c r="I10" s="407" t="s">
        <v>41</v>
      </c>
      <c r="J10" s="407" t="s">
        <v>41</v>
      </c>
      <c r="K10" s="407" t="s">
        <v>41</v>
      </c>
      <c r="L10" s="407" t="s">
        <v>41</v>
      </c>
      <c r="M10" s="421" t="s">
        <v>41</v>
      </c>
      <c r="N10" s="407" t="s">
        <v>41</v>
      </c>
      <c r="O10" s="407" t="s">
        <v>41</v>
      </c>
      <c r="P10" s="407" t="s">
        <v>41</v>
      </c>
      <c r="Q10" s="58" t="s">
        <v>41</v>
      </c>
      <c r="R10" s="58" t="s">
        <v>41</v>
      </c>
      <c r="S10" s="58" t="s">
        <v>41</v>
      </c>
      <c r="T10" s="58" t="s">
        <v>41</v>
      </c>
      <c r="U10" s="420" t="s">
        <v>41</v>
      </c>
      <c r="V10" s="407" t="s">
        <v>41</v>
      </c>
      <c r="W10" s="407" t="s">
        <v>41</v>
      </c>
      <c r="X10" s="57" t="n">
        <v>153400</v>
      </c>
      <c r="Y10" s="57" t="n">
        <v>150400</v>
      </c>
      <c r="Z10" s="58" t="s">
        <v>41</v>
      </c>
      <c r="AA10" s="57"/>
      <c r="AB10" s="57" t="n">
        <v>72000</v>
      </c>
      <c r="AC10" s="407" t="s">
        <v>41</v>
      </c>
      <c r="AD10" s="411" t="s">
        <v>41</v>
      </c>
      <c r="AE10" s="407" t="s">
        <v>41</v>
      </c>
      <c r="AF10" s="421" t="s">
        <v>41</v>
      </c>
      <c r="AG10" s="420" t="s">
        <v>41</v>
      </c>
      <c r="AH10" s="407" t="s">
        <v>41</v>
      </c>
      <c r="AI10" s="407" t="s">
        <v>41</v>
      </c>
      <c r="AJ10" s="407" t="s">
        <v>41</v>
      </c>
      <c r="AK10" s="407" t="s">
        <v>41</v>
      </c>
      <c r="AL10" s="407" t="s">
        <v>41</v>
      </c>
      <c r="AM10" s="407" t="s">
        <v>41</v>
      </c>
      <c r="AN10" s="448" t="s">
        <v>95</v>
      </c>
      <c r="AO10" s="61" t="s">
        <v>41</v>
      </c>
      <c r="AP10" s="61" t="s">
        <v>41</v>
      </c>
      <c r="AQ10" s="67" t="s">
        <v>96</v>
      </c>
      <c r="AR10" s="62" t="s">
        <v>41</v>
      </c>
      <c r="AS10" s="61" t="s">
        <v>41</v>
      </c>
      <c r="AT10" s="61" t="s">
        <v>41</v>
      </c>
      <c r="AU10" s="61" t="s">
        <v>41</v>
      </c>
      <c r="AV10" s="416"/>
      <c r="AW10" s="411"/>
      <c r="AX10" s="411"/>
      <c r="AY10" s="299"/>
      <c r="AZ10" s="295" t="s">
        <v>97</v>
      </c>
    </row>
    <row r="11" customFormat="false" ht="12.95" hidden="false" customHeight="true" outlineLevel="0" collapsed="false">
      <c r="A11" s="450"/>
      <c r="B11" s="323"/>
      <c r="C11" s="406"/>
      <c r="D11" s="323"/>
      <c r="E11" s="406"/>
      <c r="F11" s="450"/>
      <c r="G11" s="323"/>
      <c r="H11" s="407"/>
      <c r="I11" s="323"/>
      <c r="J11" s="323"/>
      <c r="K11" s="323"/>
      <c r="L11" s="417"/>
      <c r="M11" s="323"/>
      <c r="N11" s="69" t="n">
        <v>1.03</v>
      </c>
      <c r="O11" s="422" t="n">
        <v>1.05</v>
      </c>
      <c r="P11" s="69" t="n">
        <v>1.02</v>
      </c>
      <c r="Q11" s="82" t="n">
        <v>1.02</v>
      </c>
      <c r="R11" s="83" t="n">
        <v>1.04</v>
      </c>
      <c r="S11" s="58"/>
      <c r="T11" s="82" t="n">
        <v>1.04</v>
      </c>
      <c r="U11" s="415"/>
      <c r="V11" s="323"/>
      <c r="W11" s="323"/>
      <c r="X11" s="58" t="s">
        <v>41</v>
      </c>
      <c r="Y11" s="58" t="s">
        <v>41</v>
      </c>
      <c r="Z11" s="58" t="s">
        <v>41</v>
      </c>
      <c r="AA11" s="57" t="s">
        <v>41</v>
      </c>
      <c r="AB11" s="84" t="s">
        <v>98</v>
      </c>
      <c r="AC11" s="406"/>
      <c r="AD11" s="183" t="n">
        <v>26645</v>
      </c>
      <c r="AE11" s="323"/>
      <c r="AF11" s="418"/>
      <c r="AG11" s="419"/>
      <c r="AH11" s="411"/>
      <c r="AI11" s="406"/>
      <c r="AJ11" s="406"/>
      <c r="AK11" s="323"/>
      <c r="AL11" s="323"/>
      <c r="AM11" s="323"/>
      <c r="AN11" s="448"/>
      <c r="AO11" s="61"/>
      <c r="AP11" s="67"/>
      <c r="AQ11" s="67"/>
      <c r="AR11" s="62"/>
      <c r="AS11" s="87"/>
      <c r="AT11" s="325"/>
      <c r="AU11" s="479"/>
      <c r="AV11" s="480"/>
      <c r="AW11" s="411"/>
      <c r="AX11" s="411"/>
      <c r="AY11" s="299"/>
      <c r="AZ11" s="295" t="s">
        <v>41</v>
      </c>
    </row>
    <row r="12" s="230" customFormat="true" ht="12.95" hidden="false" customHeight="true" outlineLevel="0" collapsed="false">
      <c r="A12" s="481" t="s">
        <v>99</v>
      </c>
      <c r="B12" s="135"/>
      <c r="C12" s="107"/>
      <c r="D12" s="107"/>
      <c r="E12" s="107"/>
      <c r="F12" s="214" t="n">
        <f aca="false">JUN!F49</f>
        <v>-1777.16158306025</v>
      </c>
      <c r="G12" s="107" t="n">
        <f aca="false">JUN!G49</f>
        <v>53412</v>
      </c>
      <c r="H12" s="107" t="n">
        <f aca="false">JUN!H49</f>
        <v>728.31</v>
      </c>
      <c r="I12" s="107" t="n">
        <f aca="false">JUN!I49</f>
        <v>54140.31</v>
      </c>
      <c r="J12" s="107" t="n">
        <f aca="false">JUN!J49</f>
        <v>1721.15435089488</v>
      </c>
      <c r="K12" s="107" t="n">
        <f aca="false">JUN!K49</f>
        <v>55861.4543508949</v>
      </c>
      <c r="L12" s="218" t="n">
        <f aca="false">JUN!L49</f>
        <v>-221.803981560247</v>
      </c>
      <c r="M12" s="107" t="n">
        <f aca="false">JUN!M49</f>
        <v>22783.7</v>
      </c>
      <c r="N12" s="107" t="n">
        <f aca="false">JUN!N49</f>
        <v>85.7582635</v>
      </c>
      <c r="O12" s="107" t="n">
        <f aca="false">JUN!O49</f>
        <v>7739.5405</v>
      </c>
      <c r="P12" s="336" t="n">
        <f aca="false">JUN!P49</f>
        <v>7.32</v>
      </c>
      <c r="Q12" s="107"/>
      <c r="R12" s="107"/>
      <c r="S12" s="107"/>
      <c r="T12" s="107"/>
      <c r="U12" s="217"/>
      <c r="V12" s="107" t="n">
        <f aca="false">JUN!V49</f>
        <v>8160</v>
      </c>
      <c r="W12" s="107" t="n">
        <f aca="false">JUN!W49</f>
        <v>5061.9</v>
      </c>
      <c r="X12" s="107" t="n">
        <f aca="false">JUN!X49</f>
        <v>29657.4499461492</v>
      </c>
      <c r="Y12" s="107" t="n">
        <f aca="false">JUN!Y49</f>
        <v>28811.6199461492</v>
      </c>
      <c r="Z12" s="107" t="n">
        <f aca="false">JUN!Z44</f>
        <v>7572.11063090859</v>
      </c>
      <c r="AA12" s="107"/>
      <c r="AB12" s="107"/>
      <c r="AC12" s="107" t="n">
        <f aca="false">JUN!AC44</f>
        <v>1417.69345814817</v>
      </c>
      <c r="AD12" s="215" t="n">
        <f aca="false">AD11/1.9835</f>
        <v>13433.3249306781</v>
      </c>
      <c r="AE12" s="107" t="n">
        <f aca="false">JUN!AE49</f>
        <v>14535</v>
      </c>
      <c r="AF12" s="216" t="n">
        <f aca="false">JUN!AF49</f>
        <v>154.7</v>
      </c>
      <c r="AG12" s="218" t="n">
        <f aca="false">JUN!AG49</f>
        <v>118.3</v>
      </c>
      <c r="AH12" s="107"/>
      <c r="AI12" s="107"/>
      <c r="AJ12" s="107" t="n">
        <f aca="false">JUN!AJ49</f>
        <v>33</v>
      </c>
      <c r="AK12" s="107" t="n">
        <f aca="false">JUN!AK49</f>
        <v>55695.6576015</v>
      </c>
      <c r="AL12" s="107" t="n">
        <f aca="false">JUN!AL49</f>
        <v>1942.95833245513</v>
      </c>
      <c r="AM12" s="214" t="n">
        <f aca="false">JUN!AM49</f>
        <v>57638.6159339551</v>
      </c>
      <c r="AN12" s="215"/>
      <c r="AO12" s="215"/>
      <c r="AP12" s="136"/>
      <c r="AQ12" s="107" t="n">
        <f aca="false">JUN!AQ50</f>
        <v>833.667204659472</v>
      </c>
      <c r="AR12" s="107" t="n">
        <f aca="false">JUN!AR49</f>
        <v>2218.5955</v>
      </c>
      <c r="AS12" s="107" t="n">
        <f aca="false">JUN!AS49</f>
        <v>120</v>
      </c>
      <c r="AT12" s="107" t="n">
        <f aca="false">JUN!AT49</f>
        <v>0</v>
      </c>
      <c r="AU12" s="214" t="n">
        <f aca="false">JUN!AU49</f>
        <v>0</v>
      </c>
      <c r="AV12" s="158"/>
      <c r="AW12" s="215"/>
      <c r="AX12" s="215"/>
      <c r="AY12" s="299"/>
      <c r="AZ12" s="331"/>
    </row>
    <row r="13" customFormat="false" ht="12.95" hidden="false" customHeight="true" outlineLevel="0" collapsed="false">
      <c r="A13" s="482" t="s">
        <v>100</v>
      </c>
      <c r="B13" s="336" t="n">
        <f aca="false">JUN!B44</f>
        <v>6904.28</v>
      </c>
      <c r="C13" s="107" t="n">
        <f aca="false">JUN!C44</f>
        <v>299642</v>
      </c>
      <c r="D13" s="107" t="n">
        <f aca="false">JUN!D53</f>
        <v>5957</v>
      </c>
      <c r="E13" s="107" t="n">
        <f aca="false">JUN!E53</f>
        <v>147642</v>
      </c>
      <c r="F13" s="214" t="n">
        <f aca="false">JUN!F52</f>
        <v>3040.58482480464</v>
      </c>
      <c r="G13" s="107" t="n">
        <f aca="false">JUN!G52</f>
        <v>65476</v>
      </c>
      <c r="H13" s="107" t="n">
        <f aca="false">JUN!H52</f>
        <v>1210.39</v>
      </c>
      <c r="I13" s="107" t="n">
        <f aca="false">JUN!I52</f>
        <v>66685.77</v>
      </c>
      <c r="J13" s="107" t="n">
        <f aca="false">JUN!J52</f>
        <v>6615.34219309302</v>
      </c>
      <c r="K13" s="107" t="n">
        <f aca="false">JUN!K52</f>
        <v>73301.102193093</v>
      </c>
      <c r="L13" s="218" t="n">
        <f aca="false">JUN!L52</f>
        <v>4075.68242630464</v>
      </c>
      <c r="M13" s="107" t="n">
        <f aca="false">JUN!M52</f>
        <v>23572.4</v>
      </c>
      <c r="N13" s="107" t="n">
        <f aca="false">JUN!N52</f>
        <v>85.7582635</v>
      </c>
      <c r="O13" s="107" t="n">
        <f aca="false">JUN!O52</f>
        <v>7739.5405</v>
      </c>
      <c r="P13" s="107" t="n">
        <f aca="false">JUN!P52</f>
        <v>0</v>
      </c>
      <c r="Q13" s="107" t="n">
        <f aca="false">JUN!Q52</f>
        <v>476.745899372615</v>
      </c>
      <c r="R13" s="107" t="n">
        <f aca="false">JUN!R52</f>
        <v>575.20158352</v>
      </c>
      <c r="S13" s="107" t="n">
        <f aca="false">JUN!S52</f>
        <v>100.52029552</v>
      </c>
      <c r="T13" s="107" t="n">
        <f aca="false">JUN!T52</f>
        <v>177.43172096</v>
      </c>
      <c r="U13" s="316" t="n">
        <f aca="false">JUN!U52</f>
        <v>27.7983443318626</v>
      </c>
      <c r="V13" s="107" t="n">
        <f aca="false">JUN!V52</f>
        <v>14007</v>
      </c>
      <c r="W13" s="107" t="n">
        <f aca="false">JUN!W52</f>
        <v>5121.4</v>
      </c>
      <c r="X13" s="107" t="n">
        <f aca="false">JUN!X52</f>
        <v>35729.0788927955</v>
      </c>
      <c r="Y13" s="107" t="n">
        <f aca="false">JUN!Y52</f>
        <v>34680.451820677</v>
      </c>
      <c r="Z13" s="107"/>
      <c r="AA13" s="107"/>
      <c r="AB13" s="107"/>
      <c r="AC13" s="107"/>
      <c r="AD13" s="215"/>
      <c r="AE13" s="107" t="n">
        <f aca="false">JUN!AE50</f>
        <v>28830.1725</v>
      </c>
      <c r="AF13" s="266"/>
      <c r="AG13" s="267"/>
      <c r="AH13" s="107" t="n">
        <f aca="false">JUN!AH52</f>
        <v>10486</v>
      </c>
      <c r="AI13" s="107" t="n">
        <f aca="false">JUN!AI52</f>
        <v>10914.2578774893</v>
      </c>
      <c r="AJ13" s="107" t="n">
        <f aca="false">JUN!AJ52</f>
        <v>33</v>
      </c>
      <c r="AK13" s="107" t="n">
        <f aca="false">JUN!AK52</f>
        <v>67720.8576015</v>
      </c>
      <c r="AL13" s="107" t="n">
        <f aca="false">JUN!AL52</f>
        <v>2539.65976678838</v>
      </c>
      <c r="AM13" s="214" t="n">
        <f aca="false">JUN!AM52</f>
        <v>70260.5173682884</v>
      </c>
      <c r="AN13" s="107" t="n">
        <f aca="false">JUN!AN53</f>
        <v>11712.1708</v>
      </c>
      <c r="AO13" s="107" t="n">
        <f aca="false">JUN!AO52</f>
        <v>1048.62707211854</v>
      </c>
      <c r="AP13" s="136"/>
      <c r="AQ13" s="107" t="n">
        <f aca="false">JUN!AQ53</f>
        <v>833.667204659472</v>
      </c>
      <c r="AR13" s="107" t="n">
        <f aca="false">JUN!AR52</f>
        <v>2218.5955</v>
      </c>
      <c r="AS13" s="107" t="n">
        <f aca="false">JUN!AS52</f>
        <v>120</v>
      </c>
      <c r="AT13" s="158"/>
      <c r="AU13" s="483"/>
      <c r="AV13" s="336" t="n">
        <f aca="false">JUN!AV52</f>
        <v>2.86</v>
      </c>
      <c r="AW13" s="215"/>
      <c r="AX13" s="215"/>
      <c r="AY13" s="302"/>
      <c r="AZ13" s="107" t="n">
        <f aca="false">JUN!AZ52</f>
        <v>1450.77610720448</v>
      </c>
    </row>
    <row r="14" customFormat="false" ht="3" hidden="false" customHeight="true" outlineLevel="0" collapsed="false">
      <c r="A14" s="231"/>
      <c r="B14" s="232"/>
      <c r="C14" s="233"/>
      <c r="D14" s="234"/>
      <c r="E14" s="233"/>
      <c r="F14" s="235"/>
      <c r="G14" s="234"/>
      <c r="H14" s="240"/>
      <c r="I14" s="234"/>
      <c r="J14" s="234"/>
      <c r="K14" s="234"/>
      <c r="L14" s="241"/>
      <c r="M14" s="234"/>
      <c r="N14" s="234"/>
      <c r="O14" s="234"/>
      <c r="P14" s="238"/>
      <c r="Q14" s="234"/>
      <c r="R14" s="234"/>
      <c r="S14" s="234"/>
      <c r="T14" s="234"/>
      <c r="U14" s="239"/>
      <c r="V14" s="234"/>
      <c r="W14" s="234"/>
      <c r="X14" s="234"/>
      <c r="Y14" s="234"/>
      <c r="Z14" s="233"/>
      <c r="AA14" s="234"/>
      <c r="AB14" s="233"/>
      <c r="AC14" s="233"/>
      <c r="AD14" s="243"/>
      <c r="AE14" s="234"/>
      <c r="AF14" s="237"/>
      <c r="AG14" s="241"/>
      <c r="AH14" s="234"/>
      <c r="AI14" s="233"/>
      <c r="AJ14" s="233"/>
      <c r="AK14" s="234"/>
      <c r="AL14" s="234"/>
      <c r="AM14" s="235"/>
      <c r="AN14" s="243"/>
      <c r="AO14" s="243"/>
      <c r="AP14" s="240"/>
      <c r="AQ14" s="238"/>
      <c r="AR14" s="238"/>
      <c r="AS14" s="238"/>
      <c r="AT14" s="238"/>
      <c r="AU14" s="240"/>
      <c r="AV14" s="484"/>
      <c r="AW14" s="243"/>
      <c r="AX14" s="243"/>
      <c r="AY14" s="257"/>
      <c r="AZ14" s="317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</row>
    <row r="15" customFormat="false" ht="12.95" hidden="false" customHeight="true" outlineLevel="0" collapsed="false">
      <c r="A15" s="183" t="n">
        <v>1</v>
      </c>
      <c r="B15" s="106" t="n">
        <v>6903.82</v>
      </c>
      <c r="C15" s="107" t="n">
        <v>297888</v>
      </c>
      <c r="D15" s="215" t="n">
        <f aca="false">C15-C13</f>
        <v>-1754</v>
      </c>
      <c r="E15" s="107" t="n">
        <f aca="false">C15-152000</f>
        <v>145888</v>
      </c>
      <c r="F15" s="246" t="n">
        <f aca="false">D15/$D$2</f>
        <v>-884.295437358205</v>
      </c>
      <c r="G15" s="135" t="n">
        <v>66</v>
      </c>
      <c r="H15" s="136" t="n">
        <v>0</v>
      </c>
      <c r="I15" s="135" t="n">
        <f aca="false">G15+H15</f>
        <v>66</v>
      </c>
      <c r="J15" s="136" t="n">
        <f aca="false">IF(L15&gt;0,L15,0)</f>
        <v>0</v>
      </c>
      <c r="K15" s="135" t="n">
        <f aca="false">I15+J15</f>
        <v>66</v>
      </c>
      <c r="L15" s="249" t="n">
        <f aca="false">F15-(I15-AK15)</f>
        <v>-60.2954373582052</v>
      </c>
      <c r="M15" s="135" t="n">
        <v>319</v>
      </c>
      <c r="N15" s="158" t="n">
        <f aca="false">(1.8299*1.03)/2</f>
        <v>0.9423985</v>
      </c>
      <c r="O15" s="135" t="n">
        <f aca="false">82*1.05</f>
        <v>86.1</v>
      </c>
      <c r="P15" s="158" t="n">
        <v>0</v>
      </c>
      <c r="Q15" s="336" t="n">
        <f aca="false">2435400/325851/1.9835*1.02</f>
        <v>3.84343207795829</v>
      </c>
      <c r="R15" s="131" t="n">
        <v>4.2</v>
      </c>
      <c r="S15" s="131" t="n">
        <f aca="false">((8*1.04)-T15)-4.2</f>
        <v>2.63131904</v>
      </c>
      <c r="T15" s="131" t="n">
        <f aca="false">(1.3504*1.06)*1.04</f>
        <v>1.48868096</v>
      </c>
      <c r="U15" s="355" t="n">
        <v>0</v>
      </c>
      <c r="V15" s="135" t="n">
        <v>149</v>
      </c>
      <c r="W15" s="135" t="n">
        <v>79</v>
      </c>
      <c r="X15" s="135" t="n">
        <f aca="false">M15-N15-O15-P15-Q15-R15-S15-T15-U15+V15+W15-AT15+AR15</f>
        <v>476.304169422042</v>
      </c>
      <c r="Y15" s="135" t="n">
        <f aca="false">X15-AO15</f>
        <v>469.304169422042</v>
      </c>
      <c r="Z15" s="107" t="n">
        <f aca="false">Z12+AP15</f>
        <v>7152.06302940859</v>
      </c>
      <c r="AA15" s="135" t="n">
        <f aca="false">(-AP15)</f>
        <v>420.0476015</v>
      </c>
      <c r="AB15" s="107"/>
      <c r="AC15" s="107" t="n">
        <f aca="false">AC12-(JUN!AQ44/1.9835)+AS15</f>
        <v>1419.84891370836</v>
      </c>
      <c r="AD15" s="215" t="n">
        <f aca="false">AD12</f>
        <v>13433.3249306781</v>
      </c>
      <c r="AE15" s="135" t="n">
        <v>274</v>
      </c>
      <c r="AF15" s="248" t="n">
        <v>1.7</v>
      </c>
      <c r="AG15" s="249" t="n">
        <v>1.3</v>
      </c>
      <c r="AH15" s="135" t="n">
        <v>69</v>
      </c>
      <c r="AI15" s="107" t="n">
        <f aca="false">AI13-75</f>
        <v>10839.2578774893</v>
      </c>
      <c r="AJ15" s="107"/>
      <c r="AK15" s="134" t="n">
        <f aca="false">N15+O15+P15+Q15+R16+S15+T15+U15+X15+AE15+AH15-AR15</f>
        <v>890</v>
      </c>
      <c r="AL15" s="135" t="n">
        <f aca="false">IF(L15&lt;0,L15*-1,0)</f>
        <v>60.2954373582052</v>
      </c>
      <c r="AM15" s="246" t="n">
        <f aca="false">AK15+AL15</f>
        <v>950.295437358205</v>
      </c>
      <c r="AN15" s="215"/>
      <c r="AO15" s="215" t="n">
        <v>7</v>
      </c>
      <c r="AP15" s="97" t="n">
        <f aca="false">(I15-AO15)-Q15-R15-Y15-AF15</f>
        <v>-420.0476015</v>
      </c>
      <c r="AQ15" s="158" t="n">
        <f aca="false">58.03*(Z15*1.9835+AC15*1.9835)/E15</f>
        <v>6.76305479060771</v>
      </c>
      <c r="AR15" s="158" t="n">
        <v>28.51</v>
      </c>
      <c r="AS15" s="147" t="n">
        <v>6</v>
      </c>
      <c r="AT15" s="5" t="n">
        <v>0</v>
      </c>
      <c r="AU15" s="4"/>
      <c r="AV15" s="320" t="n">
        <v>0</v>
      </c>
      <c r="AW15" s="485" t="n">
        <v>97</v>
      </c>
      <c r="AX15" s="485" t="n">
        <v>58</v>
      </c>
      <c r="AY15" s="294"/>
      <c r="AZ15" s="250" t="n">
        <f aca="false">SUM(N15,P15:U15)</f>
        <v>13.1058305779583</v>
      </c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12.95" hidden="false" customHeight="true" outlineLevel="0" collapsed="false">
      <c r="A16" s="183" t="n">
        <f aca="false">A15+1</f>
        <v>2</v>
      </c>
      <c r="B16" s="106" t="n">
        <v>6903.34</v>
      </c>
      <c r="C16" s="107" t="n">
        <v>296067</v>
      </c>
      <c r="D16" s="215" t="n">
        <f aca="false">C16-C15</f>
        <v>-1821</v>
      </c>
      <c r="E16" s="107" t="n">
        <f aca="false">C16-152000</f>
        <v>144067</v>
      </c>
      <c r="F16" s="246" t="n">
        <f aca="false">D16/$D$2</f>
        <v>-918.074111419208</v>
      </c>
      <c r="G16" s="135" t="n">
        <v>62</v>
      </c>
      <c r="H16" s="136" t="n">
        <v>0</v>
      </c>
      <c r="I16" s="135" t="n">
        <f aca="false">G16+H16</f>
        <v>62</v>
      </c>
      <c r="J16" s="136" t="n">
        <f aca="false">IF(L16&gt;0,L16,0)</f>
        <v>0</v>
      </c>
      <c r="K16" s="135" t="n">
        <f aca="false">I16+J16</f>
        <v>62</v>
      </c>
      <c r="L16" s="135" t="n">
        <f aca="false">F16-(I16-AK16)</f>
        <v>-19.0741114192084</v>
      </c>
      <c r="M16" s="248" t="n">
        <v>338</v>
      </c>
      <c r="N16" s="158" t="n">
        <f aca="false">(1.8299*1.03)/2</f>
        <v>0.9423985</v>
      </c>
      <c r="O16" s="135" t="n">
        <f aca="false">98*1.05</f>
        <v>102.9</v>
      </c>
      <c r="P16" s="158" t="n">
        <v>0</v>
      </c>
      <c r="Q16" s="336" t="n">
        <f aca="false">2430900/325851/1.9835*1.02</f>
        <v>3.83633039267012</v>
      </c>
      <c r="R16" s="131" t="n">
        <v>4.2</v>
      </c>
      <c r="S16" s="131" t="n">
        <f aca="false">((8*1.04)-T16)-4.2</f>
        <v>2.63131904</v>
      </c>
      <c r="T16" s="131" t="n">
        <f aca="false">(1.3504*1.06)*1.04</f>
        <v>1.48868096</v>
      </c>
      <c r="U16" s="355" t="n">
        <v>0</v>
      </c>
      <c r="V16" s="135" t="n">
        <v>149</v>
      </c>
      <c r="W16" s="135" t="n">
        <v>79</v>
      </c>
      <c r="X16" s="135" t="n">
        <f aca="false">M16-N16-O16-P16-Q16-R16-S16-T16-U16+V16+W16-AT16+AR16</f>
        <v>478.51127110733</v>
      </c>
      <c r="Y16" s="135" t="n">
        <f aca="false">X16-AO16</f>
        <v>471.51127110733</v>
      </c>
      <c r="Z16" s="107" t="n">
        <f aca="false">Z15+AP16</f>
        <v>6725.81542790859</v>
      </c>
      <c r="AA16" s="135" t="n">
        <f aca="false">(-AP16)</f>
        <v>426.2476015</v>
      </c>
      <c r="AB16" s="107"/>
      <c r="AC16" s="107" t="n">
        <f aca="false">AC15-(AQ15/1.9835)+AS16</f>
        <v>1422.43925664226</v>
      </c>
      <c r="AD16" s="215" t="n">
        <f aca="false">AD15</f>
        <v>13433.3249306781</v>
      </c>
      <c r="AE16" s="135" t="n">
        <v>326</v>
      </c>
      <c r="AF16" s="248" t="n">
        <v>1.7</v>
      </c>
      <c r="AG16" s="249" t="n">
        <v>1.3</v>
      </c>
      <c r="AH16" s="135" t="n">
        <v>69</v>
      </c>
      <c r="AI16" s="107" t="n">
        <f aca="false">AI15-AH16</f>
        <v>10770.2578774893</v>
      </c>
      <c r="AJ16" s="107"/>
      <c r="AK16" s="134" t="n">
        <f aca="false">N16+O16+P16+Q16+R17+S16+T16+U16+X16+AE16+AH16-AR16</f>
        <v>961</v>
      </c>
      <c r="AL16" s="135" t="n">
        <f aca="false">IF(L16&lt;0,L16*-1,0)</f>
        <v>19.0741114192084</v>
      </c>
      <c r="AM16" s="135" t="n">
        <f aca="false">AK16+AL16</f>
        <v>980.074111419208</v>
      </c>
      <c r="AN16" s="220"/>
      <c r="AO16" s="215" t="n">
        <v>7</v>
      </c>
      <c r="AP16" s="97" t="n">
        <f aca="false">(I16-AO16)-Q16-R16-Y16-AF16</f>
        <v>-426.2476015</v>
      </c>
      <c r="AQ16" s="158" t="n">
        <f aca="false">58.03*(Z16*1.9835+AC16*1.9835)/E16</f>
        <v>6.5100579978051</v>
      </c>
      <c r="AR16" s="158" t="n">
        <v>28.51</v>
      </c>
      <c r="AS16" s="147" t="n">
        <v>6</v>
      </c>
      <c r="AT16" s="5" t="n">
        <v>0</v>
      </c>
      <c r="AU16" s="4"/>
      <c r="AV16" s="320" t="n">
        <v>0</v>
      </c>
      <c r="AW16" s="215" t="n">
        <v>97</v>
      </c>
      <c r="AX16" s="215" t="n">
        <v>59</v>
      </c>
      <c r="AY16" s="294"/>
      <c r="AZ16" s="250" t="n">
        <f aca="false">SUM(N16,P16:U16)</f>
        <v>13.0987288926701</v>
      </c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2.95" hidden="false" customHeight="true" outlineLevel="0" collapsed="false">
      <c r="A17" s="183" t="n">
        <f aca="false">A16+1</f>
        <v>3</v>
      </c>
      <c r="B17" s="106" t="n">
        <v>6902.88</v>
      </c>
      <c r="C17" s="107" t="n">
        <v>294326</v>
      </c>
      <c r="D17" s="215" t="n">
        <f aca="false">C17-C16</f>
        <v>-1741</v>
      </c>
      <c r="E17" s="107" t="n">
        <f aca="false">C17-152000</f>
        <v>142326</v>
      </c>
      <c r="F17" s="246" t="n">
        <f aca="false">D17/$D$2</f>
        <v>-877.741366271742</v>
      </c>
      <c r="G17" s="135" t="n">
        <v>60</v>
      </c>
      <c r="H17" s="136" t="n">
        <v>0</v>
      </c>
      <c r="I17" s="135" t="n">
        <f aca="false">G17+H17</f>
        <v>60</v>
      </c>
      <c r="J17" s="136" t="n">
        <f aca="false">IF(L17&gt;0,L17,0)</f>
        <v>10.2586337282581</v>
      </c>
      <c r="K17" s="135" t="n">
        <f aca="false">I17+J17</f>
        <v>70.2586337282581</v>
      </c>
      <c r="L17" s="135" t="n">
        <f aca="false">F17-(I17-AK17)</f>
        <v>10.2586337282581</v>
      </c>
      <c r="M17" s="248" t="n">
        <v>328</v>
      </c>
      <c r="N17" s="158" t="n">
        <f aca="false">(1.8299*1.03)/2</f>
        <v>0.9423985</v>
      </c>
      <c r="O17" s="135" t="n">
        <f aca="false">102*1.05</f>
        <v>107.1</v>
      </c>
      <c r="P17" s="158" t="n">
        <v>0</v>
      </c>
      <c r="Q17" s="336" t="n">
        <f aca="false">2028100/325851/1.9835*1.02</f>
        <v>3.20065065176448</v>
      </c>
      <c r="R17" s="131" t="n">
        <v>4.2</v>
      </c>
      <c r="S17" s="131" t="n">
        <f aca="false">((8*1.04)-T17)-4.2</f>
        <v>2.63131904</v>
      </c>
      <c r="T17" s="131" t="n">
        <f aca="false">(1.3504*1.06)*1.04</f>
        <v>1.48868096</v>
      </c>
      <c r="U17" s="355" t="n">
        <v>0</v>
      </c>
      <c r="V17" s="135" t="n">
        <v>149</v>
      </c>
      <c r="W17" s="135" t="n">
        <v>79</v>
      </c>
      <c r="X17" s="135" t="n">
        <f aca="false">M17-N17-O17-P17-Q17-R17-S17-T17-U17+V17+W17-AT17+AR17</f>
        <v>464.946950848236</v>
      </c>
      <c r="Y17" s="135" t="n">
        <f aca="false">X17-AO17</f>
        <v>457.946950848235</v>
      </c>
      <c r="Z17" s="107" t="n">
        <f aca="false">Z16+AP17</f>
        <v>6311.76782640859</v>
      </c>
      <c r="AA17" s="135" t="n">
        <f aca="false">(-AP17)</f>
        <v>414.0476015</v>
      </c>
      <c r="AB17" s="107"/>
      <c r="AC17" s="107" t="n">
        <f aca="false">AC16-(AQ16/1.9835)+AS17</f>
        <v>1425.15715026575</v>
      </c>
      <c r="AD17" s="215" t="n">
        <f aca="false">AD16</f>
        <v>13433.3249306781</v>
      </c>
      <c r="AE17" s="135" t="n">
        <v>322</v>
      </c>
      <c r="AF17" s="248" t="n">
        <v>1.7</v>
      </c>
      <c r="AG17" s="249" t="n">
        <v>1.3</v>
      </c>
      <c r="AH17" s="135" t="n">
        <v>70</v>
      </c>
      <c r="AI17" s="107" t="n">
        <f aca="false">AI16-AH17</f>
        <v>10700.2578774893</v>
      </c>
      <c r="AJ17" s="107"/>
      <c r="AK17" s="134" t="n">
        <f aca="false">N17+O17+P17+Q17+R18+S17+T17+U17+X17+AE17+AH17-AR17</f>
        <v>948</v>
      </c>
      <c r="AL17" s="135" t="n">
        <f aca="false">IF(L17&lt;0,L17*-1,0)</f>
        <v>0</v>
      </c>
      <c r="AM17" s="135" t="n">
        <f aca="false">AK17+AL17</f>
        <v>948</v>
      </c>
      <c r="AN17" s="220"/>
      <c r="AO17" s="215" t="n">
        <v>7</v>
      </c>
      <c r="AP17" s="97" t="n">
        <f aca="false">(I17-AO17)-Q17-R17-Y17-AF17</f>
        <v>-414.0476015</v>
      </c>
      <c r="AQ17" s="158" t="n">
        <f aca="false">58.03*(Z17*1.9835+AC17*1.9835)/E17</f>
        <v>6.25703979464246</v>
      </c>
      <c r="AR17" s="158" t="n">
        <v>28.51</v>
      </c>
      <c r="AS17" s="158" t="n">
        <v>6</v>
      </c>
      <c r="AT17" s="5" t="n">
        <v>0</v>
      </c>
      <c r="AU17" s="4"/>
      <c r="AV17" s="320" t="n">
        <v>0</v>
      </c>
      <c r="AW17" s="215" t="n">
        <v>93</v>
      </c>
      <c r="AX17" s="215" t="n">
        <v>60</v>
      </c>
      <c r="AY17" s="294"/>
      <c r="AZ17" s="250" t="n">
        <f aca="false">SUM(N17,P17:U17)</f>
        <v>12.4630491517645</v>
      </c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2.95" hidden="false" customHeight="true" outlineLevel="0" collapsed="false">
      <c r="A18" s="183" t="n">
        <f aca="false">A17+1</f>
        <v>4</v>
      </c>
      <c r="B18" s="106" t="n">
        <v>6902.43</v>
      </c>
      <c r="C18" s="107" t="n">
        <v>292632</v>
      </c>
      <c r="D18" s="215" t="n">
        <f aca="false">C18-C17</f>
        <v>-1694</v>
      </c>
      <c r="E18" s="107" t="n">
        <f aca="false">C18-152000</f>
        <v>140632</v>
      </c>
      <c r="F18" s="246" t="n">
        <f aca="false">D18/$D$2</f>
        <v>-854.045878497605</v>
      </c>
      <c r="G18" s="135" t="n">
        <v>65</v>
      </c>
      <c r="H18" s="136" t="n">
        <v>0</v>
      </c>
      <c r="I18" s="135" t="n">
        <f aca="false">G18+H18</f>
        <v>65</v>
      </c>
      <c r="J18" s="136" t="n">
        <f aca="false">IF(L18&gt;0,L18,0)</f>
        <v>6.95412150239474</v>
      </c>
      <c r="K18" s="135" t="n">
        <f aca="false">I18+J18</f>
        <v>71.9541215023947</v>
      </c>
      <c r="L18" s="135" t="n">
        <f aca="false">F18-(I18-AK18)</f>
        <v>6.95412150239474</v>
      </c>
      <c r="M18" s="248" t="n">
        <v>325</v>
      </c>
      <c r="N18" s="158" t="n">
        <f aca="false">(1.8299*1.03)/2</f>
        <v>0.9423985</v>
      </c>
      <c r="O18" s="135" t="n">
        <f aca="false">95*1.05</f>
        <v>99.75</v>
      </c>
      <c r="P18" s="158" t="n">
        <v>0</v>
      </c>
      <c r="Q18" s="336" t="n">
        <f aca="false">2159700/325851/1.9835*1.02</f>
        <v>3.40833549263633</v>
      </c>
      <c r="R18" s="131" t="n">
        <v>4.2</v>
      </c>
      <c r="S18" s="131" t="n">
        <f aca="false">((8*1.04)-T18)-4.2</f>
        <v>2.63131904</v>
      </c>
      <c r="T18" s="131" t="n">
        <f aca="false">(1.3504*1.06)*1.04</f>
        <v>1.48868096</v>
      </c>
      <c r="U18" s="355" t="n">
        <v>0</v>
      </c>
      <c r="V18" s="135" t="n">
        <v>150</v>
      </c>
      <c r="W18" s="135" t="n">
        <v>79</v>
      </c>
      <c r="X18" s="135" t="n">
        <f aca="false">M18-N18-O18-P18-Q18-R18-S18-T18-U18+V18+W18-AT18+AR18</f>
        <v>470.089266007364</v>
      </c>
      <c r="Y18" s="135" t="n">
        <f aca="false">X18-AO18</f>
        <v>463.089266007364</v>
      </c>
      <c r="Z18" s="107" t="n">
        <f aca="false">Z17+AP18</f>
        <v>5897.37022490859</v>
      </c>
      <c r="AA18" s="135" t="n">
        <f aca="false">(-AP18)</f>
        <v>414.3976015</v>
      </c>
      <c r="AB18" s="107"/>
      <c r="AC18" s="107" t="n">
        <f aca="false">AC17-(AQ17/1.9835)+AS18</f>
        <v>1428.00260537307</v>
      </c>
      <c r="AD18" s="215" t="n">
        <f aca="false">AD17</f>
        <v>13433.3249306781</v>
      </c>
      <c r="AE18" s="135" t="n">
        <v>302</v>
      </c>
      <c r="AF18" s="248" t="n">
        <v>1.7</v>
      </c>
      <c r="AG18" s="249" t="n">
        <v>1.3</v>
      </c>
      <c r="AH18" s="135" t="n">
        <v>70</v>
      </c>
      <c r="AI18" s="107" t="n">
        <f aca="false">AI17-AH18</f>
        <v>10630.2578774893</v>
      </c>
      <c r="AJ18" s="107"/>
      <c r="AK18" s="134" t="n">
        <f aca="false">N18+O18+P18+Q18+R19+S18+T18+U18+X18+AE18+AH18-AR18</f>
        <v>926</v>
      </c>
      <c r="AL18" s="135" t="n">
        <f aca="false">IF(L18&lt;0,L18*-1,0)</f>
        <v>0</v>
      </c>
      <c r="AM18" s="135" t="n">
        <f aca="false">AK18+AL18</f>
        <v>926</v>
      </c>
      <c r="AN18" s="220"/>
      <c r="AO18" s="215" t="n">
        <v>7</v>
      </c>
      <c r="AP18" s="97" t="n">
        <f aca="false">(I18-AO18)-Q18-R18-Y18-AF18</f>
        <v>-414.3976015</v>
      </c>
      <c r="AQ18" s="158" t="n">
        <f aca="false">58.03*(Z18*1.9835+AC18*1.9835)/E18</f>
        <v>5.99556831179503</v>
      </c>
      <c r="AR18" s="158" t="n">
        <v>28.51</v>
      </c>
      <c r="AS18" s="147" t="n">
        <v>6</v>
      </c>
      <c r="AT18" s="5" t="n">
        <v>0</v>
      </c>
      <c r="AU18" s="4"/>
      <c r="AV18" s="320" t="n">
        <v>0</v>
      </c>
      <c r="AW18" s="215" t="n">
        <v>90</v>
      </c>
      <c r="AX18" s="215" t="n">
        <v>60</v>
      </c>
      <c r="AY18" s="294"/>
      <c r="AZ18" s="250" t="n">
        <f aca="false">SUM(N18,P18:U18)</f>
        <v>12.6707339926363</v>
      </c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2.95" hidden="false" customHeight="true" outlineLevel="0" collapsed="false">
      <c r="A19" s="183" t="n">
        <f aca="false">A18+1</f>
        <v>5</v>
      </c>
      <c r="B19" s="106" t="n">
        <v>6902.02</v>
      </c>
      <c r="C19" s="107" t="n">
        <v>291014</v>
      </c>
      <c r="D19" s="215" t="n">
        <f aca="false">C19-C18</f>
        <v>-1618</v>
      </c>
      <c r="E19" s="107" t="n">
        <f aca="false">C19-152000</f>
        <v>139014</v>
      </c>
      <c r="F19" s="246" t="n">
        <f aca="false">D19/$D$2</f>
        <v>-815.729770607512</v>
      </c>
      <c r="G19" s="135" t="n">
        <v>73</v>
      </c>
      <c r="H19" s="136" t="n">
        <v>0</v>
      </c>
      <c r="I19" s="135" t="n">
        <f aca="false">G19+H19</f>
        <v>73</v>
      </c>
      <c r="J19" s="136" t="n">
        <f aca="false">IF(L19&gt;0,L19,0)</f>
        <v>22.2702293924881</v>
      </c>
      <c r="K19" s="135" t="n">
        <f aca="false">I19+J19</f>
        <v>95.2702293924881</v>
      </c>
      <c r="L19" s="135" t="n">
        <f aca="false">F19-(I19-AK19)</f>
        <v>22.2702293924881</v>
      </c>
      <c r="M19" s="248" t="n">
        <v>309</v>
      </c>
      <c r="N19" s="158" t="n">
        <f aca="false">(1.8299*1.03)/2</f>
        <v>0.9423985</v>
      </c>
      <c r="O19" s="135" t="n">
        <f aca="false">92*1.05</f>
        <v>96.6</v>
      </c>
      <c r="P19" s="158" t="n">
        <v>0</v>
      </c>
      <c r="Q19" s="336" t="n">
        <f aca="false">1567500/325851/1.9835*1.02</f>
        <v>2.47375370871299</v>
      </c>
      <c r="R19" s="131" t="n">
        <v>4.2</v>
      </c>
      <c r="S19" s="131" t="n">
        <f aca="false">((8*1.04)-T19)-4.2</f>
        <v>2.63131904</v>
      </c>
      <c r="T19" s="131" t="n">
        <f aca="false">(1.3504*1.06)*1.04</f>
        <v>1.48868096</v>
      </c>
      <c r="U19" s="355" t="n">
        <v>0</v>
      </c>
      <c r="V19" s="135" t="n">
        <v>152</v>
      </c>
      <c r="W19" s="135" t="n">
        <v>78</v>
      </c>
      <c r="X19" s="135" t="n">
        <f aca="false">M19-N19-O19-P19-Q19-R19-S19-T19-U19+V19+W19-AT19+AR19</f>
        <v>459.173847791287</v>
      </c>
      <c r="Y19" s="135" t="n">
        <f aca="false">X19-AO19</f>
        <v>452.173847791287</v>
      </c>
      <c r="Z19" s="107" t="n">
        <f aca="false">Z18+AP19</f>
        <v>5502.82262340859</v>
      </c>
      <c r="AA19" s="135" t="n">
        <f aca="false">(-AP19)</f>
        <v>394.5476015</v>
      </c>
      <c r="AB19" s="107"/>
      <c r="AC19" s="107" t="n">
        <f aca="false">AC18-(AQ18/1.9835)+AS19</f>
        <v>1430.97988376389</v>
      </c>
      <c r="AD19" s="215" t="n">
        <f aca="false">AD18</f>
        <v>13433.3249306781</v>
      </c>
      <c r="AE19" s="135" t="n">
        <v>302</v>
      </c>
      <c r="AF19" s="248" t="n">
        <v>1.7</v>
      </c>
      <c r="AG19" s="249" t="n">
        <v>1.3</v>
      </c>
      <c r="AH19" s="135" t="n">
        <v>70</v>
      </c>
      <c r="AI19" s="107" t="n">
        <f aca="false">AI18-AH19</f>
        <v>10560.2578774893</v>
      </c>
      <c r="AJ19" s="107"/>
      <c r="AK19" s="134" t="n">
        <f aca="false">N19+O19+P19+Q19+R20+S19+T19+U19+X19+AE19+AH19-AR19</f>
        <v>911</v>
      </c>
      <c r="AL19" s="135" t="n">
        <f aca="false">IF(L19&lt;0,L19*-1,0)</f>
        <v>0</v>
      </c>
      <c r="AM19" s="135" t="n">
        <f aca="false">AK19+AL19</f>
        <v>911</v>
      </c>
      <c r="AN19" s="220"/>
      <c r="AO19" s="215" t="n">
        <v>7</v>
      </c>
      <c r="AP19" s="97" t="n">
        <f aca="false">(I19-AO19)-Q19-R19-Y19-AF19</f>
        <v>-394.5476015</v>
      </c>
      <c r="AQ19" s="158" t="n">
        <f aca="false">58.03*(Z19*1.9835+AC19*1.9835)/E19</f>
        <v>5.74113425806633</v>
      </c>
      <c r="AR19" s="158" t="n">
        <v>28.51</v>
      </c>
      <c r="AS19" s="147" t="n">
        <v>6</v>
      </c>
      <c r="AT19" s="5" t="n">
        <v>0</v>
      </c>
      <c r="AU19" s="4"/>
      <c r="AV19" s="320" t="n">
        <v>0</v>
      </c>
      <c r="AW19" s="215" t="n">
        <v>83</v>
      </c>
      <c r="AX19" s="215" t="n">
        <v>56</v>
      </c>
      <c r="AY19" s="294"/>
      <c r="AZ19" s="250" t="n">
        <f aca="false">SUM(N19,P19:U19)</f>
        <v>11.736152208713</v>
      </c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2.95" hidden="false" customHeight="true" outlineLevel="0" collapsed="false">
      <c r="A20" s="183" t="n">
        <f aca="false">A19+1</f>
        <v>6</v>
      </c>
      <c r="B20" s="106" t="n">
        <v>6901.58</v>
      </c>
      <c r="C20" s="107" t="n">
        <v>289447</v>
      </c>
      <c r="D20" s="215" t="n">
        <f aca="false">C20-C19</f>
        <v>-1567</v>
      </c>
      <c r="E20" s="107" t="n">
        <f aca="false">C20-152000</f>
        <v>137447</v>
      </c>
      <c r="F20" s="246" t="n">
        <f aca="false">D20/$D$2</f>
        <v>-790.017645576002</v>
      </c>
      <c r="G20" s="135" t="n">
        <v>110</v>
      </c>
      <c r="H20" s="136" t="n">
        <v>0</v>
      </c>
      <c r="I20" s="135" t="n">
        <f aca="false">G20+H20</f>
        <v>110</v>
      </c>
      <c r="J20" s="136" t="n">
        <f aca="false">IF(L20&gt;0,L20,0)</f>
        <v>28.982354423998</v>
      </c>
      <c r="K20" s="135" t="n">
        <f aca="false">I20+J20</f>
        <v>138.982354423998</v>
      </c>
      <c r="L20" s="135" t="n">
        <f aca="false">F20-(I20-AK20)</f>
        <v>28.982354423998</v>
      </c>
      <c r="M20" s="248" t="n">
        <v>304</v>
      </c>
      <c r="N20" s="158" t="n">
        <f aca="false">(1.8299*1.03)/2</f>
        <v>0.9423985</v>
      </c>
      <c r="O20" s="135" t="n">
        <f aca="false">110*1.05</f>
        <v>115.5</v>
      </c>
      <c r="P20" s="158" t="n">
        <v>0</v>
      </c>
      <c r="Q20" s="336" t="n">
        <f aca="false">1842000/325851/1.9835*1.02</f>
        <v>2.90695651129144</v>
      </c>
      <c r="R20" s="131" t="n">
        <v>4.2</v>
      </c>
      <c r="S20" s="131" t="n">
        <f aca="false">((6.5*1.04)-T20)-4.2</f>
        <v>0.95303152</v>
      </c>
      <c r="T20" s="131" t="n">
        <f aca="false">(1.4577*1.06)*1.04</f>
        <v>1.60696848</v>
      </c>
      <c r="U20" s="355" t="n">
        <v>0</v>
      </c>
      <c r="V20" s="135" t="n">
        <v>150</v>
      </c>
      <c r="W20" s="135" t="n">
        <v>78</v>
      </c>
      <c r="X20" s="135" t="n">
        <f aca="false">M20-N20-O20-P20-Q20-R20-S20-T20-U20+V20+W20-AT20+AR20</f>
        <v>434.400644988709</v>
      </c>
      <c r="Y20" s="135" t="n">
        <f aca="false">X20-AO20</f>
        <v>427.400644988709</v>
      </c>
      <c r="Z20" s="107" t="n">
        <f aca="false">Z19+AP20</f>
        <v>5169.61502190859</v>
      </c>
      <c r="AA20" s="135" t="n">
        <f aca="false">(-AP20)</f>
        <v>333.2076015</v>
      </c>
      <c r="AB20" s="107"/>
      <c r="AC20" s="107" t="n">
        <f aca="false">AC19-(AQ19/1.9835)+AS20</f>
        <v>1434.08543745279</v>
      </c>
      <c r="AD20" s="215" t="n">
        <f aca="false">AD19</f>
        <v>13433.3249306781</v>
      </c>
      <c r="AE20" s="135" t="n">
        <v>328</v>
      </c>
      <c r="AF20" s="248" t="n">
        <v>1.7</v>
      </c>
      <c r="AG20" s="249" t="n">
        <v>1.3</v>
      </c>
      <c r="AH20" s="135" t="n">
        <v>69</v>
      </c>
      <c r="AI20" s="107" t="n">
        <f aca="false">AI19-AH20</f>
        <v>10491.2578774893</v>
      </c>
      <c r="AJ20" s="107"/>
      <c r="AK20" s="134" t="n">
        <f aca="false">N20+O20+P20+Q20+R21+S20+T20+U20+X20+AE20+AH20-AR20</f>
        <v>929</v>
      </c>
      <c r="AL20" s="135" t="n">
        <f aca="false">IF(L20&lt;0,L20*-1,0)</f>
        <v>0</v>
      </c>
      <c r="AM20" s="135" t="n">
        <f aca="false">AK20+AL20</f>
        <v>929</v>
      </c>
      <c r="AN20" s="220"/>
      <c r="AO20" s="215" t="n">
        <v>7</v>
      </c>
      <c r="AP20" s="97" t="n">
        <f aca="false">(I20-AO20)-Q20-R20-Y20-AF20</f>
        <v>-333.2076015</v>
      </c>
      <c r="AQ20" s="158" t="n">
        <f aca="false">58.03*(Z20*1.9835+AC20*1.9835)/E20</f>
        <v>5.53014954958744</v>
      </c>
      <c r="AR20" s="158" t="n">
        <v>28.51</v>
      </c>
      <c r="AS20" s="147" t="n">
        <v>6</v>
      </c>
      <c r="AT20" s="5" t="n">
        <v>0</v>
      </c>
      <c r="AU20" s="4"/>
      <c r="AV20" s="320" t="n">
        <v>0</v>
      </c>
      <c r="AW20" s="215" t="n">
        <v>87</v>
      </c>
      <c r="AX20" s="215" t="n">
        <v>53</v>
      </c>
      <c r="AY20" s="294"/>
      <c r="AZ20" s="250" t="n">
        <f aca="false">SUM(N20,P20:U20)</f>
        <v>10.6093550112914</v>
      </c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2.95" hidden="false" customHeight="true" outlineLevel="0" collapsed="false">
      <c r="A21" s="183" t="n">
        <f aca="false">A20+1</f>
        <v>7</v>
      </c>
      <c r="B21" s="106" t="n">
        <v>6901.18</v>
      </c>
      <c r="C21" s="107" t="n">
        <v>287954</v>
      </c>
      <c r="D21" s="215" t="n">
        <f aca="false">C21-C20</f>
        <v>-1493</v>
      </c>
      <c r="E21" s="107" t="n">
        <f aca="false">C21-152000</f>
        <v>135954</v>
      </c>
      <c r="F21" s="246" t="n">
        <f aca="false">D21/$D$2</f>
        <v>-752.709856314595</v>
      </c>
      <c r="G21" s="135" t="n">
        <v>111</v>
      </c>
      <c r="H21" s="136" t="n">
        <v>0</v>
      </c>
      <c r="I21" s="135" t="n">
        <f aca="false">G21+H21</f>
        <v>111</v>
      </c>
      <c r="J21" s="136" t="n">
        <f aca="false">IF(L21&gt;0,L21,0)</f>
        <v>40.2901436854046</v>
      </c>
      <c r="K21" s="135" t="n">
        <f aca="false">I21+J21</f>
        <v>151.290143685405</v>
      </c>
      <c r="L21" s="135" t="n">
        <f aca="false">F21-(I21-AK21)</f>
        <v>40.2901436854046</v>
      </c>
      <c r="M21" s="248" t="n">
        <v>313</v>
      </c>
      <c r="N21" s="158" t="n">
        <f aca="false">(1.8299*1.03)/2</f>
        <v>0.9423985</v>
      </c>
      <c r="O21" s="135" t="n">
        <f aca="false">110*1.05</f>
        <v>115.5</v>
      </c>
      <c r="P21" s="158" t="n">
        <v>0</v>
      </c>
      <c r="Q21" s="336" t="n">
        <f aca="false">1429600/325851/1.9835*1.02</f>
        <v>2.2561265084377</v>
      </c>
      <c r="R21" s="131" t="n">
        <v>4.2</v>
      </c>
      <c r="S21" s="131" t="n">
        <f aca="false">((6.5*1.04)-T21)-4.2</f>
        <v>0.95303152</v>
      </c>
      <c r="T21" s="131" t="n">
        <f aca="false">(1.4577*1.06)*1.04</f>
        <v>1.60696848</v>
      </c>
      <c r="U21" s="355" t="n">
        <v>0</v>
      </c>
      <c r="V21" s="135" t="n">
        <v>149</v>
      </c>
      <c r="W21" s="135" t="n">
        <v>81</v>
      </c>
      <c r="X21" s="135" t="n">
        <f aca="false">M21-N21-O21-P21-Q21-R21-S21-T21-U21+V21+W21-AT21+AR21</f>
        <v>446.051474991562</v>
      </c>
      <c r="Y21" s="135" t="n">
        <f aca="false">X21-AO21</f>
        <v>439.051474991562</v>
      </c>
      <c r="Z21" s="107" t="n">
        <f aca="false">Z20+AP21</f>
        <v>4826.40742040859</v>
      </c>
      <c r="AA21" s="135" t="n">
        <f aca="false">(-AP21)</f>
        <v>343.2076015</v>
      </c>
      <c r="AB21" s="107"/>
      <c r="AC21" s="107" t="n">
        <f aca="false">AC20-(AQ20/1.9835)+AS21</f>
        <v>1437.29736104766</v>
      </c>
      <c r="AD21" s="215" t="n">
        <f aca="false">AD20</f>
        <v>13433.3249306781</v>
      </c>
      <c r="AE21" s="135" t="n">
        <v>292</v>
      </c>
      <c r="AF21" s="248" t="n">
        <v>1.7</v>
      </c>
      <c r="AG21" s="249" t="n">
        <v>1.3</v>
      </c>
      <c r="AH21" s="135" t="n">
        <v>69</v>
      </c>
      <c r="AI21" s="107" t="n">
        <f aca="false">AI20-AH21</f>
        <v>10422.2578774893</v>
      </c>
      <c r="AJ21" s="107"/>
      <c r="AK21" s="134" t="n">
        <f aca="false">N21+O21+P21+Q21+R22+S21+T21+U21+X21+AE21+AH21-AR21</f>
        <v>904</v>
      </c>
      <c r="AL21" s="135" t="n">
        <f aca="false">IF(L21&lt;0,L21*-1,0)</f>
        <v>0</v>
      </c>
      <c r="AM21" s="135" t="n">
        <f aca="false">AK21+AL21</f>
        <v>904</v>
      </c>
      <c r="AN21" s="220"/>
      <c r="AO21" s="215" t="n">
        <v>7</v>
      </c>
      <c r="AP21" s="97" t="n">
        <f aca="false">(I21-AO21)-Q21-R21-Y21-AF21</f>
        <v>-343.2076015</v>
      </c>
      <c r="AQ21" s="158" t="n">
        <f aca="false">58.03*(Z21*1.9835+AC21*1.9835)/E21</f>
        <v>5.30302978158856</v>
      </c>
      <c r="AR21" s="158" t="n">
        <v>28.51</v>
      </c>
      <c r="AS21" s="147" t="n">
        <v>6</v>
      </c>
      <c r="AT21" s="5" t="n">
        <v>0</v>
      </c>
      <c r="AU21" s="4"/>
      <c r="AV21" s="320" t="n">
        <v>0.17</v>
      </c>
      <c r="AW21" s="485" t="n">
        <v>85</v>
      </c>
      <c r="AX21" s="485" t="n">
        <v>57</v>
      </c>
      <c r="AY21" s="294"/>
      <c r="AZ21" s="250" t="n">
        <f aca="false">SUM(N21,P21:U21)</f>
        <v>9.9585250084377</v>
      </c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2.95" hidden="false" customHeight="true" outlineLevel="0" collapsed="false">
      <c r="A22" s="183" t="n">
        <f aca="false">A21+1</f>
        <v>8</v>
      </c>
      <c r="B22" s="106" t="n">
        <v>6900.9</v>
      </c>
      <c r="C22" s="107" t="n">
        <v>286912</v>
      </c>
      <c r="D22" s="215" t="n">
        <f aca="false">C22-C21</f>
        <v>-1042</v>
      </c>
      <c r="E22" s="107" t="n">
        <f aca="false">C22-152000</f>
        <v>134912</v>
      </c>
      <c r="F22" s="246" t="n">
        <f aca="false">D22/$D$2</f>
        <v>-525.334005545752</v>
      </c>
      <c r="G22" s="135" t="n">
        <v>173</v>
      </c>
      <c r="H22" s="136" t="n">
        <v>0</v>
      </c>
      <c r="I22" s="135" t="n">
        <f aca="false">G22+H22</f>
        <v>173</v>
      </c>
      <c r="J22" s="136" t="n">
        <f aca="false">IF(L22&gt;0,L22,0)</f>
        <v>37.6659944542475</v>
      </c>
      <c r="K22" s="135" t="n">
        <f aca="false">I22+J22</f>
        <v>210.665994454248</v>
      </c>
      <c r="L22" s="135" t="n">
        <f aca="false">F22-(I22-AK22)</f>
        <v>37.6659944542475</v>
      </c>
      <c r="M22" s="248" t="n">
        <v>265</v>
      </c>
      <c r="N22" s="158" t="n">
        <f aca="false">(1.8299*1.03)/2</f>
        <v>0.9423985</v>
      </c>
      <c r="O22" s="135" t="n">
        <f aca="false">87*1.05</f>
        <v>91.35</v>
      </c>
      <c r="P22" s="158" t="n">
        <v>0</v>
      </c>
      <c r="Q22" s="336" t="n">
        <f aca="false">1479800/325851/1.9835*1.02</f>
        <v>2.33534975320797</v>
      </c>
      <c r="R22" s="131" t="n">
        <v>4.2</v>
      </c>
      <c r="S22" s="131" t="n">
        <f aca="false">((6.9*1.04)-T22)-4.2</f>
        <v>1.36903152</v>
      </c>
      <c r="T22" s="131" t="n">
        <f aca="false">(1.4577*1.06)*1.04</f>
        <v>1.60696848</v>
      </c>
      <c r="U22" s="355" t="n">
        <v>0</v>
      </c>
      <c r="V22" s="135" t="n">
        <v>146</v>
      </c>
      <c r="W22" s="135" t="n">
        <v>81</v>
      </c>
      <c r="X22" s="135" t="n">
        <f aca="false">M22-N22-O22-P22-Q22-R22-S22-T22-U22+V22+W22-AT22+AR22</f>
        <v>418.706251746792</v>
      </c>
      <c r="Y22" s="135" t="n">
        <f aca="false">X22-AO22</f>
        <v>411.706251746792</v>
      </c>
      <c r="Z22" s="107" t="n">
        <f aca="false">Z21+AP22</f>
        <v>4572.46581890859</v>
      </c>
      <c r="AA22" s="135" t="n">
        <f aca="false">(-AP22)</f>
        <v>253.9416015</v>
      </c>
      <c r="AB22" s="107"/>
      <c r="AC22" s="107" t="n">
        <f aca="false">AC21-(AQ21/1.9835)+AS22</f>
        <v>1440.62378918903</v>
      </c>
      <c r="AD22" s="215" t="n">
        <f aca="false">AD21</f>
        <v>13433.3249306781</v>
      </c>
      <c r="AE22" s="135" t="n">
        <v>176</v>
      </c>
      <c r="AF22" s="248" t="n">
        <v>1.7</v>
      </c>
      <c r="AG22" s="249" t="n">
        <v>1.3</v>
      </c>
      <c r="AH22" s="135" t="n">
        <v>68</v>
      </c>
      <c r="AI22" s="107" t="n">
        <f aca="false">AI21-AH22</f>
        <v>10354.2578774893</v>
      </c>
      <c r="AJ22" s="107"/>
      <c r="AK22" s="134" t="n">
        <f aca="false">N22+O22+P22+Q22+R23+S22+T22+U22+X22+AE22+AH22-AR22</f>
        <v>736</v>
      </c>
      <c r="AL22" s="135" t="n">
        <f aca="false">IF(L22&lt;0,L22*-1,0)</f>
        <v>0</v>
      </c>
      <c r="AM22" s="135" t="n">
        <f aca="false">AK22+AL22</f>
        <v>736</v>
      </c>
      <c r="AN22" s="220"/>
      <c r="AO22" s="215" t="n">
        <v>7</v>
      </c>
      <c r="AP22" s="97" t="n">
        <f aca="false">(I22-AO22)-Q22-R22-Y22-AF22</f>
        <v>-253.9416015</v>
      </c>
      <c r="AQ22" s="158" t="n">
        <f aca="false">58.03*(Z22*1.9835+AC22*1.9835)/E22</f>
        <v>5.13017134637025</v>
      </c>
      <c r="AR22" s="158" t="n">
        <v>28.51</v>
      </c>
      <c r="AS22" s="147" t="n">
        <v>6</v>
      </c>
      <c r="AT22" s="5" t="n">
        <v>0</v>
      </c>
      <c r="AU22" s="4"/>
      <c r="AV22" s="320" t="n">
        <v>0</v>
      </c>
      <c r="AW22" s="215" t="n">
        <v>86</v>
      </c>
      <c r="AX22" s="215" t="n">
        <v>58</v>
      </c>
      <c r="AY22" s="294"/>
      <c r="AZ22" s="250" t="n">
        <f aca="false">SUM(N22,P22:U22)</f>
        <v>10.453748253208</v>
      </c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2.95" hidden="false" customHeight="true" outlineLevel="0" collapsed="false">
      <c r="A23" s="183" t="n">
        <f aca="false">A22+1</f>
        <v>9</v>
      </c>
      <c r="B23" s="106" t="n">
        <v>6900.53</v>
      </c>
      <c r="C23" s="107" t="n">
        <v>285542</v>
      </c>
      <c r="D23" s="215" t="n">
        <f aca="false">C23-C22</f>
        <v>-1370</v>
      </c>
      <c r="E23" s="107" t="n">
        <f aca="false">C23-152000</f>
        <v>133542</v>
      </c>
      <c r="F23" s="246" t="n">
        <f aca="false">D23/$D$2</f>
        <v>-690.698260650365</v>
      </c>
      <c r="G23" s="135" t="n">
        <v>185</v>
      </c>
      <c r="H23" s="136" t="n">
        <v>0</v>
      </c>
      <c r="I23" s="135" t="n">
        <f aca="false">G23+H23</f>
        <v>185</v>
      </c>
      <c r="J23" s="136" t="n">
        <f aca="false">IF(L23&gt;0,L23,0)</f>
        <v>0</v>
      </c>
      <c r="K23" s="135" t="n">
        <f aca="false">I23+J23</f>
        <v>185</v>
      </c>
      <c r="L23" s="135" t="n">
        <f aca="false">F23-(I23-AK23)</f>
        <v>-26.6982606503655</v>
      </c>
      <c r="M23" s="248" t="n">
        <v>292</v>
      </c>
      <c r="N23" s="158" t="n">
        <f aca="false">(1.8299*1.03)/2</f>
        <v>0.9423985</v>
      </c>
      <c r="O23" s="135" t="n">
        <f aca="false">100*1.05</f>
        <v>105</v>
      </c>
      <c r="P23" s="158" t="n">
        <v>0</v>
      </c>
      <c r="Q23" s="336" t="n">
        <f aca="false">1950000/325851/1.9835*1.02</f>
        <v>3.07739695820755</v>
      </c>
      <c r="R23" s="131" t="n">
        <v>4.2</v>
      </c>
      <c r="S23" s="131" t="n">
        <f aca="false">((6.9*1.04)-T23)-4.2</f>
        <v>1.36903152</v>
      </c>
      <c r="T23" s="131" t="n">
        <f aca="false">(1.4577*1.06)*1.04</f>
        <v>1.60696848</v>
      </c>
      <c r="U23" s="355" t="n">
        <v>0</v>
      </c>
      <c r="V23" s="135" t="n">
        <v>150</v>
      </c>
      <c r="W23" s="135" t="n">
        <v>81</v>
      </c>
      <c r="X23" s="135" t="n">
        <f aca="false">M23-N23-O23-P23-Q23-R23-S23-T23-U23+V23+W23-AT23+AR23</f>
        <v>435.314204541792</v>
      </c>
      <c r="Y23" s="135" t="n">
        <f aca="false">X23-AO23</f>
        <v>428.314204541792</v>
      </c>
      <c r="Z23" s="107" t="n">
        <f aca="false">Z22+AP23</f>
        <v>4313.17421740859</v>
      </c>
      <c r="AA23" s="135" t="n">
        <f aca="false">(-AP23)</f>
        <v>259.2916015</v>
      </c>
      <c r="AB23" s="107"/>
      <c r="AC23" s="107" t="n">
        <f aca="false">AC22-(AQ22/1.9835)+AS23</f>
        <v>1444.03736552058</v>
      </c>
      <c r="AD23" s="215" t="n">
        <f aca="false">AD22</f>
        <v>13433.3249306781</v>
      </c>
      <c r="AE23" s="135" t="n">
        <v>259</v>
      </c>
      <c r="AF23" s="248" t="n">
        <v>1.7</v>
      </c>
      <c r="AG23" s="249" t="n">
        <v>1.3</v>
      </c>
      <c r="AH23" s="135" t="n">
        <v>67</v>
      </c>
      <c r="AI23" s="107" t="n">
        <f aca="false">AI22-AH23</f>
        <v>10287.2578774893</v>
      </c>
      <c r="AJ23" s="107"/>
      <c r="AK23" s="134" t="n">
        <f aca="false">N23+O23+P23+Q23+R24+S23+T23+U23+X23+AE23+AH23-AR23</f>
        <v>849</v>
      </c>
      <c r="AL23" s="135" t="n">
        <f aca="false">IF(L23&lt;0,L23*-1,0)</f>
        <v>26.6982606503655</v>
      </c>
      <c r="AM23" s="135" t="n">
        <f aca="false">AK23+AL23</f>
        <v>875.698260650366</v>
      </c>
      <c r="AN23" s="220"/>
      <c r="AO23" s="215" t="n">
        <v>7</v>
      </c>
      <c r="AP23" s="97" t="n">
        <f aca="false">(I23-AO23)-Q23-R23-Y23-AF23</f>
        <v>-259.2916015</v>
      </c>
      <c r="AQ23" s="158" t="n">
        <f aca="false">58.03*(Z23*1.9835+AC23*1.9835)/E23</f>
        <v>4.96225513329261</v>
      </c>
      <c r="AR23" s="158" t="n">
        <v>28.51</v>
      </c>
      <c r="AS23" s="147" t="n">
        <v>6</v>
      </c>
      <c r="AT23" s="5" t="n">
        <v>0</v>
      </c>
      <c r="AU23" s="4"/>
      <c r="AV23" s="320" t="n">
        <v>0</v>
      </c>
      <c r="AW23" s="221" t="n">
        <v>92</v>
      </c>
      <c r="AX23" s="215" t="n">
        <v>54</v>
      </c>
      <c r="AY23" s="294"/>
      <c r="AZ23" s="250" t="n">
        <f aca="false">SUM(N23,P23:U23)</f>
        <v>11.1957954582076</v>
      </c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12.95" hidden="false" customHeight="true" outlineLevel="0" collapsed="false">
      <c r="A24" s="183" t="n">
        <f aca="false">A23+1</f>
        <v>10</v>
      </c>
      <c r="B24" s="106" t="n">
        <v>6900.11</v>
      </c>
      <c r="C24" s="107" t="n">
        <v>283987</v>
      </c>
      <c r="D24" s="215" t="n">
        <f aca="false">C24-C23</f>
        <v>-1555</v>
      </c>
      <c r="E24" s="107" t="n">
        <f aca="false">C24-152000</f>
        <v>131987</v>
      </c>
      <c r="F24" s="246" t="n">
        <f aca="false">D24/$D$2</f>
        <v>-783.967733803882</v>
      </c>
      <c r="G24" s="135" t="n">
        <v>129</v>
      </c>
      <c r="H24" s="136" t="n">
        <v>0</v>
      </c>
      <c r="I24" s="135" t="n">
        <f aca="false">G24+H24</f>
        <v>129</v>
      </c>
      <c r="J24" s="136" t="n">
        <f aca="false">IF(L24&gt;0,L24,0)</f>
        <v>0</v>
      </c>
      <c r="K24" s="135" t="n">
        <f aca="false">I24+J24</f>
        <v>129</v>
      </c>
      <c r="L24" s="135" t="n">
        <f aca="false">F24-(I24-AK24)</f>
        <v>-54.967733803882</v>
      </c>
      <c r="M24" s="248" t="n">
        <v>272</v>
      </c>
      <c r="N24" s="158" t="n">
        <f aca="false">(1.8299*1.03)/2</f>
        <v>0.9423985</v>
      </c>
      <c r="O24" s="135" t="n">
        <f aca="false">81*1.05</f>
        <v>85.05</v>
      </c>
      <c r="P24" s="158" t="n">
        <v>0</v>
      </c>
      <c r="Q24" s="336" t="n">
        <f aca="false">1639700/325851/1.9835*1.02</f>
        <v>2.58769630378098</v>
      </c>
      <c r="R24" s="131" t="n">
        <v>4.2</v>
      </c>
      <c r="S24" s="131" t="n">
        <f aca="false">((7*1.04)-T24)-4.2</f>
        <v>1.47303152</v>
      </c>
      <c r="T24" s="131" t="n">
        <f aca="false">(1.4577*1.06)*1.04</f>
        <v>1.60696848</v>
      </c>
      <c r="U24" s="355" t="n">
        <v>0</v>
      </c>
      <c r="V24" s="135" t="n">
        <v>150</v>
      </c>
      <c r="W24" s="135" t="n">
        <v>81</v>
      </c>
      <c r="X24" s="135" t="n">
        <f aca="false">M24-N24-O24-P24-Q24-R24-S24-T24-U24+V24+W24-AT24+AR24</f>
        <v>435.649905196219</v>
      </c>
      <c r="Y24" s="135" t="n">
        <f aca="false">X24-AO24</f>
        <v>428.649905196219</v>
      </c>
      <c r="Z24" s="107" t="n">
        <f aca="false">Z23+AP24</f>
        <v>3998.03661590859</v>
      </c>
      <c r="AA24" s="135" t="n">
        <f aca="false">(-AP24)</f>
        <v>315.1376015</v>
      </c>
      <c r="AB24" s="107"/>
      <c r="AC24" s="107" t="n">
        <f aca="false">AC23-(AQ23/1.9835)+AS24</f>
        <v>1447.53559837498</v>
      </c>
      <c r="AD24" s="215" t="n">
        <f aca="false">AD23</f>
        <v>13433.3249306781</v>
      </c>
      <c r="AE24" s="135" t="n">
        <v>288</v>
      </c>
      <c r="AF24" s="248" t="n">
        <v>1.7</v>
      </c>
      <c r="AG24" s="249" t="n">
        <v>1.3</v>
      </c>
      <c r="AH24" s="135" t="n">
        <v>67</v>
      </c>
      <c r="AI24" s="107" t="n">
        <f aca="false">AI23-AH24</f>
        <v>10220.2578774893</v>
      </c>
      <c r="AJ24" s="107"/>
      <c r="AK24" s="134" t="n">
        <f aca="false">N24+O24+P24+Q24+R25+S24+T24+U24+X24+AE24+AH24-AR24</f>
        <v>858</v>
      </c>
      <c r="AL24" s="135" t="n">
        <f aca="false">IF(L24&lt;0,L24*-1,0)</f>
        <v>54.967733803882</v>
      </c>
      <c r="AM24" s="135" t="n">
        <f aca="false">AK24+AL24</f>
        <v>912.967733803882</v>
      </c>
      <c r="AN24" s="220"/>
      <c r="AO24" s="215" t="n">
        <v>7</v>
      </c>
      <c r="AP24" s="97" t="n">
        <f aca="false">(I24-AO24)-Q24-R24-Y24-AF24</f>
        <v>-315.1376015</v>
      </c>
      <c r="AQ24" s="158" t="n">
        <f aca="false">58.03*(Z24*1.9835+AC24*1.9835)/E24</f>
        <v>4.74894499475278</v>
      </c>
      <c r="AR24" s="158" t="n">
        <v>28.51</v>
      </c>
      <c r="AS24" s="147" t="n">
        <v>6</v>
      </c>
      <c r="AT24" s="5" t="n">
        <v>0</v>
      </c>
      <c r="AU24" s="4"/>
      <c r="AV24" s="320" t="n">
        <v>0</v>
      </c>
      <c r="AW24" s="215" t="n">
        <v>89</v>
      </c>
      <c r="AX24" s="215" t="n">
        <v>57</v>
      </c>
      <c r="AY24" s="294"/>
      <c r="AZ24" s="250" t="n">
        <f aca="false">SUM(N24,P24:U24)</f>
        <v>10.810094803781</v>
      </c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customFormat="false" ht="12.95" hidden="false" customHeight="true" outlineLevel="0" collapsed="false">
      <c r="A25" s="183" t="n">
        <f aca="false">A24+1</f>
        <v>11</v>
      </c>
      <c r="B25" s="106" t="n">
        <v>6899.68</v>
      </c>
      <c r="C25" s="107" t="n">
        <v>282404</v>
      </c>
      <c r="D25" s="215" t="n">
        <f aca="false">C25-C24</f>
        <v>-1583</v>
      </c>
      <c r="E25" s="107" t="n">
        <f aca="false">C25-152000</f>
        <v>130404</v>
      </c>
      <c r="F25" s="246" t="n">
        <f aca="false">D25/$D$2</f>
        <v>-798.084194605495</v>
      </c>
      <c r="G25" s="135" t="n">
        <v>100</v>
      </c>
      <c r="H25" s="136" t="n">
        <v>0</v>
      </c>
      <c r="I25" s="135" t="n">
        <f aca="false">G25+H25</f>
        <v>100</v>
      </c>
      <c r="J25" s="136" t="n">
        <f aca="false">IF(L25&gt;0,L25,0)</f>
        <v>0</v>
      </c>
      <c r="K25" s="135" t="n">
        <f aca="false">I25+J25</f>
        <v>100</v>
      </c>
      <c r="L25" s="135" t="n">
        <f aca="false">F25-(I25-AK25)</f>
        <v>-51.0841946054953</v>
      </c>
      <c r="M25" s="248" t="n">
        <v>263</v>
      </c>
      <c r="N25" s="158" t="n">
        <f aca="false">(1.8299*1.03)/2</f>
        <v>0.9423985</v>
      </c>
      <c r="O25" s="135" t="n">
        <f aca="false">79*1.05</f>
        <v>82.95</v>
      </c>
      <c r="P25" s="158" t="n">
        <v>0</v>
      </c>
      <c r="Q25" s="336" t="n">
        <f aca="false">1976900/325851/1.9835*1.02</f>
        <v>3.11984925470795</v>
      </c>
      <c r="R25" s="131" t="n">
        <v>4.2</v>
      </c>
      <c r="S25" s="131" t="n">
        <f aca="false">((7*1.04)-T25)-4.2</f>
        <v>1.47303152</v>
      </c>
      <c r="T25" s="131" t="n">
        <f aca="false">(1.4577*1.06)*1.04</f>
        <v>1.60696848</v>
      </c>
      <c r="U25" s="355" t="n">
        <v>0</v>
      </c>
      <c r="V25" s="135" t="n">
        <v>150</v>
      </c>
      <c r="W25" s="135" t="n">
        <v>81</v>
      </c>
      <c r="X25" s="135" t="n">
        <f aca="false">M25-N25-O25-P25-Q25-R25-S25-T25-U25+V25+W25-AT25+AR25</f>
        <v>428.217752245292</v>
      </c>
      <c r="Y25" s="135" t="n">
        <f aca="false">X25-AO25</f>
        <v>421.217752245292</v>
      </c>
      <c r="Z25" s="107" t="n">
        <f aca="false">Z24+AP25</f>
        <v>3660.79901440859</v>
      </c>
      <c r="AA25" s="135" t="n">
        <f aca="false">(-AP25)</f>
        <v>337.2376015</v>
      </c>
      <c r="AB25" s="107"/>
      <c r="AC25" s="107" t="n">
        <f aca="false">AC24-(AQ24/1.9835)+AS25</f>
        <v>1451.14137352257</v>
      </c>
      <c r="AD25" s="215" t="n">
        <f aca="false">AD24</f>
        <v>13433.3249306781</v>
      </c>
      <c r="AE25" s="135" t="n">
        <v>286</v>
      </c>
      <c r="AF25" s="248" t="n">
        <v>1.7</v>
      </c>
      <c r="AG25" s="249" t="n">
        <v>1.3</v>
      </c>
      <c r="AH25" s="135" t="n">
        <v>67</v>
      </c>
      <c r="AI25" s="107" t="n">
        <f aca="false">AI24-AH25</f>
        <v>10153.2578774893</v>
      </c>
      <c r="AJ25" s="107"/>
      <c r="AK25" s="134" t="n">
        <f aca="false">N25+O25+P25+Q25+R26+S25+T25+U25+X25+AE25+AH25-AR25</f>
        <v>847</v>
      </c>
      <c r="AL25" s="135" t="n">
        <f aca="false">IF(L25&lt;0,L25*-1,0)</f>
        <v>51.0841946054953</v>
      </c>
      <c r="AM25" s="135" t="n">
        <f aca="false">AK25+AL25</f>
        <v>898.084194605495</v>
      </c>
      <c r="AN25" s="220"/>
      <c r="AO25" s="215" t="n">
        <v>7</v>
      </c>
      <c r="AP25" s="97" t="n">
        <f aca="false">(I25-AO25)-Q25-R25-Y25-AF25</f>
        <v>-337.2376015</v>
      </c>
      <c r="AQ25" s="158" t="n">
        <f aca="false">58.03*(Z25*1.9835+AC25*1.9835)/E25</f>
        <v>4.51210962901098</v>
      </c>
      <c r="AR25" s="158" t="n">
        <v>28.51</v>
      </c>
      <c r="AS25" s="147" t="n">
        <v>6</v>
      </c>
      <c r="AT25" s="5" t="n">
        <v>0</v>
      </c>
      <c r="AU25" s="4"/>
      <c r="AV25" s="320" t="n">
        <v>0</v>
      </c>
      <c r="AW25" s="215" t="n">
        <v>93</v>
      </c>
      <c r="AX25" s="215" t="n">
        <v>55</v>
      </c>
      <c r="AY25" s="294"/>
      <c r="AZ25" s="250" t="n">
        <f aca="false">SUM(N25,P25:U25)</f>
        <v>11.342247754708</v>
      </c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6" customFormat="false" ht="12.95" hidden="false" customHeight="true" outlineLevel="0" collapsed="false">
      <c r="A26" s="183" t="n">
        <f aca="false">A25+1</f>
        <v>12</v>
      </c>
      <c r="B26" s="106" t="n">
        <v>6899.34</v>
      </c>
      <c r="C26" s="107" t="n">
        <v>281155</v>
      </c>
      <c r="D26" s="215" t="n">
        <f aca="false">C26-C25</f>
        <v>-1249</v>
      </c>
      <c r="E26" s="107" t="n">
        <f aca="false">C26-152000</f>
        <v>129155</v>
      </c>
      <c r="F26" s="246" t="n">
        <f aca="false">D26/$D$2</f>
        <v>-629.694983614822</v>
      </c>
      <c r="G26" s="135" t="n">
        <v>119</v>
      </c>
      <c r="H26" s="136" t="n">
        <v>0</v>
      </c>
      <c r="I26" s="135" t="n">
        <f aca="false">G26+H26</f>
        <v>119</v>
      </c>
      <c r="J26" s="136" t="n">
        <f aca="false">IF(L26&gt;0,L26,0)</f>
        <v>78.3050163851777</v>
      </c>
      <c r="K26" s="135" t="n">
        <f aca="false">I26+J26</f>
        <v>197.305016385178</v>
      </c>
      <c r="L26" s="135" t="n">
        <f aca="false">F26-(I26-AK26)</f>
        <v>78.3050163851777</v>
      </c>
      <c r="M26" s="248" t="n">
        <v>263</v>
      </c>
      <c r="N26" s="158" t="n">
        <f aca="false">(1.8299*1.03)/2</f>
        <v>0.9423985</v>
      </c>
      <c r="O26" s="135" t="n">
        <f aca="false">84*1.05</f>
        <v>88.2</v>
      </c>
      <c r="P26" s="158" t="n">
        <v>0</v>
      </c>
      <c r="Q26" s="336" t="n">
        <f aca="false">1446100/325851/1.9835*1.02</f>
        <v>2.28216602116099</v>
      </c>
      <c r="R26" s="131" t="n">
        <v>4.2</v>
      </c>
      <c r="S26" s="131" t="n">
        <f aca="false">((7*1.04)-T26)-4.2</f>
        <v>1.47303152</v>
      </c>
      <c r="T26" s="131" t="n">
        <f aca="false">(1.4577*1.06)*1.04</f>
        <v>1.60696848</v>
      </c>
      <c r="U26" s="355" t="n">
        <v>0</v>
      </c>
      <c r="V26" s="135" t="n">
        <v>150</v>
      </c>
      <c r="W26" s="135" t="n">
        <v>81</v>
      </c>
      <c r="X26" s="135" t="n">
        <f aca="false">M26-N26-O26-P26-Q26-R26-S26-T26-U26+V26+W26-AT26+AR26</f>
        <v>423.805435478839</v>
      </c>
      <c r="Y26" s="135" t="n">
        <f aca="false">X26-AO26</f>
        <v>416.805435478839</v>
      </c>
      <c r="Z26" s="107" t="n">
        <f aca="false">Z25+AP26</f>
        <v>3347.81141290859</v>
      </c>
      <c r="AA26" s="135" t="n">
        <f aca="false">(-AP26)</f>
        <v>312.9876015</v>
      </c>
      <c r="AB26" s="107"/>
      <c r="AC26" s="107" t="n">
        <f aca="false">AC25-(AQ25/1.9835)+AS26</f>
        <v>1454.86655142577</v>
      </c>
      <c r="AD26" s="215" t="n">
        <f aca="false">AD25</f>
        <v>13433.3249306781</v>
      </c>
      <c r="AE26" s="135" t="n">
        <v>265</v>
      </c>
      <c r="AF26" s="248" t="n">
        <v>1.7</v>
      </c>
      <c r="AG26" s="249" t="n">
        <v>1.3</v>
      </c>
      <c r="AH26" s="135" t="n">
        <v>68</v>
      </c>
      <c r="AI26" s="107" t="n">
        <f aca="false">AI25-AH26</f>
        <v>10085.2578774893</v>
      </c>
      <c r="AJ26" s="107"/>
      <c r="AK26" s="134" t="n">
        <f aca="false">N26+O26+P26+Q26+R27+S26+T26+U26+X26+AE26+AH26-AR26</f>
        <v>827</v>
      </c>
      <c r="AL26" s="135" t="n">
        <f aca="false">IF(L26&lt;0,L26*-1,0)</f>
        <v>0</v>
      </c>
      <c r="AM26" s="135" t="n">
        <f aca="false">AK26+AL26</f>
        <v>827</v>
      </c>
      <c r="AN26" s="220"/>
      <c r="AO26" s="215" t="n">
        <v>7</v>
      </c>
      <c r="AP26" s="97" t="n">
        <f aca="false">(I26-AO26)-Q26-R26-Y26-AF26</f>
        <v>-312.9876015</v>
      </c>
      <c r="AQ26" s="158" t="n">
        <f aca="false">58.03*(Z26*1.9835+AC26*1.9835)/E26</f>
        <v>4.2801305749153</v>
      </c>
      <c r="AR26" s="158" t="n">
        <v>28.51</v>
      </c>
      <c r="AS26" s="147" t="n">
        <v>6</v>
      </c>
      <c r="AT26" s="5" t="n">
        <v>0</v>
      </c>
      <c r="AU26" s="4"/>
      <c r="AV26" s="320" t="n">
        <v>0.03</v>
      </c>
      <c r="AW26" s="215" t="n">
        <v>92</v>
      </c>
      <c r="AX26" s="215" t="n">
        <v>56</v>
      </c>
      <c r="AY26" s="294"/>
      <c r="AZ26" s="250" t="n">
        <f aca="false">SUM(N26,P26:U26)</f>
        <v>10.504564521161</v>
      </c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</row>
    <row r="27" customFormat="false" ht="12.95" hidden="false" customHeight="true" outlineLevel="0" collapsed="false">
      <c r="A27" s="183" t="n">
        <f aca="false">A26+1</f>
        <v>13</v>
      </c>
      <c r="B27" s="106" t="n">
        <v>6899.02</v>
      </c>
      <c r="C27" s="107" t="n">
        <v>279980</v>
      </c>
      <c r="D27" s="215" t="n">
        <f aca="false">C27-C26</f>
        <v>-1175</v>
      </c>
      <c r="E27" s="107" t="n">
        <f aca="false">C27-152000</f>
        <v>127980</v>
      </c>
      <c r="F27" s="246" t="n">
        <f aca="false">D27/$D$2</f>
        <v>-592.387194353416</v>
      </c>
      <c r="G27" s="135" t="n">
        <v>138</v>
      </c>
      <c r="H27" s="136" t="n">
        <v>0</v>
      </c>
      <c r="I27" s="135" t="n">
        <f aca="false">G27+H27</f>
        <v>138</v>
      </c>
      <c r="J27" s="136" t="n">
        <f aca="false">IF(L27&gt;0,L27,0)</f>
        <v>84.6128056465843</v>
      </c>
      <c r="K27" s="135" t="n">
        <f aca="false">I27+J27</f>
        <v>222.612805646584</v>
      </c>
      <c r="L27" s="135" t="n">
        <f aca="false">F27-(I27-AK27)</f>
        <v>84.6128056465843</v>
      </c>
      <c r="M27" s="248" t="n">
        <v>256</v>
      </c>
      <c r="N27" s="158" t="n">
        <f aca="false">(1.8299*1.03)/2</f>
        <v>0.9423985</v>
      </c>
      <c r="O27" s="135" t="n">
        <f aca="false">83*1.05</f>
        <v>87.15</v>
      </c>
      <c r="P27" s="158" t="n">
        <v>0</v>
      </c>
      <c r="Q27" s="336" t="n">
        <f aca="false">1664500/325851/1.9835*1.02</f>
        <v>2.62683448048024</v>
      </c>
      <c r="R27" s="131" t="n">
        <v>4.2</v>
      </c>
      <c r="S27" s="131" t="n">
        <f aca="false">((7*1.04)-T27)-4.2</f>
        <v>1.65944736</v>
      </c>
      <c r="T27" s="131" t="n">
        <f aca="false">(1.2886*1.06)*1.04</f>
        <v>1.42055264</v>
      </c>
      <c r="U27" s="355" t="n">
        <v>0</v>
      </c>
      <c r="V27" s="135" t="n">
        <v>147</v>
      </c>
      <c r="W27" s="135" t="n">
        <v>80</v>
      </c>
      <c r="X27" s="135" t="n">
        <f aca="false">M27-N27-O27-P27-Q27-R27-S27-T27-U27+V27+W27-AT27+AR27</f>
        <v>413.51076701952</v>
      </c>
      <c r="Y27" s="135" t="n">
        <f aca="false">X27-AO27</f>
        <v>406.51076701952</v>
      </c>
      <c r="Z27" s="107" t="n">
        <f aca="false">Z26+AP27</f>
        <v>3063.77381140859</v>
      </c>
      <c r="AA27" s="135" t="n">
        <f aca="false">(-AP27)</f>
        <v>284.0376015</v>
      </c>
      <c r="AB27" s="107"/>
      <c r="AC27" s="107" t="n">
        <f aca="false">AC26-(AQ26/1.9835)+AS27</f>
        <v>1458.70868372982</v>
      </c>
      <c r="AD27" s="215" t="n">
        <f aca="false">AD26</f>
        <v>13433.3249306781</v>
      </c>
      <c r="AE27" s="135" t="n">
        <v>265</v>
      </c>
      <c r="AF27" s="248" t="n">
        <v>1.7</v>
      </c>
      <c r="AG27" s="249" t="n">
        <v>1.3</v>
      </c>
      <c r="AH27" s="135" t="n">
        <v>67</v>
      </c>
      <c r="AI27" s="107" t="n">
        <f aca="false">AI26-AH27</f>
        <v>10018.2578774893</v>
      </c>
      <c r="AJ27" s="107"/>
      <c r="AK27" s="134" t="n">
        <f aca="false">N27+O27+P27+Q27+R28+S27+T27+U27+X27+AE27+AH27-AR27</f>
        <v>815</v>
      </c>
      <c r="AL27" s="135" t="n">
        <f aca="false">IF(L27&lt;0,L27*-1,0)</f>
        <v>0</v>
      </c>
      <c r="AM27" s="135" t="n">
        <f aca="false">AK27+AL27</f>
        <v>815</v>
      </c>
      <c r="AN27" s="220"/>
      <c r="AO27" s="215" t="n">
        <v>7</v>
      </c>
      <c r="AP27" s="97" t="n">
        <f aca="false">(I27-AO27)-Q27-R27-Y27-AF27</f>
        <v>-284.0376015</v>
      </c>
      <c r="AQ27" s="158" t="n">
        <f aca="false">58.03*(Z27*1.9835+AC27*1.9835)/E27</f>
        <v>4.06742509774247</v>
      </c>
      <c r="AR27" s="158" t="n">
        <v>28.51</v>
      </c>
      <c r="AS27" s="147" t="n">
        <v>6</v>
      </c>
      <c r="AT27" s="5" t="n">
        <v>0</v>
      </c>
      <c r="AU27" s="4"/>
      <c r="AV27" s="320" t="n">
        <v>0.01</v>
      </c>
      <c r="AW27" s="215" t="n">
        <v>90</v>
      </c>
      <c r="AX27" s="215" t="n">
        <v>59</v>
      </c>
      <c r="AY27" s="294"/>
      <c r="AZ27" s="250" t="n">
        <f aca="false">SUM(N27,P27:U27)</f>
        <v>10.8492329804802</v>
      </c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</row>
    <row r="28" customFormat="false" ht="12.95" hidden="false" customHeight="true" outlineLevel="0" collapsed="false">
      <c r="A28" s="183" t="n">
        <f aca="false">A27+1</f>
        <v>14</v>
      </c>
      <c r="B28" s="106" t="n">
        <v>6898.7</v>
      </c>
      <c r="C28" s="107" t="n">
        <v>278813</v>
      </c>
      <c r="D28" s="215" t="n">
        <f aca="false">C28-C27</f>
        <v>-1167</v>
      </c>
      <c r="E28" s="107" t="n">
        <f aca="false">C28-152000</f>
        <v>126813</v>
      </c>
      <c r="F28" s="246" t="n">
        <f aca="false">D28/$D$2</f>
        <v>-588.353919838669</v>
      </c>
      <c r="G28" s="135" t="n">
        <v>208</v>
      </c>
      <c r="H28" s="136" t="n">
        <v>0</v>
      </c>
      <c r="I28" s="135" t="n">
        <f aca="false">G28+H28</f>
        <v>208</v>
      </c>
      <c r="J28" s="136" t="n">
        <f aca="false">IF(L28&gt;0,L28,0)</f>
        <v>0</v>
      </c>
      <c r="K28" s="135" t="n">
        <f aca="false">I28+J28</f>
        <v>208</v>
      </c>
      <c r="L28" s="135" t="n">
        <f aca="false">F28-(I28-AK28)</f>
        <v>-48.353919838669</v>
      </c>
      <c r="M28" s="248" t="n">
        <v>233</v>
      </c>
      <c r="N28" s="158" t="n">
        <f aca="false">(1.8299*1.03)/2</f>
        <v>0.9423985</v>
      </c>
      <c r="O28" s="135" t="n">
        <f aca="false">72*1.05</f>
        <v>75.6</v>
      </c>
      <c r="P28" s="158" t="n">
        <v>0</v>
      </c>
      <c r="Q28" s="336" t="n">
        <f aca="false">1554800/325851/1.9835*1.02</f>
        <v>2.45371117467749</v>
      </c>
      <c r="R28" s="131" t="n">
        <v>4.2</v>
      </c>
      <c r="S28" s="131" t="n">
        <f aca="false">((7*1.04)-T28)-4.2</f>
        <v>1.65944736</v>
      </c>
      <c r="T28" s="131" t="n">
        <f aca="false">(1.2886*1.06)*1.04</f>
        <v>1.42055264</v>
      </c>
      <c r="U28" s="355" t="n">
        <v>0</v>
      </c>
      <c r="V28" s="135" t="n">
        <v>147</v>
      </c>
      <c r="W28" s="135" t="n">
        <v>81</v>
      </c>
      <c r="X28" s="135" t="n">
        <f aca="false">M28-N28-O28-P28-Q28-R28-S28-T28-U28+V28+W28-AT28+AR28</f>
        <v>403.233890325322</v>
      </c>
      <c r="Y28" s="135" t="n">
        <f aca="false">X28-AO28</f>
        <v>396.233890325322</v>
      </c>
      <c r="Z28" s="107" t="n">
        <f aca="false">Z27+AP28</f>
        <v>2860.18620990859</v>
      </c>
      <c r="AA28" s="135" t="n">
        <f aca="false">(-AP28)</f>
        <v>203.5876015</v>
      </c>
      <c r="AB28" s="107"/>
      <c r="AC28" s="107" t="n">
        <f aca="false">AC27-(AQ27/1.9835)+AS28</f>
        <v>1462.6580534814</v>
      </c>
      <c r="AD28" s="215" t="n">
        <f aca="false">AD27</f>
        <v>13433.3249306781</v>
      </c>
      <c r="AE28" s="135" t="n">
        <v>220</v>
      </c>
      <c r="AF28" s="248" t="n">
        <v>1.7</v>
      </c>
      <c r="AG28" s="249" t="n">
        <v>1.3</v>
      </c>
      <c r="AH28" s="135" t="n">
        <v>67</v>
      </c>
      <c r="AI28" s="107" t="n">
        <f aca="false">AI27-AH28</f>
        <v>9951.25787748929</v>
      </c>
      <c r="AJ28" s="107"/>
      <c r="AK28" s="134" t="n">
        <f aca="false">N28+O28+P28+Q28+R29+S28+T28+U28+X28+AE28+AH28-AR28</f>
        <v>748</v>
      </c>
      <c r="AL28" s="135" t="n">
        <f aca="false">IF(L28&lt;0,L28*-1,0)</f>
        <v>48.353919838669</v>
      </c>
      <c r="AM28" s="135" t="n">
        <f aca="false">AK28+AL28</f>
        <v>796.353919838669</v>
      </c>
      <c r="AN28" s="220"/>
      <c r="AO28" s="215" t="n">
        <v>7</v>
      </c>
      <c r="AP28" s="97" t="n">
        <f aca="false">(I28-AO28)-Q28-R28-Y28-AF28</f>
        <v>-203.5876015</v>
      </c>
      <c r="AQ28" s="158" t="n">
        <f aca="false">58.03*(Z28*1.9835+AC28*1.9835)/E28</f>
        <v>3.92365296492526</v>
      </c>
      <c r="AR28" s="158" t="n">
        <v>28.51</v>
      </c>
      <c r="AS28" s="147" t="n">
        <v>6</v>
      </c>
      <c r="AT28" s="5" t="n">
        <v>0</v>
      </c>
      <c r="AU28" s="4"/>
      <c r="AV28" s="320" t="n">
        <v>0.02</v>
      </c>
      <c r="AW28" s="215" t="n">
        <v>87</v>
      </c>
      <c r="AX28" s="215" t="n">
        <v>58</v>
      </c>
      <c r="AY28" s="294"/>
      <c r="AZ28" s="250" t="n">
        <f aca="false">SUM(N28,P28:U28)</f>
        <v>10.6761096746775</v>
      </c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</row>
    <row r="29" customFormat="false" ht="12.95" hidden="false" customHeight="true" outlineLevel="0" collapsed="false">
      <c r="A29" s="183" t="n">
        <f aca="false">A28+1</f>
        <v>15</v>
      </c>
      <c r="B29" s="106" t="n">
        <v>6898.38</v>
      </c>
      <c r="C29" s="107" t="n">
        <v>277646</v>
      </c>
      <c r="D29" s="215" t="n">
        <f aca="false">C29-C28</f>
        <v>-1167</v>
      </c>
      <c r="E29" s="107" t="n">
        <f aca="false">C29-152000</f>
        <v>125646</v>
      </c>
      <c r="F29" s="246" t="n">
        <f aca="false">D29/$D$2</f>
        <v>-588.353919838669</v>
      </c>
      <c r="G29" s="135" t="n">
        <v>179</v>
      </c>
      <c r="H29" s="136" t="n">
        <v>0</v>
      </c>
      <c r="I29" s="135" t="n">
        <f aca="false">G29+H29</f>
        <v>179</v>
      </c>
      <c r="J29" s="136" t="n">
        <f aca="false">IF(L29&gt;0,L29,0)</f>
        <v>0</v>
      </c>
      <c r="K29" s="135" t="n">
        <f aca="false">I29+J29</f>
        <v>179</v>
      </c>
      <c r="L29" s="135" t="n">
        <f aca="false">F29-(I29-AK29)</f>
        <v>-69.353919838669</v>
      </c>
      <c r="M29" s="248" t="n">
        <v>225</v>
      </c>
      <c r="N29" s="158" t="n">
        <f aca="false">(1.8299*1.03)/2</f>
        <v>0.9423985</v>
      </c>
      <c r="O29" s="135" t="n">
        <f aca="false">65*1.05</f>
        <v>68.25</v>
      </c>
      <c r="P29" s="158" t="n">
        <v>0</v>
      </c>
      <c r="Q29" s="336" t="n">
        <f aca="false">1531800/325851/1.9835*1.02</f>
        <v>2.4174136720935</v>
      </c>
      <c r="R29" s="131" t="n">
        <v>4.2</v>
      </c>
      <c r="S29" s="131" t="n">
        <f aca="false">((7*1.04)-T29)-4.2</f>
        <v>1.65944736</v>
      </c>
      <c r="T29" s="131" t="n">
        <f aca="false">(1.2886*1.06)*1.04</f>
        <v>1.42055264</v>
      </c>
      <c r="U29" s="355" t="n">
        <v>0</v>
      </c>
      <c r="V29" s="135" t="n">
        <v>146</v>
      </c>
      <c r="W29" s="135" t="n">
        <v>82</v>
      </c>
      <c r="X29" s="135" t="n">
        <f aca="false">M29-N29-O29-P29-Q29-R29-S29-T29-U29+V29+W29-AT29+AR29</f>
        <v>402.620187827907</v>
      </c>
      <c r="Y29" s="135" t="n">
        <f aca="false">X29-AO29</f>
        <v>395.620187827907</v>
      </c>
      <c r="Z29" s="107" t="n">
        <f aca="false">Z28+AP29</f>
        <v>2628.24860840859</v>
      </c>
      <c r="AA29" s="135" t="n">
        <f aca="false">(-AP29)</f>
        <v>231.9376015</v>
      </c>
      <c r="AB29" s="107"/>
      <c r="AC29" s="107" t="n">
        <f aca="false">AC28-(AQ28/1.9835)+AS29</f>
        <v>1466.67990729288</v>
      </c>
      <c r="AD29" s="215" t="n">
        <f aca="false">AD28</f>
        <v>13433.3249306781</v>
      </c>
      <c r="AE29" s="135" t="n">
        <v>178</v>
      </c>
      <c r="AF29" s="248" t="n">
        <v>1.7</v>
      </c>
      <c r="AG29" s="249" t="n">
        <v>1.3</v>
      </c>
      <c r="AH29" s="135" t="n">
        <v>67</v>
      </c>
      <c r="AI29" s="107" t="n">
        <f aca="false">AI28-AH29</f>
        <v>9884.25787748929</v>
      </c>
      <c r="AJ29" s="107"/>
      <c r="AK29" s="134" t="n">
        <f aca="false">N29+O29+P29+Q29+R30+S29+T29+U29+X29+AE29+AH29-AR29</f>
        <v>698</v>
      </c>
      <c r="AL29" s="135" t="n">
        <f aca="false">IF(L29&lt;0,L29*-1,0)</f>
        <v>69.353919838669</v>
      </c>
      <c r="AM29" s="135" t="n">
        <f aca="false">AK29+AL29</f>
        <v>767.353919838669</v>
      </c>
      <c r="AN29" s="220"/>
      <c r="AO29" s="215" t="n">
        <v>7</v>
      </c>
      <c r="AP29" s="97" t="n">
        <f aca="false">(I29-AO29)-Q29-R29-Y29-AF29</f>
        <v>-231.9376015</v>
      </c>
      <c r="AQ29" s="158" t="n">
        <f aca="false">58.03*(Z29*1.9835+AC29*1.9835)/E29</f>
        <v>3.75130549283838</v>
      </c>
      <c r="AR29" s="158" t="n">
        <v>28.51</v>
      </c>
      <c r="AS29" s="147" t="n">
        <v>6</v>
      </c>
      <c r="AT29" s="5" t="n">
        <v>0</v>
      </c>
      <c r="AU29" s="4"/>
      <c r="AV29" s="320" t="n">
        <v>0.11</v>
      </c>
      <c r="AW29" s="221" t="n">
        <v>85</v>
      </c>
      <c r="AX29" s="215" t="n">
        <v>57</v>
      </c>
      <c r="AY29" s="294"/>
      <c r="AZ29" s="250" t="n">
        <f aca="false">SUM(N29,P29:U29)</f>
        <v>10.6398121720935</v>
      </c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</row>
    <row r="30" customFormat="false" ht="12.95" hidden="false" customHeight="true" outlineLevel="0" collapsed="false">
      <c r="A30" s="183" t="n">
        <f aca="false">A29+1</f>
        <v>16</v>
      </c>
      <c r="B30" s="106" t="n">
        <v>6898.05</v>
      </c>
      <c r="C30" s="107" t="n">
        <v>276443</v>
      </c>
      <c r="D30" s="215" t="n">
        <f aca="false">C30-C29</f>
        <v>-1203</v>
      </c>
      <c r="E30" s="107" t="n">
        <f aca="false">C30-152000</f>
        <v>124443</v>
      </c>
      <c r="F30" s="246" t="n">
        <f aca="false">D30/$D$2</f>
        <v>-606.503655155029</v>
      </c>
      <c r="G30" s="135" t="n">
        <v>181</v>
      </c>
      <c r="H30" s="136" t="n">
        <v>0</v>
      </c>
      <c r="I30" s="135" t="n">
        <f aca="false">G30+H30</f>
        <v>181</v>
      </c>
      <c r="J30" s="136" t="n">
        <f aca="false">IF(L30&gt;0,L30,0)</f>
        <v>0</v>
      </c>
      <c r="K30" s="135" t="n">
        <f aca="false">I30+J30</f>
        <v>181</v>
      </c>
      <c r="L30" s="135" t="n">
        <f aca="false">F30-(I30-AK30)</f>
        <v>-53.5036551550289</v>
      </c>
      <c r="M30" s="248" t="n">
        <v>218</v>
      </c>
      <c r="N30" s="158" t="n">
        <f aca="false">(1.8299*1.03)/2</f>
        <v>0.9423985</v>
      </c>
      <c r="O30" s="135" t="n">
        <f aca="false">64*1.05</f>
        <v>67.2</v>
      </c>
      <c r="P30" s="158" t="n">
        <v>0</v>
      </c>
      <c r="Q30" s="336" t="n">
        <f aca="false">1639600/325851/1.9835*1.02</f>
        <v>2.58753848855236</v>
      </c>
      <c r="R30" s="131" t="n">
        <v>4.2</v>
      </c>
      <c r="S30" s="131" t="n">
        <f aca="false">((6.2*1.04)-T30)-4.2</f>
        <v>0.82744736</v>
      </c>
      <c r="T30" s="131" t="n">
        <f aca="false">(1.2886*1.06)*1.04</f>
        <v>1.42055264</v>
      </c>
      <c r="U30" s="355" t="n">
        <v>0</v>
      </c>
      <c r="V30" s="135" t="n">
        <v>146</v>
      </c>
      <c r="W30" s="135" t="n">
        <v>81</v>
      </c>
      <c r="X30" s="135" t="n">
        <f aca="false">M30-N30-O30-P30-Q30-R30-S30-T30-U30+V30+W30-AT30+AR30</f>
        <v>396.332063011448</v>
      </c>
      <c r="Y30" s="135" t="n">
        <f aca="false">X30-AO30</f>
        <v>389.332063011448</v>
      </c>
      <c r="Z30" s="107" t="n">
        <f aca="false">Z29+AP30</f>
        <v>2404.42900690859</v>
      </c>
      <c r="AA30" s="135" t="n">
        <f aca="false">(-AP30)</f>
        <v>223.8196015</v>
      </c>
      <c r="AB30" s="107"/>
      <c r="AC30" s="107" t="n">
        <f aca="false">AC29-(AQ29/1.9835)+AS30</f>
        <v>1470.78865168772</v>
      </c>
      <c r="AD30" s="215" t="n">
        <f aca="false">AD29</f>
        <v>13433.3249306781</v>
      </c>
      <c r="AE30" s="135" t="n">
        <v>222</v>
      </c>
      <c r="AF30" s="248" t="n">
        <v>1.7</v>
      </c>
      <c r="AG30" s="249" t="n">
        <v>1.3</v>
      </c>
      <c r="AH30" s="135" t="n">
        <v>67</v>
      </c>
      <c r="AI30" s="107" t="n">
        <f aca="false">AI29-AH30</f>
        <v>9817.25787748929</v>
      </c>
      <c r="AJ30" s="107"/>
      <c r="AK30" s="134" t="n">
        <f aca="false">N30+O30+P30+Q30+R31+S30+T30+U30+X30+AE30+AH30-AR30</f>
        <v>734</v>
      </c>
      <c r="AL30" s="135" t="n">
        <f aca="false">IF(L30&lt;0,L30*-1,0)</f>
        <v>53.5036551550289</v>
      </c>
      <c r="AM30" s="135" t="n">
        <f aca="false">AK30+AL30</f>
        <v>787.503655155029</v>
      </c>
      <c r="AN30" s="220"/>
      <c r="AO30" s="215" t="n">
        <v>7</v>
      </c>
      <c r="AP30" s="97" t="n">
        <f aca="false">(I30-AO30)-Q30-R30-Y30-AF30</f>
        <v>-223.8196015</v>
      </c>
      <c r="AQ30" s="158" t="n">
        <f aca="false">58.03*(Z30*1.9835+AC30*1.9835)/E30</f>
        <v>3.58434994274221</v>
      </c>
      <c r="AR30" s="158" t="n">
        <v>28.51</v>
      </c>
      <c r="AS30" s="147" t="n">
        <v>6</v>
      </c>
      <c r="AT30" s="5" t="n">
        <v>0</v>
      </c>
      <c r="AU30" s="4"/>
      <c r="AV30" s="320" t="n">
        <v>0</v>
      </c>
      <c r="AW30" s="221" t="n">
        <v>84</v>
      </c>
      <c r="AX30" s="215" t="n">
        <v>55</v>
      </c>
      <c r="AY30" s="294"/>
      <c r="AZ30" s="250" t="n">
        <f aca="false">SUM(N30,P30:U30)</f>
        <v>9.97793698855236</v>
      </c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</row>
    <row r="31" customFormat="false" ht="12.95" hidden="false" customHeight="true" outlineLevel="0" collapsed="false">
      <c r="A31" s="183" t="n">
        <f aca="false">A30+1</f>
        <v>17</v>
      </c>
      <c r="B31" s="106" t="n">
        <v>6897.73</v>
      </c>
      <c r="C31" s="107" t="n">
        <v>275284</v>
      </c>
      <c r="D31" s="215" t="n">
        <f aca="false">C31-C30</f>
        <v>-1159</v>
      </c>
      <c r="E31" s="107" t="n">
        <f aca="false">C31-152000</f>
        <v>123284</v>
      </c>
      <c r="F31" s="246" t="n">
        <f aca="false">D31/$D$2</f>
        <v>-584.320645323922</v>
      </c>
      <c r="G31" s="135" t="n">
        <v>174</v>
      </c>
      <c r="H31" s="136" t="n">
        <v>0</v>
      </c>
      <c r="I31" s="135" t="n">
        <f aca="false">G31+H31</f>
        <v>174</v>
      </c>
      <c r="J31" s="136" t="n">
        <f aca="false">IF(L31&gt;0,L31,0)</f>
        <v>0</v>
      </c>
      <c r="K31" s="135" t="n">
        <f aca="false">I31+J31</f>
        <v>174</v>
      </c>
      <c r="L31" s="135" t="n">
        <f aca="false">F31-(I31-AK31)</f>
        <v>-22.3206453239223</v>
      </c>
      <c r="M31" s="248" t="n">
        <v>207</v>
      </c>
      <c r="N31" s="158" t="n">
        <f aca="false">(1.8299*1.03)/2</f>
        <v>0.9423985</v>
      </c>
      <c r="O31" s="135" t="n">
        <f aca="false">56*1.05</f>
        <v>58.8</v>
      </c>
      <c r="P31" s="158" t="n">
        <v>0</v>
      </c>
      <c r="Q31" s="336" t="n">
        <f aca="false">1590900/325851/1.9835*1.02</f>
        <v>2.51068247221148</v>
      </c>
      <c r="R31" s="131" t="n">
        <v>4.2</v>
      </c>
      <c r="S31" s="131" t="n">
        <f aca="false">((6*1.04)-T31)-4.2</f>
        <v>0.61944736</v>
      </c>
      <c r="T31" s="131" t="n">
        <f aca="false">(1.2886*1.06)*1.04</f>
        <v>1.42055264</v>
      </c>
      <c r="U31" s="355" t="n">
        <v>0</v>
      </c>
      <c r="V31" s="135" t="n">
        <v>142</v>
      </c>
      <c r="W31" s="135" t="n">
        <v>81</v>
      </c>
      <c r="X31" s="135" t="n">
        <f aca="false">M31-N31-O31-P31-Q31-R31-S31-T31-U31+V31+W31-AT31+AR31</f>
        <v>390.016919027788</v>
      </c>
      <c r="Y31" s="135" t="n">
        <f aca="false">X31-AO31</f>
        <v>383.016919027789</v>
      </c>
      <c r="Z31" s="107" t="n">
        <f aca="false">Z30+AP31</f>
        <v>2180.00140540859</v>
      </c>
      <c r="AA31" s="135" t="n">
        <f aca="false">(-AP31)</f>
        <v>224.4276015</v>
      </c>
      <c r="AB31" s="107"/>
      <c r="AC31" s="107" t="n">
        <f aca="false">AC30-(AQ30/1.9835)+AS31</f>
        <v>1474.98156827822</v>
      </c>
      <c r="AD31" s="215" t="n">
        <f aca="false">AD30</f>
        <v>13433.3249306781</v>
      </c>
      <c r="AE31" s="135" t="n">
        <v>238</v>
      </c>
      <c r="AF31" s="248" t="n">
        <v>1.7</v>
      </c>
      <c r="AG31" s="249" t="n">
        <v>1.3</v>
      </c>
      <c r="AH31" s="135" t="n">
        <v>68</v>
      </c>
      <c r="AI31" s="107" t="n">
        <f aca="false">AI30-AH31</f>
        <v>9749.25787748929</v>
      </c>
      <c r="AJ31" s="107"/>
      <c r="AK31" s="134" t="n">
        <f aca="false">N31+O31+P31+Q31+R32+S31+T31+U31+X31+AE31+AH31-AR31</f>
        <v>736</v>
      </c>
      <c r="AL31" s="135" t="n">
        <f aca="false">IF(L31&lt;0,L31*-1,0)</f>
        <v>22.3206453239223</v>
      </c>
      <c r="AM31" s="135" t="n">
        <f aca="false">AK31+AL31</f>
        <v>758.320645323922</v>
      </c>
      <c r="AN31" s="220"/>
      <c r="AO31" s="215" t="n">
        <v>7</v>
      </c>
      <c r="AP31" s="97" t="n">
        <f aca="false">(I31-AO31)-Q31-R31-Y31-AF31</f>
        <v>-224.4276015</v>
      </c>
      <c r="AQ31" s="158" t="n">
        <f aca="false">58.03*(Z31*1.9835+AC31*1.9835)/E31</f>
        <v>3.41242737097839</v>
      </c>
      <c r="AR31" s="158" t="n">
        <v>28.51</v>
      </c>
      <c r="AS31" s="147" t="n">
        <v>6</v>
      </c>
      <c r="AT31" s="5" t="n">
        <v>0</v>
      </c>
      <c r="AU31" s="4"/>
      <c r="AV31" s="320" t="n">
        <v>0</v>
      </c>
      <c r="AW31" s="221" t="n">
        <v>87</v>
      </c>
      <c r="AX31" s="215" t="n">
        <v>55</v>
      </c>
      <c r="AY31" s="294"/>
      <c r="AZ31" s="250" t="n">
        <f aca="false">SUM(N31,P31:U31)</f>
        <v>9.69308097221148</v>
      </c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</row>
    <row r="32" customFormat="false" ht="12.95" hidden="false" customHeight="true" outlineLevel="0" collapsed="false">
      <c r="A32" s="183" t="n">
        <f aca="false">A31+1</f>
        <v>18</v>
      </c>
      <c r="B32" s="106" t="n">
        <v>6897.39</v>
      </c>
      <c r="C32" s="107" t="n">
        <v>274054</v>
      </c>
      <c r="D32" s="215" t="n">
        <f aca="false">C32-C31</f>
        <v>-1230</v>
      </c>
      <c r="E32" s="107" t="n">
        <f aca="false">C32-152000</f>
        <v>122054</v>
      </c>
      <c r="F32" s="246" t="n">
        <f aca="false">D32/$D$2</f>
        <v>-620.115956642299</v>
      </c>
      <c r="G32" s="135" t="n">
        <v>148</v>
      </c>
      <c r="H32" s="136" t="n">
        <v>0</v>
      </c>
      <c r="I32" s="135" t="n">
        <f aca="false">G32+H32</f>
        <v>148</v>
      </c>
      <c r="J32" s="136" t="n">
        <f aca="false">IF(L32&gt;0,L32,0)</f>
        <v>0</v>
      </c>
      <c r="K32" s="135" t="n">
        <f aca="false">I32+J32</f>
        <v>148</v>
      </c>
      <c r="L32" s="135" t="n">
        <f aca="false">F32-(I32-AK32)</f>
        <v>-28.1159566422989</v>
      </c>
      <c r="M32" s="248" t="n">
        <v>222</v>
      </c>
      <c r="N32" s="158" t="n">
        <f aca="false">(1.8299*1.03)/2</f>
        <v>0.9423985</v>
      </c>
      <c r="O32" s="135" t="n">
        <f aca="false">51*1.05</f>
        <v>53.55</v>
      </c>
      <c r="P32" s="158" t="n">
        <v>0</v>
      </c>
      <c r="Q32" s="336" t="n">
        <f aca="false">2045500/325851/1.9835*1.02</f>
        <v>3.22811050154541</v>
      </c>
      <c r="R32" s="131" t="n">
        <v>4.2</v>
      </c>
      <c r="S32" s="131" t="n">
        <f aca="false">((6*1.04)-T32)-4.2</f>
        <v>0.61944736</v>
      </c>
      <c r="T32" s="131" t="n">
        <f aca="false">(1.2886*1.06)*1.04</f>
        <v>1.42055264</v>
      </c>
      <c r="U32" s="355" t="n">
        <v>0</v>
      </c>
      <c r="V32" s="135" t="n">
        <v>142</v>
      </c>
      <c r="W32" s="135" t="n">
        <v>81</v>
      </c>
      <c r="X32" s="135" t="n">
        <f aca="false">M32-N32-O32-P32-Q32-R32-S32-T32-U32+V32+W32-AT32+AR32</f>
        <v>409.549490998455</v>
      </c>
      <c r="Y32" s="135" t="n">
        <f aca="false">X32-AO32</f>
        <v>402.549490998455</v>
      </c>
      <c r="Z32" s="107" t="n">
        <f aca="false">Z31+AP32</f>
        <v>1909.32380390859</v>
      </c>
      <c r="AA32" s="135" t="n">
        <f aca="false">(-AP32)</f>
        <v>270.6776015</v>
      </c>
      <c r="AB32" s="107"/>
      <c r="AC32" s="107" t="n">
        <f aca="false">AC31-(AQ31/1.9835)+AS32</f>
        <v>1479.26116123462</v>
      </c>
      <c r="AD32" s="215" t="n">
        <f aca="false">AD31</f>
        <v>13433.3249306781</v>
      </c>
      <c r="AE32" s="135" t="n">
        <v>226</v>
      </c>
      <c r="AF32" s="248" t="n">
        <v>1.7</v>
      </c>
      <c r="AG32" s="249" t="n">
        <v>1.3</v>
      </c>
      <c r="AH32" s="135" t="n">
        <v>69</v>
      </c>
      <c r="AI32" s="107" t="n">
        <f aca="false">AI31-AH32</f>
        <v>9680.25787748929</v>
      </c>
      <c r="AJ32" s="107"/>
      <c r="AK32" s="134" t="n">
        <f aca="false">N32+O32+P32+Q32+R33+S32+T32+U32+X32+AE32+AH32-AR32</f>
        <v>740</v>
      </c>
      <c r="AL32" s="135" t="n">
        <f aca="false">IF(L32&lt;0,L32*-1,0)</f>
        <v>28.1159566422989</v>
      </c>
      <c r="AM32" s="135" t="n">
        <f aca="false">AK32+AL32</f>
        <v>768.115956642299</v>
      </c>
      <c r="AN32" s="220"/>
      <c r="AO32" s="215" t="n">
        <v>7</v>
      </c>
      <c r="AP32" s="97" t="n">
        <f aca="false">(I32-AO32)-Q32-R32-Y32-AF32</f>
        <v>-270.6776015</v>
      </c>
      <c r="AQ32" s="158" t="n">
        <f aca="false">58.03*(Z32*1.9835+AC32*1.9835)/E32</f>
        <v>3.19559062294821</v>
      </c>
      <c r="AR32" s="158" t="n">
        <v>28.51</v>
      </c>
      <c r="AS32" s="147" t="n">
        <v>6</v>
      </c>
      <c r="AT32" s="5" t="n">
        <v>0</v>
      </c>
      <c r="AU32" s="4"/>
      <c r="AV32" s="320" t="n">
        <v>0</v>
      </c>
      <c r="AW32" s="221" t="n">
        <v>92</v>
      </c>
      <c r="AX32" s="215" t="n">
        <v>58</v>
      </c>
      <c r="AY32" s="294"/>
      <c r="AZ32" s="250" t="n">
        <f aca="false">SUM(N32,P32:U32)</f>
        <v>10.4105090015454</v>
      </c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</row>
    <row r="33" customFormat="false" ht="12.95" hidden="false" customHeight="true" outlineLevel="0" collapsed="false">
      <c r="A33" s="183" t="n">
        <f aca="false">A32+1</f>
        <v>19</v>
      </c>
      <c r="B33" s="106" t="n">
        <v>6897.04</v>
      </c>
      <c r="C33" s="107" t="n">
        <v>272788</v>
      </c>
      <c r="D33" s="215" t="n">
        <f aca="false">C33-C32</f>
        <v>-1266</v>
      </c>
      <c r="E33" s="107" t="n">
        <f aca="false">C33-152000</f>
        <v>120788</v>
      </c>
      <c r="F33" s="246" t="n">
        <f aca="false">D33/$D$2</f>
        <v>-638.265691958659</v>
      </c>
      <c r="G33" s="135" t="n">
        <v>128</v>
      </c>
      <c r="H33" s="136" t="n">
        <v>0</v>
      </c>
      <c r="I33" s="135" t="n">
        <f aca="false">G33+H33</f>
        <v>128</v>
      </c>
      <c r="J33" s="136" t="n">
        <f aca="false">IF(L33&gt;0,L33,0)</f>
        <v>0</v>
      </c>
      <c r="K33" s="135" t="n">
        <f aca="false">I33+J33</f>
        <v>128</v>
      </c>
      <c r="L33" s="135" t="n">
        <f aca="false">F33-(I33-AK33)</f>
        <v>-19.265691958659</v>
      </c>
      <c r="M33" s="248" t="n">
        <v>236</v>
      </c>
      <c r="N33" s="158" t="n">
        <f aca="false">(1.8299*1.03)/2</f>
        <v>0.9423985</v>
      </c>
      <c r="O33" s="135" t="n">
        <f aca="false">61*1.05</f>
        <v>64.05</v>
      </c>
      <c r="P33" s="158" t="n">
        <v>0</v>
      </c>
      <c r="Q33" s="336" t="n">
        <f aca="false">1871900/325851/1.9835*1.02</f>
        <v>2.95414326465062</v>
      </c>
      <c r="R33" s="131" t="n">
        <v>4.2</v>
      </c>
      <c r="S33" s="131" t="n">
        <f aca="false">((7*1.04)-T33)-4.2</f>
        <v>1.65944736</v>
      </c>
      <c r="T33" s="131" t="n">
        <f aca="false">(1.2886*1.06)*1.04</f>
        <v>1.42055264</v>
      </c>
      <c r="U33" s="355" t="n">
        <v>0</v>
      </c>
      <c r="V33" s="135" t="n">
        <v>141</v>
      </c>
      <c r="W33" s="135" t="n">
        <v>81</v>
      </c>
      <c r="X33" s="135" t="n">
        <f aca="false">M33-N33-O33-P33-Q33-R33-S33-T33-U33+V33+W33-AT33+AR33</f>
        <v>411.283458235349</v>
      </c>
      <c r="Y33" s="135" t="n">
        <f aca="false">X33-AO33</f>
        <v>404.283458235349</v>
      </c>
      <c r="Z33" s="107" t="n">
        <f aca="false">Z32+AP33</f>
        <v>1617.18620240859</v>
      </c>
      <c r="AA33" s="135" t="n">
        <f aca="false">(-AP33)</f>
        <v>292.1376015</v>
      </c>
      <c r="AB33" s="107"/>
      <c r="AC33" s="107" t="n">
        <f aca="false">AC32-(AQ32/1.9835)+AS33</f>
        <v>1483.65007445723</v>
      </c>
      <c r="AD33" s="215" t="n">
        <f aca="false">AD32</f>
        <v>13433.3249306781</v>
      </c>
      <c r="AE33" s="135" t="n">
        <v>219</v>
      </c>
      <c r="AF33" s="248" t="n">
        <v>1.7</v>
      </c>
      <c r="AG33" s="249" t="n">
        <v>1.3</v>
      </c>
      <c r="AH33" s="135" t="n">
        <v>70</v>
      </c>
      <c r="AI33" s="107" t="n">
        <f aca="false">AI32-AH33</f>
        <v>9610.25787748929</v>
      </c>
      <c r="AJ33" s="107"/>
      <c r="AK33" s="134" t="n">
        <f aca="false">N33+O33+P33+Q33+R34+S33+T33+U33+X33+AE33+AH33-AR33</f>
        <v>747</v>
      </c>
      <c r="AL33" s="135" t="n">
        <f aca="false">IF(L33&lt;0,L33*-1,0)</f>
        <v>19.265691958659</v>
      </c>
      <c r="AM33" s="135" t="n">
        <f aca="false">AK33+AL33</f>
        <v>766.265691958659</v>
      </c>
      <c r="AN33" s="220"/>
      <c r="AO33" s="215" t="n">
        <v>7</v>
      </c>
      <c r="AP33" s="97" t="n">
        <f aca="false">(I33-AO33)-Q33-R33-Y33-AF33</f>
        <v>-292.1376015</v>
      </c>
      <c r="AQ33" s="158" t="n">
        <f aca="false">58.03*(Z33*1.9835+AC33*1.9835)/E33</f>
        <v>2.95487981473432</v>
      </c>
      <c r="AR33" s="158" t="n">
        <v>28.51</v>
      </c>
      <c r="AS33" s="147" t="n">
        <v>6</v>
      </c>
      <c r="AT33" s="5" t="n">
        <v>0</v>
      </c>
      <c r="AU33" s="4"/>
      <c r="AV33" s="320" t="n">
        <v>0.06</v>
      </c>
      <c r="AW33" s="221" t="n">
        <v>90</v>
      </c>
      <c r="AX33" s="215" t="n">
        <v>61</v>
      </c>
      <c r="AY33" s="294"/>
      <c r="AZ33" s="250" t="n">
        <f aca="false">SUM(N33,P33:U33)</f>
        <v>11.1765417646506</v>
      </c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</row>
    <row r="34" customFormat="false" ht="12.95" hidden="false" customHeight="true" outlineLevel="0" collapsed="false">
      <c r="A34" s="183" t="n">
        <f aca="false">A33+1</f>
        <v>20</v>
      </c>
      <c r="B34" s="106" t="n">
        <v>6896.74</v>
      </c>
      <c r="C34" s="107" t="n">
        <v>271710</v>
      </c>
      <c r="D34" s="215" t="n">
        <f aca="false">C34-C33</f>
        <v>-1078</v>
      </c>
      <c r="E34" s="107" t="n">
        <f aca="false">C34-152000</f>
        <v>119710</v>
      </c>
      <c r="F34" s="246" t="n">
        <f aca="false">D34/$D$2</f>
        <v>-543.483740862112</v>
      </c>
      <c r="G34" s="135" t="n">
        <v>131</v>
      </c>
      <c r="H34" s="136" t="n">
        <v>0</v>
      </c>
      <c r="I34" s="135" t="n">
        <f aca="false">G34+H34</f>
        <v>131</v>
      </c>
      <c r="J34" s="136" t="n">
        <f aca="false">IF(L34&gt;0,L34,0)</f>
        <v>16.5162591378876</v>
      </c>
      <c r="K34" s="135" t="n">
        <f aca="false">I34+J34</f>
        <v>147.516259137888</v>
      </c>
      <c r="L34" s="135" t="n">
        <f aca="false">F34-(I34-AK34)</f>
        <v>16.5162591378876</v>
      </c>
      <c r="M34" s="248" t="n">
        <v>224</v>
      </c>
      <c r="N34" s="158" t="n">
        <f aca="false">(1.8299*1.03)/2</f>
        <v>0.9423985</v>
      </c>
      <c r="O34" s="135" t="n">
        <f aca="false">59*1.05</f>
        <v>61.95</v>
      </c>
      <c r="P34" s="158" t="n">
        <v>0</v>
      </c>
      <c r="Q34" s="336" t="n">
        <f aca="false">1706600/325851/1.9835*1.02</f>
        <v>2.6932746917318</v>
      </c>
      <c r="R34" s="131" t="n">
        <v>4.2</v>
      </c>
      <c r="S34" s="131" t="n">
        <f aca="false">((7*1.04)-T34)-4.2</f>
        <v>1.67675504</v>
      </c>
      <c r="T34" s="131" t="n">
        <f aca="false">(1.2729*1.06)*1.04</f>
        <v>1.40324496</v>
      </c>
      <c r="U34" s="355" t="n">
        <v>0</v>
      </c>
      <c r="V34" s="135" t="n">
        <v>142</v>
      </c>
      <c r="W34" s="135" t="n">
        <v>79</v>
      </c>
      <c r="X34" s="135" t="n">
        <f aca="false">M34-N34-O34-P34-Q34-R34-S34-T34-U34+V34+W34-AT34+AR34</f>
        <v>400.644326808268</v>
      </c>
      <c r="Y34" s="135" t="n">
        <f aca="false">X34-AO34</f>
        <v>393.644326808268</v>
      </c>
      <c r="Z34" s="107" t="n">
        <f aca="false">Z33+AP34</f>
        <v>1338.94860090859</v>
      </c>
      <c r="AA34" s="135" t="n">
        <f aca="false">(-AP34)</f>
        <v>278.2376015</v>
      </c>
      <c r="AB34" s="107"/>
      <c r="AC34" s="107" t="n">
        <f aca="false">AC33-(AQ33/1.9835)+AS34</f>
        <v>1488.16034427587</v>
      </c>
      <c r="AD34" s="215" t="n">
        <f aca="false">AD33</f>
        <v>13433.3249306781</v>
      </c>
      <c r="AE34" s="135" t="n">
        <v>176</v>
      </c>
      <c r="AF34" s="248" t="n">
        <v>1.7</v>
      </c>
      <c r="AG34" s="249" t="n">
        <v>1.3</v>
      </c>
      <c r="AH34" s="135" t="n">
        <v>70</v>
      </c>
      <c r="AI34" s="107" t="n">
        <f aca="false">AI33-AH34</f>
        <v>9540.25787748929</v>
      </c>
      <c r="AJ34" s="107"/>
      <c r="AK34" s="134" t="n">
        <f aca="false">N34+O34+P34+Q34+R35+S34+T34+U34+X34+AE34+AH34-AR34</f>
        <v>691</v>
      </c>
      <c r="AL34" s="135" t="n">
        <f aca="false">IF(L34&lt;0,L34*-1,0)</f>
        <v>0</v>
      </c>
      <c r="AM34" s="135" t="n">
        <f aca="false">AK34+AL34</f>
        <v>691</v>
      </c>
      <c r="AN34" s="220"/>
      <c r="AO34" s="215" t="n">
        <v>7</v>
      </c>
      <c r="AP34" s="97" t="n">
        <f aca="false">(I34-AO34)-Q34-R34-Y34-AF34</f>
        <v>-278.2376015</v>
      </c>
      <c r="AQ34" s="158" t="n">
        <f aca="false">58.03*(Z34*1.9835+AC34*1.9835)/E34</f>
        <v>2.71829689665557</v>
      </c>
      <c r="AR34" s="158" t="n">
        <v>28.51</v>
      </c>
      <c r="AS34" s="147" t="n">
        <v>6</v>
      </c>
      <c r="AT34" s="5" t="n">
        <v>0</v>
      </c>
      <c r="AU34" s="4"/>
      <c r="AV34" s="320" t="n">
        <v>0</v>
      </c>
      <c r="AW34" s="221" t="n">
        <v>89</v>
      </c>
      <c r="AX34" s="215" t="n">
        <v>60</v>
      </c>
      <c r="AY34" s="294"/>
      <c r="AZ34" s="250" t="n">
        <f aca="false">SUM(N34,P34:U34)</f>
        <v>10.9156731917318</v>
      </c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</row>
    <row r="35" customFormat="false" ht="12.95" hidden="false" customHeight="true" outlineLevel="0" collapsed="false">
      <c r="A35" s="183" t="n">
        <f aca="false">A34+1</f>
        <v>21</v>
      </c>
      <c r="B35" s="106" t="n">
        <v>6896.42</v>
      </c>
      <c r="C35" s="107" t="n">
        <v>270562</v>
      </c>
      <c r="D35" s="215" t="n">
        <f aca="false">C35-C34</f>
        <v>-1148</v>
      </c>
      <c r="E35" s="107" t="n">
        <f aca="false">C35-152000</f>
        <v>118562</v>
      </c>
      <c r="F35" s="246" t="n">
        <f aca="false">D35/$D$2</f>
        <v>-578.774892866146</v>
      </c>
      <c r="G35" s="135" t="n">
        <v>131</v>
      </c>
      <c r="H35" s="136" t="n">
        <v>0</v>
      </c>
      <c r="I35" s="135" t="n">
        <f aca="false">G35+H35</f>
        <v>131</v>
      </c>
      <c r="J35" s="136" t="n">
        <f aca="false">IF(L35&gt;0,L35,0)</f>
        <v>4.22510713385429</v>
      </c>
      <c r="K35" s="135" t="n">
        <f aca="false">I35+J35</f>
        <v>135.225107133854</v>
      </c>
      <c r="L35" s="135" t="n">
        <f aca="false">F35-(I35-AK35)</f>
        <v>4.22510713385429</v>
      </c>
      <c r="M35" s="248" t="n">
        <v>243</v>
      </c>
      <c r="N35" s="158" t="n">
        <f aca="false">(1.8299*1.03)/2</f>
        <v>0.9423985</v>
      </c>
      <c r="O35" s="135" t="n">
        <f aca="false">67*1.05</f>
        <v>70.35</v>
      </c>
      <c r="P35" s="158" t="n">
        <v>0</v>
      </c>
      <c r="Q35" s="336" t="n">
        <f aca="false">1381900/325851/1.9835*1.02</f>
        <v>2.18084864438308</v>
      </c>
      <c r="R35" s="131" t="n">
        <v>4.2</v>
      </c>
      <c r="S35" s="131" t="n">
        <f aca="false">((7*1.04)-T35)-4.2</f>
        <v>1.67675504</v>
      </c>
      <c r="T35" s="131" t="n">
        <f aca="false">(1.2729*1.06)*1.04</f>
        <v>1.40324496</v>
      </c>
      <c r="U35" s="355" t="n">
        <v>0</v>
      </c>
      <c r="V35" s="135" t="n">
        <v>141</v>
      </c>
      <c r="W35" s="135" t="n">
        <v>77</v>
      </c>
      <c r="X35" s="135" t="n">
        <f aca="false">M35-N35-O35-P35-Q35-R35-S35-T35-U35+V35+W35-AT35+AR35</f>
        <v>408.756752855617</v>
      </c>
      <c r="Y35" s="135" t="n">
        <f aca="false">X35-AO35</f>
        <v>401.756752855617</v>
      </c>
      <c r="Z35" s="107" t="n">
        <f aca="false">Z34+AP35</f>
        <v>1053.11099940859</v>
      </c>
      <c r="AA35" s="135" t="n">
        <f aca="false">(-AP35)</f>
        <v>285.8376015</v>
      </c>
      <c r="AB35" s="107"/>
      <c r="AC35" s="107" t="n">
        <f aca="false">AC34-(AQ34/1.9835)+AS35</f>
        <v>1492.78988957627</v>
      </c>
      <c r="AD35" s="215" t="n">
        <f aca="false">AD34</f>
        <v>13433.3249306781</v>
      </c>
      <c r="AE35" s="135" t="n">
        <v>185</v>
      </c>
      <c r="AF35" s="248" t="n">
        <v>1.7</v>
      </c>
      <c r="AG35" s="249" t="n">
        <v>1.3</v>
      </c>
      <c r="AH35" s="135" t="n">
        <v>68</v>
      </c>
      <c r="AI35" s="107" t="n">
        <f aca="false">AI34-AH35</f>
        <v>9472.25787748929</v>
      </c>
      <c r="AJ35" s="107"/>
      <c r="AK35" s="134" t="n">
        <f aca="false">N35+O35+P35+Q35+R36+S35+T35+U35+X35+AE35+AH35-AR35</f>
        <v>714</v>
      </c>
      <c r="AL35" s="135" t="n">
        <f aca="false">IF(L35&lt;0,L35*-1,0)</f>
        <v>0</v>
      </c>
      <c r="AM35" s="135" t="n">
        <f aca="false">AK35+AL35</f>
        <v>714</v>
      </c>
      <c r="AN35" s="220"/>
      <c r="AO35" s="215" t="n">
        <v>7</v>
      </c>
      <c r="AP35" s="97" t="n">
        <f aca="false">(I35-AO35)-Q35-R35-Y35-AF35</f>
        <v>-285.8376015</v>
      </c>
      <c r="AQ35" s="158" t="n">
        <f aca="false">58.03*(Z35*1.9835+AC35*1.9835)/E35</f>
        <v>2.47161459661514</v>
      </c>
      <c r="AR35" s="158" t="n">
        <v>28.51</v>
      </c>
      <c r="AS35" s="147" t="n">
        <v>6</v>
      </c>
      <c r="AT35" s="5" t="n">
        <v>0</v>
      </c>
      <c r="AU35" s="4"/>
      <c r="AV35" s="320" t="n">
        <v>0.04</v>
      </c>
      <c r="AW35" s="215" t="n">
        <v>90</v>
      </c>
      <c r="AX35" s="215" t="n">
        <v>61</v>
      </c>
      <c r="AY35" s="294"/>
      <c r="AZ35" s="250" t="n">
        <f aca="false">SUM(N35,P35:U35)</f>
        <v>10.4032471443831</v>
      </c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</row>
    <row r="36" customFormat="false" ht="12.95" hidden="false" customHeight="true" outlineLevel="0" collapsed="false">
      <c r="A36" s="183" t="n">
        <f aca="false">A35+1</f>
        <v>22</v>
      </c>
      <c r="B36" s="106" t="n">
        <v>6896.16</v>
      </c>
      <c r="C36" s="107" t="n">
        <v>269629</v>
      </c>
      <c r="D36" s="215" t="n">
        <f aca="false">C36-C35</f>
        <v>-933</v>
      </c>
      <c r="E36" s="107" t="n">
        <f aca="false">C36-152000</f>
        <v>117629</v>
      </c>
      <c r="F36" s="246" t="n">
        <f aca="false">D36/$D$2</f>
        <v>-470.380640282329</v>
      </c>
      <c r="G36" s="135" t="n">
        <v>157</v>
      </c>
      <c r="H36" s="136" t="n">
        <v>0</v>
      </c>
      <c r="I36" s="135" t="n">
        <f aca="false">G36+H36</f>
        <v>157</v>
      </c>
      <c r="J36" s="136" t="n">
        <f aca="false">IF(L36&gt;0,L36,0)</f>
        <v>2.61935971767082</v>
      </c>
      <c r="K36" s="135" t="n">
        <f aca="false">I36+J36</f>
        <v>159.619359717671</v>
      </c>
      <c r="L36" s="135" t="n">
        <f aca="false">F36-(I36-AK36)</f>
        <v>2.61935971767082</v>
      </c>
      <c r="M36" s="248" t="n">
        <v>202</v>
      </c>
      <c r="N36" s="158" t="n">
        <f aca="false">(1.8299*1.03)/2</f>
        <v>0.9423985</v>
      </c>
      <c r="O36" s="135" t="n">
        <f aca="false">51*1.05</f>
        <v>53.55</v>
      </c>
      <c r="P36" s="158" t="n">
        <v>0</v>
      </c>
      <c r="Q36" s="336" t="n">
        <f aca="false">1928400/325851/1.9835*1.02</f>
        <v>3.04330886882433</v>
      </c>
      <c r="R36" s="131" t="n">
        <v>4.2</v>
      </c>
      <c r="S36" s="131" t="n">
        <f aca="false">((7*1.04)-T36)-4.2</f>
        <v>1.67675504</v>
      </c>
      <c r="T36" s="131" t="n">
        <f aca="false">(1.2729*1.06)*1.04</f>
        <v>1.40324496</v>
      </c>
      <c r="U36" s="355" t="n">
        <v>0</v>
      </c>
      <c r="V36" s="135" t="n">
        <v>142</v>
      </c>
      <c r="W36" s="135" t="n">
        <v>78</v>
      </c>
      <c r="X36" s="135" t="n">
        <f aca="false">M36-N36-O36-P36-Q36-R36-S36-T36-U36+V36+W36-AT36+AR36</f>
        <v>385.694292631176</v>
      </c>
      <c r="Y36" s="135" t="n">
        <f aca="false">X36-AO36</f>
        <v>378.694292631176</v>
      </c>
      <c r="Z36" s="107" t="n">
        <f aca="false">Z35+AP36</f>
        <v>815.473397908587</v>
      </c>
      <c r="AA36" s="135" t="n">
        <f aca="false">(-AP36)</f>
        <v>237.6376015</v>
      </c>
      <c r="AB36" s="107"/>
      <c r="AC36" s="107" t="n">
        <f aca="false">AC35-(AQ35/1.9835)+AS36</f>
        <v>1497.54380205592</v>
      </c>
      <c r="AD36" s="215" t="n">
        <f aca="false">AD35</f>
        <v>13433.3249306781</v>
      </c>
      <c r="AE36" s="135" t="n">
        <v>138</v>
      </c>
      <c r="AF36" s="248" t="n">
        <v>1.7</v>
      </c>
      <c r="AG36" s="249" t="n">
        <v>1.3</v>
      </c>
      <c r="AH36" s="135" t="n">
        <v>70</v>
      </c>
      <c r="AI36" s="107" t="n">
        <f aca="false">AI35-AH36</f>
        <v>9402.25787748929</v>
      </c>
      <c r="AJ36" s="107"/>
      <c r="AK36" s="134" t="n">
        <f aca="false">N36+O36+P36+Q36+R37+S36+T36+U36+X36+AE36+AH36-AR36</f>
        <v>630</v>
      </c>
      <c r="AL36" s="135" t="n">
        <f aca="false">IF(L36&lt;0,L36*-1,0)</f>
        <v>0</v>
      </c>
      <c r="AM36" s="135" t="n">
        <f aca="false">AK36+AL36</f>
        <v>630</v>
      </c>
      <c r="AN36" s="220"/>
      <c r="AO36" s="215" t="n">
        <v>7</v>
      </c>
      <c r="AP36" s="97" t="n">
        <f aca="false">(I36-AO36)-Q36-R36-Y36-AF36</f>
        <v>-237.6376015</v>
      </c>
      <c r="AQ36" s="158" t="n">
        <f aca="false">58.03*(Z36*1.9835+AC36*1.9835)/E36</f>
        <v>2.26333704974114</v>
      </c>
      <c r="AR36" s="158" t="n">
        <v>28.51</v>
      </c>
      <c r="AS36" s="147" t="n">
        <v>6</v>
      </c>
      <c r="AT36" s="5" t="n">
        <v>0</v>
      </c>
      <c r="AU36" s="4"/>
      <c r="AV36" s="320" t="n">
        <v>0</v>
      </c>
      <c r="AW36" s="215" t="n">
        <v>87</v>
      </c>
      <c r="AX36" s="215" t="n">
        <v>59</v>
      </c>
      <c r="AY36" s="294"/>
      <c r="AZ36" s="250" t="n">
        <f aca="false">SUM(N36,P36:U36)</f>
        <v>11.2657073688243</v>
      </c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</row>
    <row r="37" customFormat="false" ht="12.95" hidden="false" customHeight="true" outlineLevel="0" collapsed="false">
      <c r="A37" s="183" t="n">
        <f aca="false">A36+1</f>
        <v>23</v>
      </c>
      <c r="B37" s="106" t="n">
        <v>6895.84</v>
      </c>
      <c r="C37" s="107" t="n">
        <v>268485</v>
      </c>
      <c r="D37" s="215" t="n">
        <f aca="false">C37-C36</f>
        <v>-1144</v>
      </c>
      <c r="E37" s="107" t="n">
        <f aca="false">C37-152000</f>
        <v>116485</v>
      </c>
      <c r="F37" s="246" t="n">
        <f aca="false">D37/$D$2</f>
        <v>-576.758255608772</v>
      </c>
      <c r="G37" s="135" t="n">
        <v>157</v>
      </c>
      <c r="H37" s="136" t="n">
        <v>0</v>
      </c>
      <c r="I37" s="135" t="n">
        <f aca="false">G37+H37</f>
        <v>157</v>
      </c>
      <c r="J37" s="136" t="n">
        <f aca="false">IF(L37&gt;0,L37,0)</f>
        <v>0</v>
      </c>
      <c r="K37" s="135" t="n">
        <f aca="false">I37+J37</f>
        <v>157</v>
      </c>
      <c r="L37" s="135" t="n">
        <f aca="false">F37-(I37-AK37)</f>
        <v>-35.7582556087724</v>
      </c>
      <c r="M37" s="248" t="n">
        <v>226</v>
      </c>
      <c r="N37" s="158" t="n">
        <f aca="false">(1.8299*1.03)/2</f>
        <v>0.9423985</v>
      </c>
      <c r="O37" s="135" t="n">
        <f aca="false">64*1.05</f>
        <v>67.2</v>
      </c>
      <c r="P37" s="158" t="n">
        <v>0</v>
      </c>
      <c r="Q37" s="336" t="n">
        <f aca="false">2207900/325851/1.9835*1.02</f>
        <v>3.48440243283408</v>
      </c>
      <c r="R37" s="131" t="n">
        <v>4.2</v>
      </c>
      <c r="S37" s="131" t="n">
        <f aca="false">((7*1.04)-T37)-4.2</f>
        <v>1.67675504</v>
      </c>
      <c r="T37" s="131" t="n">
        <f aca="false">(1.2729*1.06)*1.04</f>
        <v>1.40324496</v>
      </c>
      <c r="U37" s="355" t="n">
        <v>0</v>
      </c>
      <c r="V37" s="135" t="n">
        <v>145</v>
      </c>
      <c r="W37" s="135" t="n">
        <v>80</v>
      </c>
      <c r="X37" s="135" t="n">
        <f aca="false">M37-N37-O37-P37-Q37-R37-S37-T37-U37+V37+W37-AT37+AR37</f>
        <v>400.603199067166</v>
      </c>
      <c r="Y37" s="135" t="n">
        <f aca="false">X37-AO37</f>
        <v>393.603199067166</v>
      </c>
      <c r="Z37" s="107" t="n">
        <f aca="false">Z36+AP37</f>
        <v>562.485796408587</v>
      </c>
      <c r="AA37" s="135" t="n">
        <f aca="false">(-AP37)</f>
        <v>252.9876015</v>
      </c>
      <c r="AB37" s="107"/>
      <c r="AC37" s="107" t="n">
        <f aca="false">AC36-(AQ36/1.9835)+AS37</f>
        <v>1502.40271960079</v>
      </c>
      <c r="AD37" s="215" t="n">
        <f aca="false">AD36</f>
        <v>13433.3249306781</v>
      </c>
      <c r="AE37" s="135" t="n">
        <v>177</v>
      </c>
      <c r="AF37" s="248" t="n">
        <v>1.7</v>
      </c>
      <c r="AG37" s="249" t="n">
        <v>1.3</v>
      </c>
      <c r="AH37" s="135" t="n">
        <v>70</v>
      </c>
      <c r="AI37" s="107" t="n">
        <f aca="false">AI36-AH37</f>
        <v>9332.25787748929</v>
      </c>
      <c r="AJ37" s="107"/>
      <c r="AK37" s="134" t="n">
        <f aca="false">N37+O37+P37+Q37+R38+S37+T37+U37+X37+AE37+AH37-AR37</f>
        <v>698</v>
      </c>
      <c r="AL37" s="135" t="n">
        <f aca="false">IF(L37&lt;0,L37*-1,0)</f>
        <v>35.7582556087724</v>
      </c>
      <c r="AM37" s="135" t="n">
        <f aca="false">AK37+AL37</f>
        <v>733.758255608772</v>
      </c>
      <c r="AN37" s="220"/>
      <c r="AO37" s="215" t="n">
        <v>7</v>
      </c>
      <c r="AP37" s="97" t="n">
        <f aca="false">(I37-AO37)-Q37-R37-Y37-AF37</f>
        <v>-252.9876015</v>
      </c>
      <c r="AQ37" s="158" t="n">
        <f aca="false">58.03*(Z37*1.9835+AC37*1.9835)/E37</f>
        <v>2.04038151468783</v>
      </c>
      <c r="AR37" s="158" t="n">
        <v>28.51</v>
      </c>
      <c r="AS37" s="147" t="n">
        <v>6</v>
      </c>
      <c r="AT37" s="5" t="n">
        <v>0</v>
      </c>
      <c r="AU37" s="4"/>
      <c r="AV37" s="320" t="n">
        <v>0.01</v>
      </c>
      <c r="AW37" s="215" t="n">
        <v>93</v>
      </c>
      <c r="AX37" s="221" t="n">
        <v>59</v>
      </c>
      <c r="AY37" s="294"/>
      <c r="AZ37" s="250" t="n">
        <f aca="false">SUM(N37,P37:U37)</f>
        <v>11.7068009328341</v>
      </c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</row>
    <row r="38" customFormat="false" ht="12.95" hidden="false" customHeight="true" outlineLevel="0" collapsed="false">
      <c r="A38" s="183" t="n">
        <f aca="false">A37+1</f>
        <v>24</v>
      </c>
      <c r="B38" s="106" t="n">
        <v>6895.56</v>
      </c>
      <c r="C38" s="107" t="n">
        <v>267489</v>
      </c>
      <c r="D38" s="215" t="n">
        <f aca="false">C38-C37</f>
        <v>-996</v>
      </c>
      <c r="E38" s="107" t="n">
        <f aca="false">C38-152000</f>
        <v>115489</v>
      </c>
      <c r="F38" s="246" t="n">
        <f aca="false">D38/$D$2</f>
        <v>-502.142677085959</v>
      </c>
      <c r="G38" s="135" t="n">
        <v>188</v>
      </c>
      <c r="H38" s="136" t="n">
        <v>0</v>
      </c>
      <c r="I38" s="135" t="n">
        <f aca="false">G38+H38</f>
        <v>188</v>
      </c>
      <c r="J38" s="136" t="n">
        <f aca="false">IF(L38&gt;0,L38,0)</f>
        <v>0</v>
      </c>
      <c r="K38" s="135" t="n">
        <f aca="false">I38+J38</f>
        <v>188</v>
      </c>
      <c r="L38" s="135" t="n">
        <f aca="false">F38-(I38-AK38)</f>
        <v>-16.1426770859592</v>
      </c>
      <c r="M38" s="248" t="n">
        <v>192</v>
      </c>
      <c r="N38" s="158" t="n">
        <f aca="false">(1.8299*1.03)/2</f>
        <v>0.9423985</v>
      </c>
      <c r="O38" s="135" t="n">
        <f aca="false">59*1.05</f>
        <v>61.95</v>
      </c>
      <c r="P38" s="158" t="n">
        <v>0</v>
      </c>
      <c r="Q38" s="336" t="n">
        <f aca="false">1743000/325851/1.9835*1.02</f>
        <v>2.75071943495167</v>
      </c>
      <c r="R38" s="131" t="n">
        <v>4.2</v>
      </c>
      <c r="S38" s="131" t="n">
        <f aca="false">((7*1.04)-T38)-4.2</f>
        <v>1.67675504</v>
      </c>
      <c r="T38" s="131" t="n">
        <f aca="false">(1.2729*1.06)*1.04</f>
        <v>1.40324496</v>
      </c>
      <c r="U38" s="355" t="n">
        <v>0</v>
      </c>
      <c r="V38" s="135" t="n">
        <v>146</v>
      </c>
      <c r="W38" s="135" t="n">
        <v>80</v>
      </c>
      <c r="X38" s="135" t="n">
        <f aca="false">M38-N38-O38-P38-Q38-R38-S38-T38-U38+V38+W38-AT38+AR38</f>
        <v>373.586882065048</v>
      </c>
      <c r="Y38" s="135" t="n">
        <f aca="false">X38-AO38</f>
        <v>366.586882065048</v>
      </c>
      <c r="Z38" s="107" t="n">
        <f aca="false">Z37+AP38</f>
        <v>368.248194908587</v>
      </c>
      <c r="AA38" s="135" t="n">
        <f aca="false">(-AP38)</f>
        <v>194.2376015</v>
      </c>
      <c r="AB38" s="107"/>
      <c r="AC38" s="107" t="n">
        <f aca="false">AC37-(AQ37/1.9835)+AS38</f>
        <v>1507.37404225535</v>
      </c>
      <c r="AD38" s="215" t="n">
        <f aca="false">AD37</f>
        <v>13433.3249306781</v>
      </c>
      <c r="AE38" s="135" t="n">
        <v>186</v>
      </c>
      <c r="AF38" s="248" t="n">
        <v>1.7</v>
      </c>
      <c r="AG38" s="249" t="n">
        <v>1.3</v>
      </c>
      <c r="AH38" s="135" t="n">
        <v>70</v>
      </c>
      <c r="AI38" s="107" t="n">
        <f aca="false">AI37-AH38</f>
        <v>9262.25787748929</v>
      </c>
      <c r="AJ38" s="107"/>
      <c r="AK38" s="134" t="n">
        <f aca="false">N38+O38+P38+Q38+R39+S38+T38+U38+X38+AE38+AH38-AR38</f>
        <v>674</v>
      </c>
      <c r="AL38" s="135" t="n">
        <f aca="false">IF(L38&lt;0,L38*-1,0)</f>
        <v>16.1426770859592</v>
      </c>
      <c r="AM38" s="135" t="n">
        <f aca="false">AK38+AL38</f>
        <v>690.142677085959</v>
      </c>
      <c r="AN38" s="220"/>
      <c r="AO38" s="215" t="n">
        <v>7</v>
      </c>
      <c r="AP38" s="97" t="n">
        <f aca="false">(I38-AO38)-Q38-R38-Y38-AF38</f>
        <v>-194.2376015</v>
      </c>
      <c r="AQ38" s="158" t="n">
        <f aca="false">58.03*(Z38*1.9835+AC38*1.9835)/E38</f>
        <v>1.86934528770076</v>
      </c>
      <c r="AR38" s="158" t="n">
        <v>28.51</v>
      </c>
      <c r="AS38" s="147" t="n">
        <v>6</v>
      </c>
      <c r="AT38" s="5" t="n">
        <v>0</v>
      </c>
      <c r="AU38" s="4"/>
      <c r="AV38" s="320" t="n">
        <v>0</v>
      </c>
      <c r="AW38" s="215" t="n">
        <v>85</v>
      </c>
      <c r="AX38" s="221" t="n">
        <v>57</v>
      </c>
      <c r="AY38" s="294"/>
      <c r="AZ38" s="250" t="n">
        <f aca="false">SUM(N38,P38:U38)</f>
        <v>10.9731179349517</v>
      </c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</row>
    <row r="39" customFormat="false" ht="12.95" hidden="false" customHeight="true" outlineLevel="0" collapsed="false">
      <c r="A39" s="183" t="n">
        <f aca="false">A38+1</f>
        <v>25</v>
      </c>
      <c r="B39" s="106" t="n">
        <v>6895.3</v>
      </c>
      <c r="C39" s="107" t="n">
        <v>266563</v>
      </c>
      <c r="D39" s="215" t="n">
        <f aca="false">C39-C38</f>
        <v>-926</v>
      </c>
      <c r="E39" s="107" t="n">
        <f aca="false">C39-152000</f>
        <v>114563</v>
      </c>
      <c r="F39" s="246" t="n">
        <f aca="false">D39/$D$2</f>
        <v>-466.851525081926</v>
      </c>
      <c r="G39" s="135" t="n">
        <v>263</v>
      </c>
      <c r="H39" s="136" t="n">
        <v>0</v>
      </c>
      <c r="I39" s="135" t="n">
        <f aca="false">G39+H39</f>
        <v>263</v>
      </c>
      <c r="J39" s="136" t="n">
        <f aca="false">IF(L39&gt;0,L39,0)</f>
        <v>0</v>
      </c>
      <c r="K39" s="135" t="n">
        <f aca="false">I39+J39</f>
        <v>263</v>
      </c>
      <c r="L39" s="135" t="n">
        <f aca="false">F39-(I39-AK39)</f>
        <v>-70.8515250819259</v>
      </c>
      <c r="M39" s="248" t="n">
        <v>192</v>
      </c>
      <c r="N39" s="158" t="n">
        <f aca="false">(1.8299*1.03)/2</f>
        <v>0.9423985</v>
      </c>
      <c r="O39" s="135" t="n">
        <f aca="false">56*1.05</f>
        <v>58.8</v>
      </c>
      <c r="P39" s="158" t="n">
        <v>0</v>
      </c>
      <c r="Q39" s="336" t="n">
        <f aca="false">1731700/325851/1.9835*1.02</f>
        <v>2.73288631411693</v>
      </c>
      <c r="R39" s="131" t="n">
        <v>4.2</v>
      </c>
      <c r="S39" s="131" t="n">
        <f aca="false">((7*1.04)-T39)-4.2</f>
        <v>1.67675504</v>
      </c>
      <c r="T39" s="131" t="n">
        <f aca="false">(1.2729*1.06)*1.04</f>
        <v>1.40324496</v>
      </c>
      <c r="U39" s="355" t="n">
        <v>0</v>
      </c>
      <c r="V39" s="135" t="n">
        <v>147</v>
      </c>
      <c r="W39" s="135" t="n">
        <v>79</v>
      </c>
      <c r="X39" s="135" t="n">
        <f aca="false">M39-N39-O39-P39-Q39-R39-S39-T39-U39+V39+W39-AT39+AR39</f>
        <v>376.754715185883</v>
      </c>
      <c r="Y39" s="135" t="n">
        <f aca="false">X39-AO39</f>
        <v>369.754715185883</v>
      </c>
      <c r="Z39" s="107" t="n">
        <f aca="false">Z38+AP39</f>
        <v>245.860593408587</v>
      </c>
      <c r="AA39" s="135" t="n">
        <f aca="false">(-AP39)</f>
        <v>122.3876015</v>
      </c>
      <c r="AB39" s="107"/>
      <c r="AC39" s="107" t="n">
        <f aca="false">AC38-(AQ38/1.9835)+AS39</f>
        <v>1512.43159441683</v>
      </c>
      <c r="AD39" s="215" t="n">
        <f aca="false">AD38</f>
        <v>13433.3249306781</v>
      </c>
      <c r="AE39" s="135" t="n">
        <v>171</v>
      </c>
      <c r="AF39" s="248" t="n">
        <v>1.7</v>
      </c>
      <c r="AG39" s="249" t="n">
        <v>1.3</v>
      </c>
      <c r="AH39" s="135" t="n">
        <v>70</v>
      </c>
      <c r="AI39" s="107" t="n">
        <f aca="false">AI38-AH39</f>
        <v>9192.25787748929</v>
      </c>
      <c r="AJ39" s="107"/>
      <c r="AK39" s="134" t="n">
        <f aca="false">N39+O39+P39+Q39+R40+S39+T39+U39+X39+AE39+AH39-AR39</f>
        <v>659</v>
      </c>
      <c r="AL39" s="135" t="n">
        <f aca="false">IF(L39&lt;0,L39*-1,0)</f>
        <v>70.8515250819259</v>
      </c>
      <c r="AM39" s="135" t="n">
        <f aca="false">AK39+AL39</f>
        <v>729.851525081926</v>
      </c>
      <c r="AN39" s="220"/>
      <c r="AO39" s="215" t="n">
        <v>7</v>
      </c>
      <c r="AP39" s="97" t="n">
        <f aca="false">(I39-AO39)-Q39-R39-Y39-AF39</f>
        <v>-122.3876015</v>
      </c>
      <c r="AQ39" s="158" t="n">
        <f aca="false">58.03*(Z39*1.9835+AC39*1.9835)/E39</f>
        <v>1.76657241291373</v>
      </c>
      <c r="AR39" s="158" t="n">
        <v>28.51</v>
      </c>
      <c r="AS39" s="147" t="n">
        <v>6</v>
      </c>
      <c r="AT39" s="5" t="n">
        <v>0</v>
      </c>
      <c r="AU39" s="4"/>
      <c r="AV39" s="320" t="n">
        <v>0</v>
      </c>
      <c r="AW39" s="215" t="n">
        <v>87</v>
      </c>
      <c r="AX39" s="221" t="n">
        <v>53</v>
      </c>
      <c r="AY39" s="294"/>
      <c r="AZ39" s="250" t="n">
        <f aca="false">SUM(N39,P39:U39)</f>
        <v>10.9552848141169</v>
      </c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</row>
    <row r="40" customFormat="false" ht="12.95" hidden="false" customHeight="true" outlineLevel="0" collapsed="false">
      <c r="A40" s="183" t="n">
        <f aca="false">A39+1</f>
        <v>26</v>
      </c>
      <c r="B40" s="106" t="n">
        <v>6895.02</v>
      </c>
      <c r="C40" s="107" t="n">
        <v>265567</v>
      </c>
      <c r="D40" s="215" t="n">
        <f aca="false">C40-C39</f>
        <v>-996</v>
      </c>
      <c r="E40" s="107" t="n">
        <f aca="false">C40-152000</f>
        <v>113567</v>
      </c>
      <c r="F40" s="246" t="n">
        <f aca="false">D40/$D$2</f>
        <v>-502.142677085959</v>
      </c>
      <c r="G40" s="135" t="n">
        <v>206</v>
      </c>
      <c r="H40" s="136" t="n">
        <v>0</v>
      </c>
      <c r="I40" s="135" t="n">
        <f aca="false">G40+H40</f>
        <v>206</v>
      </c>
      <c r="J40" s="136" t="n">
        <f aca="false">IF(L40&gt;0,L40,0)</f>
        <v>0</v>
      </c>
      <c r="K40" s="135" t="n">
        <f aca="false">I40+J40</f>
        <v>206</v>
      </c>
      <c r="L40" s="135" t="n">
        <f aca="false">F40-(I40-AK40)</f>
        <v>-24.1426770859592</v>
      </c>
      <c r="M40" s="248" t="n">
        <v>197</v>
      </c>
      <c r="N40" s="158" t="n">
        <f aca="false">(1.8299*1.03)/2</f>
        <v>0.9423985</v>
      </c>
      <c r="O40" s="135" t="n">
        <f aca="false">66*1.05</f>
        <v>69.3</v>
      </c>
      <c r="P40" s="158" t="n">
        <v>0</v>
      </c>
      <c r="Q40" s="336" t="n">
        <f aca="false">2165800/325851/1.9835*1.02</f>
        <v>3.41796222158252</v>
      </c>
      <c r="R40" s="131" t="n">
        <v>4.2</v>
      </c>
      <c r="S40" s="131" t="n">
        <f aca="false">((6.5*1.04)-T40)-4.2</f>
        <v>1.15675504</v>
      </c>
      <c r="T40" s="131" t="n">
        <f aca="false">(1.2729*1.06)*1.04</f>
        <v>1.40324496</v>
      </c>
      <c r="U40" s="355" t="n">
        <v>0</v>
      </c>
      <c r="V40" s="135" t="n">
        <v>146</v>
      </c>
      <c r="W40" s="135" t="n">
        <v>79</v>
      </c>
      <c r="X40" s="135" t="n">
        <f aca="false">M40-N40-O40-P40-Q40-R40-S40-T40-U40+V40+W40-AT40+AR40</f>
        <v>370.089639278418</v>
      </c>
      <c r="Y40" s="135" t="n">
        <f aca="false">X40-AO40</f>
        <v>363.089639278417</v>
      </c>
      <c r="Z40" s="107" t="n">
        <f aca="false">Z39+AP40</f>
        <v>72.4529919085869</v>
      </c>
      <c r="AA40" s="135" t="n">
        <f aca="false">(-AP40)</f>
        <v>173.4076015</v>
      </c>
      <c r="AB40" s="107"/>
      <c r="AC40" s="107" t="n">
        <f aca="false">AC39-(AQ39/1.9835)+AS40</f>
        <v>1517.5409604804</v>
      </c>
      <c r="AD40" s="215" t="n">
        <f aca="false">AD39</f>
        <v>13433.3249306781</v>
      </c>
      <c r="AE40" s="135" t="n">
        <v>192</v>
      </c>
      <c r="AF40" s="248" t="n">
        <v>1.7</v>
      </c>
      <c r="AG40" s="249" t="n">
        <v>1.3</v>
      </c>
      <c r="AH40" s="135" t="n">
        <v>70</v>
      </c>
      <c r="AI40" s="107" t="n">
        <f aca="false">AI39-AH40</f>
        <v>9122.25787748929</v>
      </c>
      <c r="AJ40" s="107"/>
      <c r="AK40" s="134" t="n">
        <f aca="false">N40+O40+P40+Q40+R41+S40+T40+U40+X40+AE40+AH40-AR40</f>
        <v>684</v>
      </c>
      <c r="AL40" s="135" t="n">
        <f aca="false">IF(L40&lt;0,L40*-1,0)</f>
        <v>24.1426770859592</v>
      </c>
      <c r="AM40" s="135" t="n">
        <f aca="false">AK40+AL40</f>
        <v>708.142677085959</v>
      </c>
      <c r="AN40" s="220"/>
      <c r="AO40" s="215" t="n">
        <v>7</v>
      </c>
      <c r="AP40" s="97" t="n">
        <f aca="false">(I40-AO40)-Q40-R40-Y40-AF40</f>
        <v>-173.4076015</v>
      </c>
      <c r="AQ40" s="158" t="n">
        <f aca="false">58.03*(Z40*1.9835+AC40*1.9835)/E40</f>
        <v>1.61149177890429</v>
      </c>
      <c r="AR40" s="158" t="n">
        <v>28.51</v>
      </c>
      <c r="AS40" s="147" t="n">
        <v>6</v>
      </c>
      <c r="AT40" s="5" t="n">
        <v>0</v>
      </c>
      <c r="AU40" s="4"/>
      <c r="AV40" s="320" t="n">
        <v>0</v>
      </c>
      <c r="AW40" s="215" t="n">
        <v>94</v>
      </c>
      <c r="AX40" s="215" t="n">
        <v>59</v>
      </c>
      <c r="AY40" s="294"/>
      <c r="AZ40" s="250" t="n">
        <f aca="false">SUM(N40,P40:U40)</f>
        <v>11.1203607215825</v>
      </c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</row>
    <row r="41" customFormat="false" ht="12.95" hidden="false" customHeight="true" outlineLevel="0" collapsed="false">
      <c r="A41" s="183" t="n">
        <f aca="false">A40+1</f>
        <v>27</v>
      </c>
      <c r="B41" s="106" t="n">
        <v>6894.74</v>
      </c>
      <c r="C41" s="107" t="n">
        <v>264578</v>
      </c>
      <c r="D41" s="215" t="n">
        <f aca="false">C41-C40</f>
        <v>-989</v>
      </c>
      <c r="E41" s="107" t="n">
        <f aca="false">C41-152000</f>
        <v>112578</v>
      </c>
      <c r="F41" s="246" t="n">
        <f aca="false">D41/$D$2</f>
        <v>-498.613561885556</v>
      </c>
      <c r="G41" s="135" t="n">
        <v>183</v>
      </c>
      <c r="H41" s="136" t="n">
        <v>0</v>
      </c>
      <c r="I41" s="135" t="n">
        <f aca="false">G41+H41</f>
        <v>183</v>
      </c>
      <c r="J41" s="136" t="n">
        <f aca="false">IF(L41&gt;0,L41,0)</f>
        <v>0</v>
      </c>
      <c r="K41" s="135" t="n">
        <f aca="false">I41+J41</f>
        <v>183</v>
      </c>
      <c r="L41" s="135" t="n">
        <f aca="false">F41-(I41-AK41)</f>
        <v>-7.61356188555584</v>
      </c>
      <c r="M41" s="248" t="n">
        <v>231</v>
      </c>
      <c r="N41" s="158" t="n">
        <f aca="false">(1.8299*1.03)/2</f>
        <v>0.9423985</v>
      </c>
      <c r="O41" s="135" t="n">
        <f aca="false">76*1.05</f>
        <v>79.8</v>
      </c>
      <c r="P41" s="158" t="n">
        <v>0</v>
      </c>
      <c r="Q41" s="336" t="n">
        <f aca="false">1785600/325851/1.9835*1.02</f>
        <v>2.81794872234636</v>
      </c>
      <c r="R41" s="131" t="n">
        <v>4.2</v>
      </c>
      <c r="S41" s="131" t="n">
        <f aca="false">((6.5*1.04)-T41)-4.2</f>
        <v>1.12864384</v>
      </c>
      <c r="T41" s="131" t="n">
        <f aca="false">(1.2984*1.06)*1.04</f>
        <v>1.43135616</v>
      </c>
      <c r="U41" s="355" t="n">
        <v>0</v>
      </c>
      <c r="V41" s="135" t="n">
        <v>150</v>
      </c>
      <c r="W41" s="135" t="n">
        <v>80</v>
      </c>
      <c r="X41" s="135" t="n">
        <f aca="false">M41-N41-O41-P41-Q41-R41-S41-T41-U41+V41+W41-AT41+AR41</f>
        <v>399.189652777654</v>
      </c>
      <c r="Y41" s="135" t="n">
        <f aca="false">X41-AO41</f>
        <v>392.189652777654</v>
      </c>
      <c r="Z41" s="107" t="n">
        <v>0</v>
      </c>
      <c r="AA41" s="135" t="n">
        <v>72.5</v>
      </c>
      <c r="AB41" s="107"/>
      <c r="AC41" s="107" t="n">
        <f aca="false">AC40-(AQ40/1.9835)+AS41-152.4</f>
        <v>1370.32851189008</v>
      </c>
      <c r="AD41" s="215" t="n">
        <f aca="false">AD40</f>
        <v>13433.3249306781</v>
      </c>
      <c r="AE41" s="135" t="n">
        <v>143</v>
      </c>
      <c r="AF41" s="248" t="n">
        <v>1.7</v>
      </c>
      <c r="AG41" s="249" t="n">
        <v>1.3</v>
      </c>
      <c r="AH41" s="135" t="n">
        <v>70</v>
      </c>
      <c r="AI41" s="107" t="n">
        <f aca="false">AI40-AH41</f>
        <v>9052.25787748929</v>
      </c>
      <c r="AJ41" s="107"/>
      <c r="AK41" s="134" t="n">
        <f aca="false">N41+O41+P41+Q41+R42+S41+T41+U41+X41+AE41+AH41-AR41</f>
        <v>674</v>
      </c>
      <c r="AL41" s="135" t="n">
        <f aca="false">IF(L41&lt;0,L41*-1,0)</f>
        <v>7.61356188555584</v>
      </c>
      <c r="AM41" s="135" t="n">
        <f aca="false">AK41+AL41</f>
        <v>681.613561885556</v>
      </c>
      <c r="AN41" s="220"/>
      <c r="AO41" s="215" t="n">
        <v>7</v>
      </c>
      <c r="AP41" s="97" t="n">
        <f aca="false">(I41-AO41)-Q41-R41-Y41-AF41</f>
        <v>-224.9076015</v>
      </c>
      <c r="AQ41" s="158" t="n">
        <f aca="false">58.03*(Z41*1.9835+AC41*1.9835)/E41</f>
        <v>1.40105743921077</v>
      </c>
      <c r="AR41" s="158" t="n">
        <v>28.51</v>
      </c>
      <c r="AS41" s="147" t="n">
        <v>6</v>
      </c>
      <c r="AT41" s="5" t="n">
        <v>0</v>
      </c>
      <c r="AU41" s="4"/>
      <c r="AV41" s="320" t="n">
        <v>0</v>
      </c>
      <c r="AW41" s="215" t="n">
        <v>89</v>
      </c>
      <c r="AX41" s="215" t="n">
        <v>60</v>
      </c>
      <c r="AY41" s="294"/>
      <c r="AZ41" s="250" t="n">
        <f aca="false">SUM(N41,P41:U41)</f>
        <v>10.5203472223464</v>
      </c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</row>
    <row r="42" customFormat="false" ht="12.95" hidden="false" customHeight="true" outlineLevel="0" collapsed="false">
      <c r="A42" s="183" t="n">
        <f aca="false">A41+1</f>
        <v>28</v>
      </c>
      <c r="B42" s="106" t="n">
        <v>6894.51</v>
      </c>
      <c r="C42" s="107" t="n">
        <v>263767</v>
      </c>
      <c r="D42" s="215" t="n">
        <f aca="false">C42-C41</f>
        <v>-811</v>
      </c>
      <c r="E42" s="107" t="n">
        <f aca="false">C42-152000</f>
        <v>111767</v>
      </c>
      <c r="F42" s="246" t="n">
        <f aca="false">D42/$D$2</f>
        <v>-408.873203932443</v>
      </c>
      <c r="G42" s="135" t="n">
        <v>190</v>
      </c>
      <c r="H42" s="136" t="n">
        <v>0</v>
      </c>
      <c r="I42" s="135" t="n">
        <f aca="false">G42+H42</f>
        <v>190</v>
      </c>
      <c r="J42" s="136" t="n">
        <f aca="false">IF(L42&gt;0,L42,0)</f>
        <v>47.1267960675573</v>
      </c>
      <c r="K42" s="135" t="n">
        <f aca="false">I42+J42</f>
        <v>237.126796067557</v>
      </c>
      <c r="L42" s="135" t="n">
        <f aca="false">F42-(I42-AK42)</f>
        <v>47.1267960675573</v>
      </c>
      <c r="M42" s="248" t="n">
        <v>213</v>
      </c>
      <c r="N42" s="158" t="n">
        <f aca="false">(1.8299*1.03)/2</f>
        <v>0.9423985</v>
      </c>
      <c r="O42" s="135" t="n">
        <f aca="false">83*1.05</f>
        <v>87.15</v>
      </c>
      <c r="P42" s="158" t="n">
        <v>0</v>
      </c>
      <c r="Q42" s="336" t="n">
        <f aca="false">1651500/325851/1.9835*1.02</f>
        <v>2.60631850075886</v>
      </c>
      <c r="R42" s="131" t="n">
        <v>4.2</v>
      </c>
      <c r="S42" s="131" t="n">
        <f aca="false">((6.5*1.04)-T42)-4.2</f>
        <v>1.12864384</v>
      </c>
      <c r="T42" s="131" t="n">
        <f aca="false">(1.2984*1.06)*1.04</f>
        <v>1.43135616</v>
      </c>
      <c r="U42" s="355" t="n">
        <v>0</v>
      </c>
      <c r="V42" s="135" t="n">
        <v>149</v>
      </c>
      <c r="W42" s="135" t="n">
        <v>79</v>
      </c>
      <c r="X42" s="135" t="n">
        <f aca="false">M42-N42-O42-P42-Q42-R42-S42-T42-U42+V42+W42-AT42+AR42</f>
        <v>372.051282999241</v>
      </c>
      <c r="Y42" s="135" t="n">
        <f aca="false">X42-AO42</f>
        <v>365.051282999241</v>
      </c>
      <c r="Z42" s="107"/>
      <c r="AA42" s="135" t="n">
        <v>0</v>
      </c>
      <c r="AB42" s="107"/>
      <c r="AC42" s="107" t="n">
        <f aca="false">AC41-(AQ41/1.9835)+AS42+AP42</f>
        <v>1185.06455423217</v>
      </c>
      <c r="AD42" s="215" t="n">
        <f aca="false">AD41</f>
        <v>13433.3249306781</v>
      </c>
      <c r="AE42" s="135" t="n">
        <v>136</v>
      </c>
      <c r="AF42" s="248" t="n">
        <v>1.7</v>
      </c>
      <c r="AG42" s="249" t="n">
        <v>1.3</v>
      </c>
      <c r="AH42" s="135" t="n">
        <v>69</v>
      </c>
      <c r="AI42" s="107" t="n">
        <f aca="false">AI41-AH42</f>
        <v>8983.25787748929</v>
      </c>
      <c r="AJ42" s="107"/>
      <c r="AK42" s="134" t="n">
        <f aca="false">N42+O42+P42+Q42+R43+S42+T42+U42+X42+AE42+AH42-AR42</f>
        <v>646</v>
      </c>
      <c r="AL42" s="135" t="n">
        <f aca="false">IF(L42&lt;0,L42*-1,0)</f>
        <v>0</v>
      </c>
      <c r="AM42" s="135" t="n">
        <f aca="false">AK42+AL42</f>
        <v>646</v>
      </c>
      <c r="AN42" s="220"/>
      <c r="AO42" s="215" t="n">
        <v>7</v>
      </c>
      <c r="AP42" s="97" t="n">
        <f aca="false">(I42-AO42)-Q42-R42-Y42-AF42</f>
        <v>-190.5576015</v>
      </c>
      <c r="AQ42" s="158" t="n">
        <f aca="false">58.03*(Z42*1.9835+AC42*1.9835)/E42</f>
        <v>1.22043088549242</v>
      </c>
      <c r="AR42" s="158" t="n">
        <v>28.51</v>
      </c>
      <c r="AS42" s="147" t="n">
        <v>6</v>
      </c>
      <c r="AT42" s="5" t="n">
        <v>0</v>
      </c>
      <c r="AU42" s="4"/>
      <c r="AV42" s="320" t="n">
        <v>0.11</v>
      </c>
      <c r="AW42" s="215" t="n">
        <v>90</v>
      </c>
      <c r="AX42" s="215" t="n">
        <v>58</v>
      </c>
      <c r="AY42" s="294"/>
      <c r="AZ42" s="250" t="n">
        <f aca="false">SUM(N42,P42:U42)</f>
        <v>10.3087170007589</v>
      </c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</row>
    <row r="43" customFormat="false" ht="12.95" hidden="false" customHeight="true" outlineLevel="0" collapsed="false">
      <c r="A43" s="183" t="n">
        <f aca="false">A42+1</f>
        <v>29</v>
      </c>
      <c r="B43" s="106" t="n">
        <v>6894.25</v>
      </c>
      <c r="C43" s="107" t="n">
        <v>262849</v>
      </c>
      <c r="D43" s="215" t="n">
        <f aca="false">C43-C42</f>
        <v>-918</v>
      </c>
      <c r="E43" s="107" t="n">
        <f aca="false">C43-152000</f>
        <v>110849</v>
      </c>
      <c r="F43" s="246" t="n">
        <f aca="false">D43/$D$2</f>
        <v>-462.818250567179</v>
      </c>
      <c r="G43" s="135" t="n">
        <v>204</v>
      </c>
      <c r="H43" s="136" t="n">
        <v>0</v>
      </c>
      <c r="I43" s="135" t="n">
        <f aca="false">G43+H43</f>
        <v>204</v>
      </c>
      <c r="J43" s="136" t="n">
        <f aca="false">IF(L43&gt;0,L43,0)</f>
        <v>0</v>
      </c>
      <c r="K43" s="135" t="n">
        <f aca="false">I43+J43</f>
        <v>204</v>
      </c>
      <c r="L43" s="135" t="n">
        <f aca="false">F43-(I43-AK43)</f>
        <v>-24.8182505671792</v>
      </c>
      <c r="M43" s="248" t="n">
        <v>226</v>
      </c>
      <c r="N43" s="158" t="n">
        <f aca="false">(1.8299*1.03)/2</f>
        <v>0.9423985</v>
      </c>
      <c r="O43" s="135" t="n">
        <f aca="false">83*1.05</f>
        <v>87.15</v>
      </c>
      <c r="P43" s="158" t="n">
        <v>0</v>
      </c>
      <c r="Q43" s="336" t="n">
        <f aca="false">1795300/325851/1.9835*1.02</f>
        <v>2.83325679952308</v>
      </c>
      <c r="R43" s="131" t="n">
        <v>4.2</v>
      </c>
      <c r="S43" s="131" t="n">
        <f aca="false">((6.5*1.04)-T43)-4.2</f>
        <v>1.12864384</v>
      </c>
      <c r="T43" s="131" t="n">
        <f aca="false">(1.2984*1.06)*1.04</f>
        <v>1.43135616</v>
      </c>
      <c r="U43" s="355" t="n">
        <v>0</v>
      </c>
      <c r="V43" s="135" t="n">
        <v>149</v>
      </c>
      <c r="W43" s="135" t="n">
        <v>78</v>
      </c>
      <c r="X43" s="135" t="n">
        <f aca="false">M43-N43-O43-P43-Q43-R43-S43-T43-U43+V43+W43-AT43+AR43</f>
        <v>363.381344700477</v>
      </c>
      <c r="Y43" s="135" t="n">
        <f aca="false">X43-AO43</f>
        <v>356.381344700477</v>
      </c>
      <c r="Z43" s="107"/>
      <c r="AA43" s="135"/>
      <c r="AB43" s="107"/>
      <c r="AC43" s="107" t="n">
        <f aca="false">AC42-(AQ42/1.9835)+AS43+AP43</f>
        <v>1022.33466113374</v>
      </c>
      <c r="AD43" s="215" t="n">
        <f aca="false">AD42</f>
        <v>13433.3249306781</v>
      </c>
      <c r="AE43" s="135" t="n">
        <v>120</v>
      </c>
      <c r="AF43" s="248" t="n">
        <v>1.7</v>
      </c>
      <c r="AG43" s="249" t="n">
        <v>1.3</v>
      </c>
      <c r="AH43" s="135" t="n">
        <v>69</v>
      </c>
      <c r="AI43" s="107" t="n">
        <f aca="false">AI42-AH43</f>
        <v>8914.25787748929</v>
      </c>
      <c r="AJ43" s="107"/>
      <c r="AK43" s="134" t="n">
        <f aca="false">N43+O43+P43+Q43+R44+S43+T43+U43+X43+AE43+AH43-AR43</f>
        <v>642</v>
      </c>
      <c r="AL43" s="135" t="n">
        <f aca="false">IF(L43&lt;0,L43*-1,0)</f>
        <v>24.8182505671792</v>
      </c>
      <c r="AM43" s="135" t="n">
        <f aca="false">AK43+AL43</f>
        <v>666.818250567179</v>
      </c>
      <c r="AN43" s="220"/>
      <c r="AO43" s="215" t="n">
        <v>7</v>
      </c>
      <c r="AP43" s="97" t="n">
        <f aca="false">(I43-AO43)-Q43-R43-Y43-AF43</f>
        <v>-168.1146015</v>
      </c>
      <c r="AQ43" s="158" t="n">
        <f aca="false">58.03*(Z43*1.9835+AC43*1.9835)/E43</f>
        <v>1.06156375289645</v>
      </c>
      <c r="AR43" s="158" t="n">
        <v>8.067</v>
      </c>
      <c r="AS43" s="147" t="n">
        <v>6</v>
      </c>
      <c r="AT43" s="5" t="n">
        <v>0</v>
      </c>
      <c r="AU43" s="4"/>
      <c r="AV43" s="320" t="n">
        <v>0.01</v>
      </c>
      <c r="AW43" s="221" t="n">
        <v>89</v>
      </c>
      <c r="AX43" s="215" t="n">
        <v>60</v>
      </c>
      <c r="AY43" s="294"/>
      <c r="AZ43" s="250" t="n">
        <f aca="false">SUM(N43,P43:U43)</f>
        <v>10.5356552995231</v>
      </c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</row>
    <row r="44" customFormat="false" ht="12.95" hidden="false" customHeight="true" outlineLevel="0" collapsed="false">
      <c r="A44" s="183" t="n">
        <v>30</v>
      </c>
      <c r="B44" s="106" t="n">
        <v>6893.99</v>
      </c>
      <c r="C44" s="107" t="n">
        <v>261932</v>
      </c>
      <c r="D44" s="215" t="n">
        <f aca="false">C44-C43</f>
        <v>-917</v>
      </c>
      <c r="E44" s="107" t="n">
        <f aca="false">C44-152000</f>
        <v>109932</v>
      </c>
      <c r="F44" s="246" t="n">
        <f aca="false">D44/$D$2</f>
        <v>-462.314091252836</v>
      </c>
      <c r="G44" s="135" t="n">
        <v>186</v>
      </c>
      <c r="H44" s="136" t="n">
        <v>0</v>
      </c>
      <c r="I44" s="135" t="n">
        <f aca="false">G44+H44</f>
        <v>186</v>
      </c>
      <c r="J44" s="136" t="n">
        <f aca="false">IF(L44&gt;0,L44,0)</f>
        <v>0</v>
      </c>
      <c r="K44" s="135" t="n">
        <f aca="false">I44+J44</f>
        <v>186</v>
      </c>
      <c r="L44" s="135" t="n">
        <f aca="false">F44-(I44-AK44)</f>
        <v>-5.31409125283591</v>
      </c>
      <c r="M44" s="248" t="n">
        <v>217</v>
      </c>
      <c r="N44" s="158" t="n">
        <f aca="false">(1.8299*1.03)/2</f>
        <v>0.9423985</v>
      </c>
      <c r="O44" s="135" t="n">
        <f aca="false">85*1.05</f>
        <v>89.25</v>
      </c>
      <c r="P44" s="158" t="n">
        <v>0</v>
      </c>
      <c r="Q44" s="336" t="n">
        <f aca="false">1964900/325851/1.9835*1.02</f>
        <v>3.10091142727283</v>
      </c>
      <c r="R44" s="131" t="n">
        <v>4.2</v>
      </c>
      <c r="S44" s="131" t="n">
        <f aca="false">((6.5*1.04)-T44)-4.2</f>
        <v>1.12864384</v>
      </c>
      <c r="T44" s="131" t="n">
        <f aca="false">(1.2984*1.06)*1.04</f>
        <v>1.43135616</v>
      </c>
      <c r="U44" s="355" t="n">
        <v>0</v>
      </c>
      <c r="V44" s="135" t="n">
        <v>144</v>
      </c>
      <c r="W44" s="135" t="n">
        <v>79</v>
      </c>
      <c r="X44" s="135" t="n">
        <f aca="false">M44-N44-O44-P44-Q44-R44-S44-T44-U44+V44+W44-AT44+AR44</f>
        <v>339.946690072727</v>
      </c>
      <c r="Y44" s="135" t="n">
        <f aca="false">X44-AO44</f>
        <v>332.946690072727</v>
      </c>
      <c r="Z44" s="107"/>
      <c r="AA44" s="135"/>
      <c r="AB44" s="107"/>
      <c r="AC44" s="107" t="n">
        <f aca="false">AC43-(AQ43/1.9835)+AS44+AP44</f>
        <v>864.851862379943</v>
      </c>
      <c r="AD44" s="215" t="n">
        <f aca="false">AD43</f>
        <v>13433.3249306781</v>
      </c>
      <c r="AE44" s="135" t="n">
        <v>134</v>
      </c>
      <c r="AF44" s="248" t="n">
        <v>1.7</v>
      </c>
      <c r="AG44" s="249" t="n">
        <v>1.3</v>
      </c>
      <c r="AH44" s="135" t="n">
        <v>69</v>
      </c>
      <c r="AI44" s="107" t="n">
        <f aca="false">AI43-AH44</f>
        <v>8845.25787748929</v>
      </c>
      <c r="AJ44" s="107"/>
      <c r="AK44" s="134" t="n">
        <f aca="false">N44+O44+P44+Q44+R45+S44+T44+U44+X44+AE44+AH44-AR44</f>
        <v>643</v>
      </c>
      <c r="AL44" s="135" t="n">
        <f aca="false">IF(L44&lt;0,L44*-1,0)</f>
        <v>5.31409125283591</v>
      </c>
      <c r="AM44" s="135" t="n">
        <f aca="false">AK44+AL44</f>
        <v>648.314091252836</v>
      </c>
      <c r="AN44" s="220"/>
      <c r="AO44" s="215" t="n">
        <v>7</v>
      </c>
      <c r="AP44" s="97" t="n">
        <f aca="false">(I44-AO44)-Q44-R44-Y44-AF44</f>
        <v>-162.9476015</v>
      </c>
      <c r="AQ44" s="158" t="n">
        <f aca="false">58.03*(Z44*1.9835+AC44*1.9835)/E44</f>
        <v>0.905529016245013</v>
      </c>
      <c r="AR44" s="158"/>
      <c r="AS44" s="147" t="n">
        <v>6</v>
      </c>
      <c r="AT44" s="5" t="n">
        <v>0</v>
      </c>
      <c r="AU44" s="4"/>
      <c r="AV44" s="320" t="n">
        <v>0</v>
      </c>
      <c r="AW44" s="221" t="n">
        <v>92</v>
      </c>
      <c r="AX44" s="215" t="n">
        <v>57</v>
      </c>
      <c r="AY44" s="294"/>
      <c r="AZ44" s="250" t="n">
        <f aca="false">SUM(N44,P44:U44)</f>
        <v>10.8033099272728</v>
      </c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</row>
    <row r="45" customFormat="false" ht="13.5" hidden="false" customHeight="true" outlineLevel="0" collapsed="false">
      <c r="A45" s="183" t="n">
        <v>31</v>
      </c>
      <c r="B45" s="106" t="n">
        <v>6893.7</v>
      </c>
      <c r="C45" s="107" t="n">
        <v>260918</v>
      </c>
      <c r="D45" s="215" t="n">
        <f aca="false">C45-C44</f>
        <v>-1014</v>
      </c>
      <c r="E45" s="107" t="n">
        <f aca="false">C45-152000</f>
        <v>108918</v>
      </c>
      <c r="F45" s="246" t="n">
        <f aca="false">D45/$D$2</f>
        <v>-511.217544744139</v>
      </c>
      <c r="G45" s="135" t="n">
        <v>163</v>
      </c>
      <c r="H45" s="136" t="n">
        <v>0</v>
      </c>
      <c r="I45" s="135" t="n">
        <f aca="false">G45+H45</f>
        <v>163</v>
      </c>
      <c r="J45" s="136" t="n">
        <f aca="false">IF(L45&gt;0,L45,0)</f>
        <v>0.582455255860793</v>
      </c>
      <c r="K45" s="135" t="n">
        <f aca="false">I45+J45</f>
        <v>163.582455255861</v>
      </c>
      <c r="L45" s="135" t="n">
        <f aca="false">F45-(I45-AK45)</f>
        <v>0.582455255860793</v>
      </c>
      <c r="M45" s="248" t="n">
        <v>234</v>
      </c>
      <c r="N45" s="158" t="n">
        <f aca="false">(1.8299*1.03)/2</f>
        <v>0.9423985</v>
      </c>
      <c r="O45" s="135" t="n">
        <f aca="false">103*1.05</f>
        <v>108.15</v>
      </c>
      <c r="P45" s="158" t="n">
        <v>0</v>
      </c>
      <c r="Q45" s="336" t="n">
        <f aca="false">1761400/325851/1.9835*1.02</f>
        <v>2.77975743701886</v>
      </c>
      <c r="R45" s="131" t="n">
        <v>4.2</v>
      </c>
      <c r="S45" s="131" t="n">
        <f aca="false">((6.5*1.04)-T45)-4.2</f>
        <v>1.12864384</v>
      </c>
      <c r="T45" s="131" t="n">
        <f aca="false">(1.2984*1.06)*1.04</f>
        <v>1.43135616</v>
      </c>
      <c r="U45" s="355" t="n">
        <v>0</v>
      </c>
      <c r="V45" s="135" t="n">
        <v>141</v>
      </c>
      <c r="W45" s="135" t="n">
        <v>79</v>
      </c>
      <c r="X45" s="135" t="n">
        <f aca="false">M45-N45-O45-P45-Q45-R45-S45-T45-U45+V45+W45-AT45+AR45</f>
        <v>335.367844062981</v>
      </c>
      <c r="Y45" s="135" t="n">
        <f aca="false">X45-AO45</f>
        <v>328.367844062981</v>
      </c>
      <c r="Z45" s="107"/>
      <c r="AA45" s="135"/>
      <c r="AB45" s="107"/>
      <c r="AC45" s="107" t="n">
        <f aca="false">AC44-(AQ44/1.9835)+AS45+AP45</f>
        <v>689.347729991995</v>
      </c>
      <c r="AD45" s="215" t="n">
        <f aca="false">AD44</f>
        <v>13433.3249306781</v>
      </c>
      <c r="AE45" s="135" t="n">
        <v>156</v>
      </c>
      <c r="AF45" s="248" t="n">
        <v>1.7</v>
      </c>
      <c r="AG45" s="249" t="n">
        <v>1.3</v>
      </c>
      <c r="AH45" s="135" t="n">
        <v>69</v>
      </c>
      <c r="AI45" s="107" t="n">
        <f aca="false">AI44-AH45</f>
        <v>8776.25787748929</v>
      </c>
      <c r="AJ45" s="107"/>
      <c r="AK45" s="134" t="n">
        <f aca="false">N45+O45+P45+Q45+R46+S45+T45+U45+X45+AE45+AH45-AR45</f>
        <v>674.8</v>
      </c>
      <c r="AL45" s="135" t="n">
        <f aca="false">IF(L45&lt;0,L45*-1,0)</f>
        <v>0</v>
      </c>
      <c r="AM45" s="135" t="n">
        <f aca="false">AK45+AL45</f>
        <v>674.8</v>
      </c>
      <c r="AN45" s="220"/>
      <c r="AO45" s="215" t="n">
        <v>7</v>
      </c>
      <c r="AP45" s="97" t="n">
        <f aca="false">(I45-AO45)-Q45-R45-Y45-AF45</f>
        <v>-181.0476015</v>
      </c>
      <c r="AQ45" s="158" t="n">
        <f aca="false">58.03*(Z45*1.9835+AC45*1.9835)/E45</f>
        <v>0.728489786244168</v>
      </c>
      <c r="AR45" s="158"/>
      <c r="AS45" s="147" t="n">
        <v>6</v>
      </c>
      <c r="AT45" s="5" t="n">
        <v>0</v>
      </c>
      <c r="AU45" s="4"/>
      <c r="AV45" s="320" t="n">
        <v>0</v>
      </c>
      <c r="AW45" s="221" t="n">
        <v>94</v>
      </c>
      <c r="AX45" s="215" t="n">
        <v>63</v>
      </c>
      <c r="AY45" s="294"/>
      <c r="AZ45" s="250" t="n">
        <f aca="false">SUM(N45,P45:U45)</f>
        <v>10.4821559370189</v>
      </c>
    </row>
    <row r="46" customFormat="false" ht="3" hidden="false" customHeight="true" outlineLevel="0" collapsed="false">
      <c r="A46" s="231"/>
      <c r="B46" s="252"/>
      <c r="C46" s="233"/>
      <c r="D46" s="234"/>
      <c r="E46" s="233"/>
      <c r="F46" s="235"/>
      <c r="G46" s="234"/>
      <c r="H46" s="240"/>
      <c r="I46" s="234"/>
      <c r="J46" s="234"/>
      <c r="K46" s="234"/>
      <c r="L46" s="234"/>
      <c r="M46" s="237"/>
      <c r="N46" s="234"/>
      <c r="O46" s="234"/>
      <c r="P46" s="238"/>
      <c r="Q46" s="234"/>
      <c r="R46" s="234"/>
      <c r="S46" s="234"/>
      <c r="T46" s="234"/>
      <c r="U46" s="239"/>
      <c r="V46" s="234"/>
      <c r="W46" s="234"/>
      <c r="X46" s="234"/>
      <c r="Y46" s="234"/>
      <c r="Z46" s="233"/>
      <c r="AA46" s="234"/>
      <c r="AB46" s="233"/>
      <c r="AC46" s="233"/>
      <c r="AD46" s="243"/>
      <c r="AE46" s="234"/>
      <c r="AF46" s="237"/>
      <c r="AG46" s="241"/>
      <c r="AH46" s="234"/>
      <c r="AI46" s="234"/>
      <c r="AJ46" s="234"/>
      <c r="AK46" s="234"/>
      <c r="AL46" s="234"/>
      <c r="AM46" s="234"/>
      <c r="AN46" s="242"/>
      <c r="AO46" s="243"/>
      <c r="AP46" s="240"/>
      <c r="AQ46" s="240"/>
      <c r="AR46" s="240"/>
      <c r="AS46" s="238"/>
      <c r="AT46" s="238"/>
      <c r="AU46" s="240"/>
      <c r="AV46" s="484"/>
      <c r="AW46" s="243"/>
      <c r="AX46" s="243"/>
      <c r="AY46" s="257"/>
      <c r="AZ46" s="317"/>
    </row>
    <row r="47" customFormat="false" ht="12.95" hidden="false" customHeight="true" outlineLevel="0" collapsed="false">
      <c r="A47" s="185" t="s">
        <v>101</v>
      </c>
      <c r="B47" s="213"/>
      <c r="C47" s="107"/>
      <c r="D47" s="107"/>
      <c r="E47" s="107"/>
      <c r="F47" s="214" t="n">
        <f aca="false">SUM(F15:F45)</f>
        <v>-19523.0652886312</v>
      </c>
      <c r="G47" s="107" t="n">
        <f aca="false">SUM(G15:G45)</f>
        <v>4568</v>
      </c>
      <c r="H47" s="215" t="n">
        <f aca="false">SUM(H15:H45)</f>
        <v>0</v>
      </c>
      <c r="I47" s="107" t="n">
        <f aca="false">SUM(I15:I45)</f>
        <v>4568</v>
      </c>
      <c r="J47" s="107" t="n">
        <f aca="false">SUM(J15:J45)</f>
        <v>380.409276531384</v>
      </c>
      <c r="K47" s="107" t="n">
        <f aca="false">SUM(K15:K45)</f>
        <v>4948.40927653138</v>
      </c>
      <c r="L47" s="107" t="n">
        <f aca="false">SUM(L15:L45)</f>
        <v>-257.265288631207</v>
      </c>
      <c r="M47" s="216" t="n">
        <f aca="false">SUM(M15:M45)</f>
        <v>7785</v>
      </c>
      <c r="N47" s="107" t="n">
        <f aca="false">SUM(N15:N45)</f>
        <v>29.2143535</v>
      </c>
      <c r="O47" s="107" t="n">
        <f aca="false">SUM(O15:O45)</f>
        <v>2545.2</v>
      </c>
      <c r="P47" s="158" t="n">
        <f aca="false">SUM(P15:P45)</f>
        <v>0</v>
      </c>
      <c r="Q47" s="107" t="n">
        <f aca="false">SUM(Q15:Q45)</f>
        <v>88.5480731840923</v>
      </c>
      <c r="R47" s="107" t="n">
        <f aca="false">SUM(R15:R45)</f>
        <v>130.2</v>
      </c>
      <c r="S47" s="107" t="n">
        <f aca="false">SUM(S15:S45)</f>
        <v>47.78445184</v>
      </c>
      <c r="T47" s="107" t="n">
        <f aca="false">SUM(T15:T45)</f>
        <v>45.61554816</v>
      </c>
      <c r="U47" s="217" t="n">
        <f aca="false">SUM(U15:U45)</f>
        <v>0</v>
      </c>
      <c r="V47" s="107" t="n">
        <f aca="false">SUM(V15:V45)</f>
        <v>4547</v>
      </c>
      <c r="W47" s="107" t="n">
        <f aca="false">SUM(W15:W45)</f>
        <v>2472</v>
      </c>
      <c r="X47" s="107" t="n">
        <f aca="false">SUM(X15:X45)</f>
        <v>12723.7845733159</v>
      </c>
      <c r="Y47" s="107" t="n">
        <f aca="false">SUM(Y15:Y45)</f>
        <v>12506.7845733159</v>
      </c>
      <c r="Z47" s="107"/>
      <c r="AA47" s="107"/>
      <c r="AB47" s="107"/>
      <c r="AC47" s="107"/>
      <c r="AD47" s="107"/>
      <c r="AE47" s="107" t="n">
        <f aca="false">SUM(AE15:AE45)</f>
        <v>6902</v>
      </c>
      <c r="AF47" s="429" t="n">
        <f aca="false">SUM(AF15:AF45)</f>
        <v>52.7</v>
      </c>
      <c r="AG47" s="430" t="n">
        <f aca="false">SUM(AG15:AG45)</f>
        <v>40.3</v>
      </c>
      <c r="AH47" s="107" t="n">
        <f aca="false">SUM(AH15:AH45)</f>
        <v>2132</v>
      </c>
      <c r="AI47" s="107"/>
      <c r="AJ47" s="107" t="n">
        <f aca="false">SUM(AJ15:AJ45)</f>
        <v>0</v>
      </c>
      <c r="AK47" s="107" t="n">
        <f aca="false">SUM(AK15:AK45)</f>
        <v>23833.8</v>
      </c>
      <c r="AL47" s="107" t="n">
        <f aca="false">SUM(AL15:AL45)</f>
        <v>637.674565162591</v>
      </c>
      <c r="AM47" s="107" t="n">
        <f aca="false">SUM(AM15:AM45)</f>
        <v>24471.4745651626</v>
      </c>
      <c r="AN47" s="220"/>
      <c r="AO47" s="107" t="n">
        <f aca="false">SUM(AO15:AO45)</f>
        <v>217</v>
      </c>
      <c r="AP47" s="136"/>
      <c r="AQ47" s="486"/>
      <c r="AR47" s="136" t="n">
        <f aca="false">SUM(AR15:AR45)</f>
        <v>806.347</v>
      </c>
      <c r="AS47" s="136" t="n">
        <f aca="false">SUM(AS15:AS45)</f>
        <v>186</v>
      </c>
      <c r="AT47" s="158" t="n">
        <f aca="false">SUM(AT15:AT45)</f>
        <v>0</v>
      </c>
      <c r="AU47" s="136" t="n">
        <f aca="false">SUM(AU15:AU45)</f>
        <v>0</v>
      </c>
      <c r="AV47" s="320" t="n">
        <f aca="false">SUM(AV15:AV45)</f>
        <v>0.57</v>
      </c>
      <c r="AW47" s="215" t="n">
        <f aca="false">AVERAGE(AW15:AW45)</f>
        <v>89.6129032258065</v>
      </c>
      <c r="AX47" s="215" t="n">
        <f aca="false">AVERAGE(AX15:AX45)</f>
        <v>57.8064516129032</v>
      </c>
      <c r="AY47" s="223" t="s">
        <v>125</v>
      </c>
      <c r="AZ47" s="338" t="n">
        <f aca="false">SUM(AZ15:AZ45)</f>
        <v>341.362426684092</v>
      </c>
    </row>
    <row r="48" customFormat="false" ht="12.95" hidden="false" customHeight="true" outlineLevel="0" collapsed="false">
      <c r="A48" s="185" t="s">
        <v>103</v>
      </c>
      <c r="B48" s="213"/>
      <c r="C48" s="107"/>
      <c r="D48" s="107" t="n">
        <f aca="false">SUM(D15:D45)</f>
        <v>-38724</v>
      </c>
      <c r="E48" s="107"/>
      <c r="F48" s="214" t="n">
        <f aca="false">F47*$D$2</f>
        <v>-38724</v>
      </c>
      <c r="G48" s="107" t="n">
        <f aca="false">G47*$D$2</f>
        <v>9060.628</v>
      </c>
      <c r="H48" s="215" t="n">
        <f aca="false">H47*$D$2</f>
        <v>0</v>
      </c>
      <c r="I48" s="107" t="n">
        <f aca="false">I47*$D$2</f>
        <v>9060.628</v>
      </c>
      <c r="J48" s="107" t="n">
        <f aca="false">J47*$D$2</f>
        <v>754.5418</v>
      </c>
      <c r="K48" s="107" t="n">
        <f aca="false">K47*$D$2</f>
        <v>9815.1698</v>
      </c>
      <c r="L48" s="107" t="n">
        <f aca="false">L47*$D$2</f>
        <v>-510.285699999999</v>
      </c>
      <c r="M48" s="216" t="n">
        <f aca="false">M47*$D$2</f>
        <v>15441.5475</v>
      </c>
      <c r="N48" s="107" t="n">
        <f aca="false">N47*$D$2</f>
        <v>57.94667016725</v>
      </c>
      <c r="O48" s="107" t="n">
        <f aca="false">O47*$D$2</f>
        <v>5048.4042</v>
      </c>
      <c r="P48" s="158" t="n">
        <f aca="false">P47*$D$2</f>
        <v>0</v>
      </c>
      <c r="Q48" s="107" t="n">
        <f aca="false">Q47*$D$2</f>
        <v>175.635103160647</v>
      </c>
      <c r="R48" s="107" t="n">
        <f aca="false">R47*$D$2</f>
        <v>258.2517</v>
      </c>
      <c r="S48" s="107" t="n">
        <f aca="false">S47*$D$2</f>
        <v>94.78046022464</v>
      </c>
      <c r="T48" s="107" t="n">
        <f aca="false">T47*$D$2</f>
        <v>90.47843977536</v>
      </c>
      <c r="U48" s="217" t="n">
        <f aca="false">U47*$D$2</f>
        <v>0</v>
      </c>
      <c r="V48" s="107" t="n">
        <f aca="false">V47*$D$2</f>
        <v>9018.9745</v>
      </c>
      <c r="W48" s="107" t="n">
        <f aca="false">W47*$D$2</f>
        <v>4903.212</v>
      </c>
      <c r="X48" s="107" t="n">
        <f aca="false">X47*$D$2</f>
        <v>25237.6267011721</v>
      </c>
      <c r="Y48" s="107" t="n">
        <f aca="false">Y47*$D$2</f>
        <v>24807.2072011721</v>
      </c>
      <c r="Z48" s="107"/>
      <c r="AA48" s="107"/>
      <c r="AB48" s="107"/>
      <c r="AC48" s="107"/>
      <c r="AD48" s="107"/>
      <c r="AE48" s="107" t="n">
        <f aca="false">AE47*$D$2</f>
        <v>13690.117</v>
      </c>
      <c r="AF48" s="216" t="n">
        <f aca="false">AF47*$D$2</f>
        <v>104.53045</v>
      </c>
      <c r="AG48" s="218" t="n">
        <f aca="false">AG47*$D$2</f>
        <v>79.93505</v>
      </c>
      <c r="AH48" s="107" t="n">
        <f aca="false">AH47*$D$2</f>
        <v>4228.822</v>
      </c>
      <c r="AI48" s="107"/>
      <c r="AJ48" s="107" t="n">
        <f aca="false">AJ47*$D$2</f>
        <v>0</v>
      </c>
      <c r="AK48" s="107" t="n">
        <f aca="false">AK47*$D$2</f>
        <v>47274.3423</v>
      </c>
      <c r="AL48" s="107" t="n">
        <f aca="false">AL47*$D$2</f>
        <v>1264.8275</v>
      </c>
      <c r="AM48" s="107" t="n">
        <f aca="false">AM47*$D$2</f>
        <v>48539.1698</v>
      </c>
      <c r="AN48" s="220"/>
      <c r="AO48" s="107" t="n">
        <f aca="false">AO47*$D$2</f>
        <v>430.4195</v>
      </c>
      <c r="AP48" s="136"/>
      <c r="AQ48" s="486" t="n">
        <f aca="false">SUM(AQ15:AQ45)</f>
        <v>110.681387886651</v>
      </c>
      <c r="AR48" s="136" t="n">
        <f aca="false">AR47*$D$2</f>
        <v>1599.3892745</v>
      </c>
      <c r="AS48" s="136" t="n">
        <f aca="false">AS47*$D$2</f>
        <v>368.931</v>
      </c>
      <c r="AT48" s="158" t="n">
        <f aca="false">AT47*$D$2</f>
        <v>0</v>
      </c>
      <c r="AU48" s="136" t="n">
        <f aca="false">AU47*$D$2</f>
        <v>0</v>
      </c>
      <c r="AV48" s="320"/>
      <c r="AW48" s="215" t="n">
        <f aca="false">MAX(AW15:AW45)</f>
        <v>97</v>
      </c>
      <c r="AX48" s="215" t="n">
        <f aca="false">MAX(AX15:AX45)</f>
        <v>63</v>
      </c>
      <c r="AY48" s="223" t="s">
        <v>104</v>
      </c>
      <c r="AZ48" s="338" t="n">
        <f aca="false">AZ47*$D$2</f>
        <v>677.092373327897</v>
      </c>
    </row>
    <row r="49" customFormat="false" ht="3" hidden="false" customHeight="true" outlineLevel="0" collapsed="false">
      <c r="A49" s="231"/>
      <c r="B49" s="252"/>
      <c r="C49" s="233"/>
      <c r="D49" s="233"/>
      <c r="E49" s="233"/>
      <c r="F49" s="257"/>
      <c r="G49" s="233"/>
      <c r="H49" s="243"/>
      <c r="I49" s="233"/>
      <c r="J49" s="233"/>
      <c r="K49" s="233"/>
      <c r="L49" s="233"/>
      <c r="M49" s="258"/>
      <c r="N49" s="233"/>
      <c r="O49" s="233"/>
      <c r="P49" s="238"/>
      <c r="Q49" s="233"/>
      <c r="R49" s="233"/>
      <c r="S49" s="233"/>
      <c r="T49" s="233"/>
      <c r="U49" s="239"/>
      <c r="V49" s="233"/>
      <c r="W49" s="233"/>
      <c r="X49" s="233"/>
      <c r="Y49" s="233"/>
      <c r="Z49" s="233"/>
      <c r="AA49" s="233"/>
      <c r="AB49" s="233"/>
      <c r="AC49" s="233"/>
      <c r="AD49" s="233"/>
      <c r="AE49" s="233"/>
      <c r="AF49" s="258"/>
      <c r="AG49" s="259"/>
      <c r="AH49" s="233"/>
      <c r="AI49" s="234"/>
      <c r="AJ49" s="233"/>
      <c r="AK49" s="233"/>
      <c r="AL49" s="233"/>
      <c r="AM49" s="233"/>
      <c r="AN49" s="261"/>
      <c r="AO49" s="233"/>
      <c r="AP49" s="240"/>
      <c r="AQ49" s="238"/>
      <c r="AR49" s="238"/>
      <c r="AS49" s="238"/>
      <c r="AT49" s="238"/>
      <c r="AU49" s="240"/>
      <c r="AV49" s="261"/>
      <c r="AW49" s="233"/>
      <c r="AX49" s="233"/>
      <c r="AY49" s="257"/>
      <c r="AZ49" s="317"/>
    </row>
    <row r="50" customFormat="false" ht="12.95" hidden="false" customHeight="true" outlineLevel="0" collapsed="false">
      <c r="A50" s="185" t="s">
        <v>105</v>
      </c>
      <c r="B50" s="213"/>
      <c r="C50" s="107"/>
      <c r="D50" s="107"/>
      <c r="E50" s="107"/>
      <c r="F50" s="214" t="n">
        <f aca="false">F12+F47</f>
        <v>-21300.2268716915</v>
      </c>
      <c r="G50" s="107" t="n">
        <f aca="false">G12+G47</f>
        <v>57980</v>
      </c>
      <c r="H50" s="215" t="n">
        <f aca="false">H12+H47</f>
        <v>728.31</v>
      </c>
      <c r="I50" s="107" t="n">
        <f aca="false">I12+I47</f>
        <v>58708.31</v>
      </c>
      <c r="J50" s="107" t="n">
        <f aca="false">J12+J47</f>
        <v>2101.56362742627</v>
      </c>
      <c r="K50" s="107" t="n">
        <f aca="false">K12+K47</f>
        <v>60809.8636274263</v>
      </c>
      <c r="L50" s="107" t="n">
        <f aca="false">L12+L47</f>
        <v>-479.069270191454</v>
      </c>
      <c r="M50" s="216" t="n">
        <f aca="false">M12+M47</f>
        <v>30568.7</v>
      </c>
      <c r="N50" s="107" t="n">
        <f aca="false">N12+N47</f>
        <v>114.972617</v>
      </c>
      <c r="O50" s="107" t="n">
        <f aca="false">O12+O47</f>
        <v>10284.7405</v>
      </c>
      <c r="P50" s="158" t="n">
        <f aca="false">P12+P47</f>
        <v>7.32</v>
      </c>
      <c r="Q50" s="107"/>
      <c r="R50" s="107"/>
      <c r="S50" s="107"/>
      <c r="T50" s="107"/>
      <c r="U50" s="217"/>
      <c r="V50" s="107" t="n">
        <f aca="false">V12+V47</f>
        <v>12707</v>
      </c>
      <c r="W50" s="107" t="n">
        <f aca="false">W12+W47</f>
        <v>7533.9</v>
      </c>
      <c r="X50" s="107" t="n">
        <f aca="false">X12+X47</f>
        <v>42381.2345194651</v>
      </c>
      <c r="Y50" s="107" t="n">
        <f aca="false">Y12+Y47</f>
        <v>41318.4045194651</v>
      </c>
      <c r="Z50" s="80"/>
      <c r="AA50" s="107"/>
      <c r="AB50" s="432"/>
      <c r="AC50" s="432"/>
      <c r="AD50" s="107"/>
      <c r="AE50" s="107" t="n">
        <f aca="false">AE12+AE47</f>
        <v>21437</v>
      </c>
      <c r="AF50" s="216" t="n">
        <f aca="false">AF12+AF47</f>
        <v>207.4</v>
      </c>
      <c r="AG50" s="218" t="n">
        <f aca="false">AG12+AG47</f>
        <v>158.6</v>
      </c>
      <c r="AH50" s="107"/>
      <c r="AI50" s="432"/>
      <c r="AJ50" s="107" t="n">
        <f aca="false">AJ12+AJ47</f>
        <v>33</v>
      </c>
      <c r="AK50" s="107" t="n">
        <f aca="false">AK12+AK47</f>
        <v>79529.4576015</v>
      </c>
      <c r="AL50" s="107" t="n">
        <f aca="false">AL12+AL47</f>
        <v>2580.63289761772</v>
      </c>
      <c r="AM50" s="107" t="n">
        <f aca="false">AM12+AM47</f>
        <v>82110.0904991177</v>
      </c>
      <c r="AN50" s="220"/>
      <c r="AO50" s="215"/>
      <c r="AP50" s="136"/>
      <c r="AQ50" s="486"/>
      <c r="AR50" s="136" t="n">
        <f aca="false">AR12+AR47</f>
        <v>3024.9425</v>
      </c>
      <c r="AS50" s="136" t="n">
        <f aca="false">AS12+AS47</f>
        <v>306</v>
      </c>
      <c r="AT50" s="158" t="n">
        <f aca="false">AT12+AT47</f>
        <v>0</v>
      </c>
      <c r="AU50" s="136" t="n">
        <f aca="false">AU12+AU47</f>
        <v>0</v>
      </c>
      <c r="AV50" s="320"/>
      <c r="AW50" s="215" t="n">
        <f aca="false">MIN(AW15:AW45)</f>
        <v>83</v>
      </c>
      <c r="AX50" s="215" t="n">
        <f aca="false">MIN(AX15:AX45)</f>
        <v>53</v>
      </c>
      <c r="AY50" s="223" t="s">
        <v>106</v>
      </c>
      <c r="AZ50" s="338" t="n">
        <f aca="false">AZ12+AZ47</f>
        <v>341.362426684092</v>
      </c>
    </row>
    <row r="51" customFormat="false" ht="12.95" hidden="false" customHeight="true" outlineLevel="0" collapsed="false">
      <c r="A51" s="185" t="s">
        <v>107</v>
      </c>
      <c r="B51" s="213"/>
      <c r="C51" s="107"/>
      <c r="D51" s="107"/>
      <c r="E51" s="107"/>
      <c r="F51" s="214" t="n">
        <f aca="false">F50*$D$2</f>
        <v>-42249</v>
      </c>
      <c r="G51" s="107" t="n">
        <f aca="false">G50*$D$2</f>
        <v>115003.33</v>
      </c>
      <c r="H51" s="215" t="n">
        <f aca="false">H50*$D$2</f>
        <v>1444.602885</v>
      </c>
      <c r="I51" s="107" t="n">
        <f aca="false">I50*$D$2</f>
        <v>116447.932885</v>
      </c>
      <c r="J51" s="107" t="n">
        <f aca="false">J50*$D$2</f>
        <v>4168.451455</v>
      </c>
      <c r="K51" s="107" t="n">
        <f aca="false">K50*$D$2</f>
        <v>120616.364505</v>
      </c>
      <c r="L51" s="107" t="n">
        <f aca="false">L50*$D$2</f>
        <v>-950.23389742475</v>
      </c>
      <c r="M51" s="216" t="n">
        <f aca="false">M50*$D$2</f>
        <v>60633.01645</v>
      </c>
      <c r="N51" s="107" t="n">
        <f aca="false">N50*$D$2</f>
        <v>228.0481858195</v>
      </c>
      <c r="O51" s="107" t="n">
        <f aca="false">O50*$D$2</f>
        <v>20399.78278175</v>
      </c>
      <c r="P51" s="158" t="n">
        <f aca="false">P50*$D$2</f>
        <v>14.51922</v>
      </c>
      <c r="Q51" s="107"/>
      <c r="R51" s="107"/>
      <c r="S51" s="107"/>
      <c r="T51" s="107"/>
      <c r="U51" s="217"/>
      <c r="V51" s="107" t="n">
        <f aca="false">V50*$D$2</f>
        <v>25204.3345</v>
      </c>
      <c r="W51" s="107" t="n">
        <f aca="false">W50*$D$2</f>
        <v>14943.49065</v>
      </c>
      <c r="X51" s="107" t="n">
        <f aca="false">X50*$D$2</f>
        <v>84063.1786693591</v>
      </c>
      <c r="Y51" s="107" t="n">
        <f aca="false">Y50*$D$2</f>
        <v>81955.0553643591</v>
      </c>
      <c r="Z51" s="80"/>
      <c r="AA51" s="107"/>
      <c r="AB51" s="107"/>
      <c r="AC51" s="107"/>
      <c r="AD51" s="107"/>
      <c r="AE51" s="107" t="n">
        <f aca="false">AE50*$D$2</f>
        <v>42520.2895</v>
      </c>
      <c r="AF51" s="216" t="n">
        <f aca="false">AF50*$D$2</f>
        <v>411.3779</v>
      </c>
      <c r="AG51" s="218" t="n">
        <f aca="false">AG50*$D$2</f>
        <v>314.5831</v>
      </c>
      <c r="AH51" s="107"/>
      <c r="AI51" s="107"/>
      <c r="AJ51" s="107" t="n">
        <f aca="false">AJ50*$D$2</f>
        <v>65.4555</v>
      </c>
      <c r="AK51" s="107" t="n">
        <f aca="false">AK50*$D$2</f>
        <v>157746.679152575</v>
      </c>
      <c r="AL51" s="107" t="n">
        <f aca="false">AL50*$D$2</f>
        <v>5118.68535242475</v>
      </c>
      <c r="AM51" s="107" t="n">
        <f aca="false">AM50*$D$2</f>
        <v>162865.364505</v>
      </c>
      <c r="AN51" s="220"/>
      <c r="AO51" s="215"/>
      <c r="AP51" s="136"/>
      <c r="AQ51" s="486" t="n">
        <f aca="false">AQ12+AQ48</f>
        <v>944.348592546123</v>
      </c>
      <c r="AR51" s="136" t="n">
        <f aca="false">AR50*$D$2</f>
        <v>5999.97344875</v>
      </c>
      <c r="AS51" s="136" t="n">
        <f aca="false">AS50*$D$2</f>
        <v>606.951</v>
      </c>
      <c r="AT51" s="136" t="n">
        <f aca="false">AT50*$D$2</f>
        <v>0</v>
      </c>
      <c r="AU51" s="136" t="n">
        <f aca="false">AU50*$D$2</f>
        <v>0</v>
      </c>
      <c r="AV51" s="320"/>
      <c r="AW51" s="215"/>
      <c r="AX51" s="215"/>
      <c r="AY51" s="299"/>
      <c r="AZ51" s="338" t="n">
        <f aca="false">AZ50*$D$2</f>
        <v>677.092373327897</v>
      </c>
    </row>
    <row r="52" customFormat="false" ht="3" hidden="false" customHeight="true" outlineLevel="0" collapsed="false">
      <c r="A52" s="231"/>
      <c r="B52" s="252"/>
      <c r="C52" s="233"/>
      <c r="D52" s="233"/>
      <c r="E52" s="233"/>
      <c r="F52" s="257"/>
      <c r="G52" s="233"/>
      <c r="H52" s="243"/>
      <c r="I52" s="233"/>
      <c r="J52" s="233"/>
      <c r="K52" s="233"/>
      <c r="L52" s="233"/>
      <c r="M52" s="258"/>
      <c r="N52" s="233"/>
      <c r="O52" s="233"/>
      <c r="P52" s="238"/>
      <c r="Q52" s="233"/>
      <c r="R52" s="233"/>
      <c r="S52" s="233"/>
      <c r="T52" s="233"/>
      <c r="U52" s="239"/>
      <c r="V52" s="233"/>
      <c r="W52" s="233"/>
      <c r="X52" s="233"/>
      <c r="Y52" s="233"/>
      <c r="Z52" s="233"/>
      <c r="AA52" s="233"/>
      <c r="AB52" s="233"/>
      <c r="AC52" s="233"/>
      <c r="AD52" s="243"/>
      <c r="AE52" s="233"/>
      <c r="AF52" s="258"/>
      <c r="AG52" s="259"/>
      <c r="AH52" s="233"/>
      <c r="AI52" s="233"/>
      <c r="AJ52" s="233"/>
      <c r="AK52" s="233"/>
      <c r="AL52" s="233"/>
      <c r="AM52" s="233"/>
      <c r="AN52" s="261"/>
      <c r="AO52" s="233"/>
      <c r="AP52" s="240"/>
      <c r="AQ52" s="238"/>
      <c r="AR52" s="238"/>
      <c r="AS52" s="238"/>
      <c r="AT52" s="238"/>
      <c r="AU52" s="240"/>
      <c r="AV52" s="484"/>
      <c r="AW52" s="233"/>
      <c r="AX52" s="233"/>
      <c r="AY52" s="257"/>
      <c r="AZ52" s="317"/>
    </row>
    <row r="53" customFormat="false" ht="12.95" hidden="false" customHeight="true" outlineLevel="0" collapsed="false">
      <c r="A53" s="185" t="s">
        <v>108</v>
      </c>
      <c r="B53" s="213"/>
      <c r="C53" s="107"/>
      <c r="D53" s="107"/>
      <c r="E53" s="107"/>
      <c r="F53" s="214" t="n">
        <f aca="false">F13+F47</f>
        <v>-16482.4804638266</v>
      </c>
      <c r="G53" s="107" t="n">
        <f aca="false">G13+G47</f>
        <v>70044</v>
      </c>
      <c r="H53" s="215" t="n">
        <f aca="false">H13+H47</f>
        <v>1210.39</v>
      </c>
      <c r="I53" s="107" t="n">
        <f aca="false">I13+I47</f>
        <v>71253.77</v>
      </c>
      <c r="J53" s="107" t="n">
        <f aca="false">J13+J47</f>
        <v>6995.7514696244</v>
      </c>
      <c r="K53" s="107" t="n">
        <f aca="false">K13+K47</f>
        <v>78249.5114696244</v>
      </c>
      <c r="L53" s="107" t="n">
        <f aca="false">L13+L47</f>
        <v>3818.41713767343</v>
      </c>
      <c r="M53" s="216" t="n">
        <f aca="false">M13+M47</f>
        <v>31357.4</v>
      </c>
      <c r="N53" s="107" t="n">
        <f aca="false">N13+N47</f>
        <v>114.972617</v>
      </c>
      <c r="O53" s="107" t="n">
        <f aca="false">O13+O47</f>
        <v>10284.7405</v>
      </c>
      <c r="P53" s="158"/>
      <c r="Q53" s="107" t="n">
        <f aca="false">Q13+Q47</f>
        <v>565.293972556707</v>
      </c>
      <c r="R53" s="107" t="n">
        <f aca="false">R13+R47</f>
        <v>705.40158352</v>
      </c>
      <c r="S53" s="107" t="n">
        <f aca="false">S13+S47</f>
        <v>148.30474736</v>
      </c>
      <c r="T53" s="107" t="n">
        <f aca="false">T13+T47</f>
        <v>223.04726912</v>
      </c>
      <c r="U53" s="316" t="n">
        <f aca="false">U13+U47</f>
        <v>27.7983443318626</v>
      </c>
      <c r="V53" s="107" t="n">
        <f aca="false">V13+V47</f>
        <v>18554</v>
      </c>
      <c r="W53" s="107" t="n">
        <f aca="false">W13+W47</f>
        <v>7593.4</v>
      </c>
      <c r="X53" s="107" t="n">
        <f aca="false">X13+X47</f>
        <v>48452.8634661114</v>
      </c>
      <c r="Y53" s="107" t="n">
        <f aca="false">Y13+Y47</f>
        <v>47187.2363939929</v>
      </c>
      <c r="Z53" s="107"/>
      <c r="AA53" s="107"/>
      <c r="AB53" s="107"/>
      <c r="AC53" s="107"/>
      <c r="AD53" s="215"/>
      <c r="AE53" s="107"/>
      <c r="AF53" s="216" t="n">
        <f aca="false">AF13+AF47</f>
        <v>52.7</v>
      </c>
      <c r="AG53" s="218" t="n">
        <f aca="false">AG13+AG47</f>
        <v>40.3</v>
      </c>
      <c r="AH53" s="107" t="n">
        <f aca="false">AH13+AH47</f>
        <v>12618</v>
      </c>
      <c r="AI53" s="107" t="n">
        <f aca="false">AI45</f>
        <v>8776.25787748929</v>
      </c>
      <c r="AJ53" s="107" t="n">
        <f aca="false">AJ13+AJ47</f>
        <v>33</v>
      </c>
      <c r="AK53" s="107" t="n">
        <f aca="false">AK13+AK47</f>
        <v>91554.6576015</v>
      </c>
      <c r="AL53" s="107" t="n">
        <f aca="false">AL13+AL47</f>
        <v>3177.33433195097</v>
      </c>
      <c r="AM53" s="487" t="n">
        <f aca="false">AM13+AM47</f>
        <v>94731.991933451</v>
      </c>
      <c r="AN53" s="215"/>
      <c r="AO53" s="107" t="n">
        <f aca="false">AO13+AO47</f>
        <v>1265.62707211854</v>
      </c>
      <c r="AP53" s="136"/>
      <c r="AQ53" s="486"/>
      <c r="AR53" s="486"/>
      <c r="AS53" s="486"/>
      <c r="AT53" s="486"/>
      <c r="AV53" s="320" t="n">
        <f aca="false">AV13+AV47</f>
        <v>3.43</v>
      </c>
      <c r="AW53" s="215"/>
      <c r="AX53" s="215"/>
      <c r="AY53" s="299"/>
      <c r="AZ53" s="338" t="n">
        <f aca="false">AZ13+AZ47</f>
        <v>1792.13853388857</v>
      </c>
    </row>
    <row r="54" customFormat="false" ht="12.95" hidden="false" customHeight="true" outlineLevel="0" collapsed="false">
      <c r="A54" s="185" t="s">
        <v>109</v>
      </c>
      <c r="B54" s="213"/>
      <c r="C54" s="107"/>
      <c r="D54" s="107" t="n">
        <f aca="false">D13+D48</f>
        <v>-32767</v>
      </c>
      <c r="E54" s="107" t="n">
        <f aca="false">E45</f>
        <v>108918</v>
      </c>
      <c r="F54" s="214" t="n">
        <f aca="false">F53*$D$2</f>
        <v>-32693</v>
      </c>
      <c r="G54" s="107" t="n">
        <f aca="false">G53*$D$2</f>
        <v>138932.274</v>
      </c>
      <c r="H54" s="215" t="n">
        <f aca="false">H53*$D$2</f>
        <v>2400.808565</v>
      </c>
      <c r="I54" s="107" t="n">
        <f aca="false">I53*$D$2</f>
        <v>141331.852795</v>
      </c>
      <c r="J54" s="107" t="n">
        <f aca="false">J53*$D$2</f>
        <v>13876.07304</v>
      </c>
      <c r="K54" s="107" t="n">
        <f aca="false">K53*$D$2</f>
        <v>155207.906</v>
      </c>
      <c r="L54" s="107" t="n">
        <f aca="false">L53*$D$2</f>
        <v>7573.83039257525</v>
      </c>
      <c r="M54" s="216" t="n">
        <f aca="false">M53*$D$2</f>
        <v>62197.4029</v>
      </c>
      <c r="N54" s="107" t="n">
        <f aca="false">N53*$D$2</f>
        <v>228.0481858195</v>
      </c>
      <c r="O54" s="107" t="n">
        <f aca="false">O53*$D$2</f>
        <v>20399.78278175</v>
      </c>
      <c r="P54" s="158"/>
      <c r="Q54" s="215" t="n">
        <f aca="false">Q53*$D$2</f>
        <v>1121.26059456623</v>
      </c>
      <c r="R54" s="215" t="n">
        <f aca="false">R53*$D$2</f>
        <v>1399.16404091192</v>
      </c>
      <c r="S54" s="226" t="n">
        <f aca="false">S53*$D$2</f>
        <v>294.16246638856</v>
      </c>
      <c r="T54" s="226" t="n">
        <f aca="false">T53*$D$2</f>
        <v>442.41425829952</v>
      </c>
      <c r="U54" s="424" t="n">
        <f aca="false">U53*$D$2</f>
        <v>55.1380159822495</v>
      </c>
      <c r="V54" s="107" t="n">
        <f aca="false">V53*$D$2</f>
        <v>36801.859</v>
      </c>
      <c r="W54" s="107" t="n">
        <f aca="false">W53*$D$2</f>
        <v>15061.5089</v>
      </c>
      <c r="X54" s="107" t="n">
        <f aca="false">X53*$D$2</f>
        <v>96106.254685032</v>
      </c>
      <c r="Y54" s="107" t="n">
        <f aca="false">Y53*$D$2</f>
        <v>93595.8833874849</v>
      </c>
      <c r="Z54" s="107"/>
      <c r="AA54" s="107"/>
      <c r="AB54" s="107"/>
      <c r="AC54" s="107"/>
      <c r="AD54" s="215"/>
      <c r="AE54" s="107"/>
      <c r="AF54" s="266" t="n">
        <f aca="false">AF53*$D$2</f>
        <v>104.53045</v>
      </c>
      <c r="AG54" s="267" t="n">
        <f aca="false">AG53*$D$2</f>
        <v>79.93505</v>
      </c>
      <c r="AH54" s="107" t="n">
        <f aca="false">AH53*$D$2</f>
        <v>25027.803</v>
      </c>
      <c r="AI54" s="107" t="n">
        <f aca="false">AI53*$D$2</f>
        <v>17407.7075</v>
      </c>
      <c r="AJ54" s="107" t="n">
        <f aca="false">AJ53*$D$2</f>
        <v>65.4555</v>
      </c>
      <c r="AK54" s="107" t="n">
        <f aca="false">AK53*$D$2</f>
        <v>181598.663352575</v>
      </c>
      <c r="AL54" s="107" t="n">
        <f aca="false">AL53*$D$2</f>
        <v>6302.24264742475</v>
      </c>
      <c r="AM54" s="268" t="n">
        <f aca="false">AM53*$D$2</f>
        <v>187900.906</v>
      </c>
      <c r="AN54" s="94" t="n">
        <f aca="false">AN13+AN48</f>
        <v>11712.1708</v>
      </c>
      <c r="AO54" s="107" t="n">
        <f aca="false">AO53*$D$2</f>
        <v>2510.37129754712</v>
      </c>
      <c r="AP54" s="136"/>
      <c r="AQ54" s="486" t="n">
        <f aca="false">AQ13+AQ48</f>
        <v>944.348592546123</v>
      </c>
      <c r="AR54" s="158"/>
      <c r="AS54" s="158"/>
      <c r="AT54" s="158"/>
      <c r="AV54" s="320"/>
      <c r="AW54" s="215"/>
      <c r="AX54" s="215"/>
      <c r="AY54" s="299"/>
      <c r="AZ54" s="338" t="n">
        <f aca="false">AZ53*$D$2</f>
        <v>3554.70678196798</v>
      </c>
    </row>
    <row r="55" customFormat="false" ht="3" hidden="false" customHeight="true" outlineLevel="0" collapsed="false">
      <c r="A55" s="231"/>
      <c r="B55" s="488"/>
      <c r="C55" s="489"/>
      <c r="D55" s="231"/>
      <c r="E55" s="489"/>
      <c r="F55" s="490"/>
      <c r="G55" s="231"/>
      <c r="H55" s="491"/>
      <c r="I55" s="231"/>
      <c r="J55" s="231"/>
      <c r="K55" s="231"/>
      <c r="L55" s="231"/>
      <c r="M55" s="492"/>
      <c r="N55" s="231"/>
      <c r="O55" s="231"/>
      <c r="P55" s="493"/>
      <c r="Q55" s="231"/>
      <c r="R55" s="231"/>
      <c r="S55" s="231"/>
      <c r="T55" s="231"/>
      <c r="U55" s="494"/>
      <c r="V55" s="231"/>
      <c r="W55" s="231"/>
      <c r="X55" s="231"/>
      <c r="Y55" s="231"/>
      <c r="Z55" s="489"/>
      <c r="AA55" s="231"/>
      <c r="AB55" s="489"/>
      <c r="AC55" s="489"/>
      <c r="AD55" s="495"/>
      <c r="AE55" s="231"/>
      <c r="AF55" s="237"/>
      <c r="AG55" s="241"/>
      <c r="AH55" s="231"/>
      <c r="AI55" s="489"/>
      <c r="AJ55" s="489"/>
      <c r="AK55" s="231"/>
      <c r="AL55" s="231"/>
      <c r="AM55" s="231"/>
      <c r="AN55" s="252"/>
      <c r="AO55" s="234"/>
      <c r="AP55" s="240"/>
      <c r="AQ55" s="240"/>
      <c r="AR55" s="240"/>
      <c r="AS55" s="238"/>
      <c r="AT55" s="238"/>
      <c r="AU55" s="240"/>
      <c r="AV55" s="488"/>
      <c r="AW55" s="231"/>
      <c r="AX55" s="231"/>
      <c r="AY55" s="257"/>
      <c r="AZ55" s="317"/>
    </row>
    <row r="56" customFormat="false" ht="11.1" hidden="false" customHeight="true" outlineLevel="0" collapsed="false">
      <c r="A56" s="185"/>
      <c r="B56" s="173"/>
      <c r="C56" s="2"/>
      <c r="D56" s="11"/>
      <c r="E56" s="465"/>
      <c r="F56" s="1"/>
      <c r="G56" s="1"/>
      <c r="H56" s="4"/>
      <c r="I56" s="11"/>
      <c r="J56" s="11"/>
      <c r="K56" s="466"/>
      <c r="L56" s="177"/>
      <c r="M56" s="11"/>
      <c r="N56" s="11"/>
      <c r="O56" s="11"/>
      <c r="P56" s="5"/>
      <c r="Q56" s="11"/>
      <c r="R56" s="11"/>
      <c r="S56" s="11"/>
      <c r="T56" s="11"/>
      <c r="U56" s="5"/>
      <c r="V56" s="11"/>
      <c r="W56" s="11"/>
      <c r="X56" s="11"/>
      <c r="Y56" s="11"/>
      <c r="Z56" s="1"/>
      <c r="AA56" s="11"/>
      <c r="AB56" s="1"/>
      <c r="AC56" s="1"/>
      <c r="AD56" s="9"/>
      <c r="AE56" s="11"/>
      <c r="AF56" s="11"/>
      <c r="AG56" s="11"/>
      <c r="AH56" s="11"/>
      <c r="AI56" s="465"/>
      <c r="AJ56" s="468"/>
      <c r="AK56" s="465"/>
      <c r="AL56" s="185"/>
      <c r="AM56" s="185"/>
      <c r="AN56" s="183"/>
      <c r="AO56" s="183"/>
      <c r="AP56" s="325"/>
      <c r="AV56" s="8"/>
      <c r="AX56" s="182"/>
    </row>
    <row r="57" customFormat="false" ht="11.1" hidden="false" customHeight="true" outlineLevel="0" collapsed="false">
      <c r="A57" s="185"/>
      <c r="B57" s="173"/>
      <c r="C57" s="2"/>
      <c r="D57" s="1"/>
      <c r="E57" s="382"/>
      <c r="F57" s="188"/>
      <c r="G57" s="1"/>
      <c r="H57" s="4"/>
      <c r="I57" s="12"/>
      <c r="J57" s="11"/>
      <c r="K57" s="174"/>
      <c r="L57" s="179"/>
      <c r="M57" s="11"/>
      <c r="N57" s="11"/>
      <c r="O57" s="11"/>
      <c r="P57" s="5"/>
      <c r="Q57" s="11"/>
      <c r="R57" s="11"/>
      <c r="S57" s="130"/>
      <c r="T57" s="130"/>
      <c r="U57" s="93"/>
      <c r="V57" s="26"/>
      <c r="W57" s="130"/>
      <c r="X57" s="469"/>
      <c r="Y57" s="469"/>
      <c r="Z57" s="177"/>
      <c r="AA57" s="469"/>
      <c r="AB57" s="177"/>
      <c r="AC57" s="177"/>
      <c r="AE57" s="26"/>
      <c r="AF57" s="26"/>
      <c r="AG57" s="26"/>
      <c r="AH57" s="130"/>
      <c r="AI57" s="90"/>
      <c r="AJ57" s="383"/>
      <c r="AK57" s="2"/>
      <c r="AL57" s="185"/>
      <c r="AN57" s="188"/>
      <c r="AO57" s="188"/>
      <c r="AP57" s="325"/>
    </row>
    <row r="58" customFormat="false" ht="11.1" hidden="false" customHeight="true" outlineLevel="0" collapsed="false">
      <c r="B58" s="177"/>
      <c r="E58" s="382"/>
      <c r="F58" s="225"/>
      <c r="G58" s="1"/>
      <c r="H58" s="4"/>
      <c r="I58" s="1"/>
      <c r="J58" s="1"/>
      <c r="K58" s="383"/>
      <c r="L58" s="440"/>
      <c r="M58" s="470"/>
      <c r="N58" s="470"/>
      <c r="O58" s="382"/>
      <c r="P58" s="472"/>
      <c r="Q58" s="382"/>
      <c r="R58" s="382"/>
      <c r="S58" s="26"/>
      <c r="T58" s="26"/>
      <c r="U58" s="93"/>
      <c r="V58" s="26"/>
      <c r="W58" s="130"/>
      <c r="X58" s="90"/>
      <c r="Y58" s="90"/>
      <c r="Z58" s="177"/>
      <c r="AA58" s="90"/>
      <c r="AB58" s="177"/>
      <c r="AC58" s="177"/>
      <c r="AE58" s="177"/>
      <c r="AF58" s="177"/>
      <c r="AG58" s="177"/>
      <c r="AH58" s="90"/>
      <c r="AI58" s="26"/>
      <c r="AJ58" s="473"/>
      <c r="AK58" s="26"/>
      <c r="AN58" s="180"/>
      <c r="AO58" s="180"/>
      <c r="AP58" s="325"/>
    </row>
    <row r="59" customFormat="false" ht="11.1" hidden="false" customHeight="true" outlineLevel="0" collapsed="false">
      <c r="G59" s="273"/>
      <c r="AN59" s="180"/>
      <c r="AO59" s="180"/>
      <c r="AP59" s="325"/>
    </row>
  </sheetData>
  <mergeCells count="1">
    <mergeCell ref="M5:U5"/>
  </mergeCells>
  <printOptions headings="true" gridLines="true" gridLinesSet="true" horizontalCentered="false" verticalCentered="true"/>
  <pageMargins left="0.25" right="0.25" top="0.5" bottom="0" header="0.5" footer="0.511811023622047"/>
  <pageSetup paperSize="3" scale="90" fitToWidth="1" fitToHeight="1" pageOrder="downThenOver" orientation="landscape" blackAndWhite="false" draft="false" cellComments="atEnd" horizontalDpi="300" verticalDpi="300" copies="1"/>
  <headerFooter differentFirst="false" differentOddEven="false">
    <oddHeader>&amp;C2012 Approved</oddHeader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AA34" activePane="bottomRight" state="frozen"/>
      <selection pane="topLeft" activeCell="A1" activeCellId="0" sqref="A1"/>
      <selection pane="topRight" activeCell="AA1" activeCellId="0" sqref="AA1"/>
      <selection pane="bottomLeft" activeCell="A34" activeCellId="0" sqref="A34"/>
      <selection pane="bottomRight" activeCell="AD19" activeCellId="0" sqref="AD19"/>
    </sheetView>
  </sheetViews>
  <sheetFormatPr defaultColWidth="9.328125" defaultRowHeight="11.1" zeroHeight="false" outlineLevelRow="0" outlineLevelCol="0"/>
  <cols>
    <col collapsed="false" customWidth="true" hidden="false" outlineLevel="0" max="1" min="1" style="176" width="4.66"/>
    <col collapsed="false" customWidth="true" hidden="false" outlineLevel="0" max="2" min="2" style="176" width="6.99"/>
    <col collapsed="false" customWidth="true" hidden="false" outlineLevel="0" max="3" min="3" style="177" width="6.32"/>
    <col collapsed="false" customWidth="true" hidden="false" outlineLevel="0" max="4" min="4" style="176" width="6.32"/>
    <col collapsed="false" customWidth="true" hidden="false" outlineLevel="0" max="5" min="5" style="177" width="6.99"/>
    <col collapsed="false" customWidth="true" hidden="false" outlineLevel="0" max="6" min="6" style="176" width="7.32"/>
    <col collapsed="false" customWidth="true" hidden="false" outlineLevel="0" max="7" min="7" style="176" width="6.82"/>
    <col collapsed="false" customWidth="true" hidden="false" outlineLevel="0" max="8" min="8" style="186" width="5.66"/>
    <col collapsed="false" customWidth="true" hidden="false" outlineLevel="0" max="11" min="9" style="176" width="6.32"/>
    <col collapsed="false" customWidth="true" hidden="false" outlineLevel="0" max="12" min="12" style="176" width="6.82"/>
    <col collapsed="false" customWidth="true" hidden="false" outlineLevel="0" max="13" min="13" style="179" width="5.49"/>
    <col collapsed="false" customWidth="true" hidden="false" outlineLevel="0" max="14" min="14" style="179" width="4.49"/>
    <col collapsed="false" customWidth="true" hidden="false" outlineLevel="0" max="15" min="15" style="179" width="5.49"/>
    <col collapsed="false" customWidth="true" hidden="false" outlineLevel="0" max="16" min="16" style="8" width="4.82"/>
    <col collapsed="false" customWidth="true" hidden="false" outlineLevel="0" max="20" min="17" style="176" width="4.32"/>
    <col collapsed="false" customWidth="true" hidden="false" outlineLevel="0" max="21" min="21" style="8" width="5.16"/>
    <col collapsed="false" customWidth="true" hidden="false" outlineLevel="0" max="22" min="22" style="176" width="5.49"/>
    <col collapsed="false" customWidth="true" hidden="false" outlineLevel="0" max="23" min="23" style="177" width="5.49"/>
    <col collapsed="false" customWidth="true" hidden="false" outlineLevel="0" max="25" min="24" style="176" width="6.32"/>
    <col collapsed="false" customWidth="true" hidden="false" outlineLevel="0" max="26" min="26" style="176" width="5.49"/>
    <col collapsed="false" customWidth="true" hidden="false" outlineLevel="0" max="27" min="27" style="176" width="6.32"/>
    <col collapsed="false" customWidth="true" hidden="false" outlineLevel="0" max="28" min="28" style="176" width="5.49"/>
    <col collapsed="false" customWidth="true" hidden="false" outlineLevel="0" max="29" min="29" style="177" width="5.82"/>
    <col collapsed="false" customWidth="true" hidden="false" outlineLevel="0" max="30" min="30" style="177" width="5.49"/>
    <col collapsed="false" customWidth="true" hidden="false" outlineLevel="0" max="33" min="31" style="176" width="5.49"/>
    <col collapsed="false" customWidth="true" hidden="false" outlineLevel="0" max="34" min="34" style="176" width="6.32"/>
    <col collapsed="false" customWidth="true" hidden="false" outlineLevel="0" max="35" min="35" style="176" width="5.49"/>
    <col collapsed="false" customWidth="true" hidden="false" outlineLevel="0" max="36" min="36" style="180" width="6.32"/>
    <col collapsed="false" customWidth="true" hidden="false" outlineLevel="0" max="37" min="37" style="8" width="6.32"/>
    <col collapsed="false" customWidth="true" hidden="false" outlineLevel="0" max="38" min="38" style="178" width="6.82"/>
    <col collapsed="false" customWidth="true" hidden="false" outlineLevel="0" max="39" min="39" style="182" width="6.82"/>
    <col collapsed="false" customWidth="true" hidden="false" outlineLevel="0" max="41" min="40" style="384" width="5.49"/>
    <col collapsed="false" customWidth="true" hidden="false" outlineLevel="0" max="42" min="42" style="411" width="6.32"/>
    <col collapsed="false" customWidth="true" hidden="false" outlineLevel="0" max="43" min="43" style="180" width="6.32"/>
    <col collapsed="false" customWidth="true" hidden="false" outlineLevel="0" max="44" min="44" style="180" width="5.49"/>
    <col collapsed="false" customWidth="true" hidden="false" outlineLevel="0" max="45" min="45" style="180" width="5.32"/>
    <col collapsed="false" customWidth="true" hidden="false" outlineLevel="0" max="46" min="46" style="325" width="5.82"/>
    <col collapsed="false" customWidth="true" hidden="false" outlineLevel="0" max="47" min="47" style="325" width="4.99"/>
    <col collapsed="false" customWidth="true" hidden="false" outlineLevel="0" max="48" min="48" style="183" width="5.32"/>
    <col collapsed="false" customWidth="true" hidden="false" outlineLevel="0" max="50" min="49" style="176" width="3.82"/>
    <col collapsed="false" customWidth="true" hidden="false" outlineLevel="0" max="51" min="51" style="184" width="3.82"/>
    <col collapsed="false" customWidth="true" hidden="false" outlineLevel="0" max="52" min="52" style="184" width="5.49"/>
    <col collapsed="false" customWidth="false" hidden="false" outlineLevel="0" max="257" min="53" style="184" width="9.32"/>
  </cols>
  <sheetData>
    <row r="1" customFormat="false" ht="14.1" hidden="false" customHeight="true" outlineLevel="0" collapsed="false">
      <c r="A1" s="185"/>
      <c r="B1" s="185"/>
      <c r="D1" s="185"/>
      <c r="F1" s="185"/>
      <c r="G1" s="185"/>
      <c r="I1" s="185"/>
      <c r="J1" s="185"/>
      <c r="K1" s="187" t="s">
        <v>0</v>
      </c>
      <c r="L1" s="185"/>
      <c r="M1" s="185"/>
      <c r="N1" s="185"/>
      <c r="O1" s="185"/>
      <c r="Q1" s="8"/>
      <c r="R1" s="8"/>
      <c r="S1" s="8"/>
      <c r="T1" s="8"/>
      <c r="V1" s="185"/>
      <c r="W1" s="185"/>
      <c r="X1" s="177"/>
      <c r="Y1" s="177"/>
      <c r="Z1" s="185"/>
      <c r="AA1" s="177"/>
      <c r="AB1" s="185"/>
      <c r="AC1" s="185"/>
      <c r="AE1" s="185"/>
      <c r="AF1" s="185"/>
      <c r="AG1" s="185"/>
      <c r="AH1" s="177"/>
      <c r="AI1" s="185"/>
      <c r="AJ1" s="188"/>
      <c r="AK1" s="185"/>
      <c r="AL1" s="185"/>
      <c r="AM1" s="8"/>
      <c r="AN1" s="188"/>
      <c r="AO1" s="188"/>
      <c r="AQ1" s="384"/>
      <c r="AR1" s="384"/>
      <c r="AS1" s="407"/>
      <c r="AV1" s="178"/>
      <c r="AW1" s="182"/>
      <c r="AX1" s="183"/>
    </row>
    <row r="2" customFormat="false" ht="14.1" hidden="false" customHeight="true" outlineLevel="0" collapsed="false">
      <c r="A2" s="188" t="s">
        <v>1</v>
      </c>
      <c r="B2" s="185"/>
      <c r="D2" s="189" t="n">
        <v>1.9835</v>
      </c>
      <c r="F2" s="185"/>
      <c r="G2" s="185"/>
      <c r="I2" s="185"/>
      <c r="J2" s="185"/>
      <c r="K2" s="191" t="s">
        <v>136</v>
      </c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2" t="s">
        <v>114</v>
      </c>
      <c r="AA2" s="192"/>
      <c r="AB2" s="192"/>
      <c r="AC2" s="192"/>
      <c r="AD2" s="192"/>
      <c r="AE2" s="185"/>
      <c r="AF2" s="185"/>
      <c r="AG2" s="185"/>
      <c r="AH2" s="177"/>
      <c r="AI2" s="185"/>
      <c r="AJ2" s="188"/>
      <c r="AK2" s="185"/>
      <c r="AL2" s="185"/>
      <c r="AM2" s="8"/>
      <c r="AN2" s="188"/>
      <c r="AO2" s="188"/>
      <c r="AQ2" s="384"/>
      <c r="AR2" s="384"/>
      <c r="AS2" s="407"/>
      <c r="AV2" s="178"/>
      <c r="AW2" s="182"/>
      <c r="AX2" s="183"/>
    </row>
    <row r="3" customFormat="false" ht="14.1" hidden="false" customHeight="true" outlineLevel="0" collapsed="false">
      <c r="A3" s="195"/>
      <c r="B3" s="195"/>
      <c r="C3" s="196"/>
      <c r="D3" s="197"/>
      <c r="E3" s="196"/>
      <c r="F3" s="195"/>
      <c r="G3" s="195"/>
      <c r="H3" s="198"/>
      <c r="I3" s="195"/>
      <c r="J3" s="195"/>
      <c r="K3" s="195"/>
      <c r="L3" s="195"/>
      <c r="M3" s="195"/>
      <c r="N3" s="195"/>
      <c r="O3" s="196"/>
      <c r="P3" s="199"/>
      <c r="Q3" s="199"/>
      <c r="R3" s="199"/>
      <c r="S3" s="199"/>
      <c r="T3" s="199"/>
      <c r="U3" s="199"/>
      <c r="V3" s="195"/>
      <c r="W3" s="195"/>
      <c r="X3" s="196"/>
      <c r="Y3" s="196"/>
      <c r="Z3" s="195"/>
      <c r="AA3" s="196"/>
      <c r="AB3" s="195"/>
      <c r="AC3" s="195"/>
      <c r="AD3" s="196"/>
      <c r="AE3" s="195"/>
      <c r="AF3" s="195"/>
      <c r="AG3" s="195"/>
      <c r="AH3" s="196"/>
      <c r="AI3" s="195"/>
      <c r="AJ3" s="201"/>
      <c r="AK3" s="195"/>
      <c r="AL3" s="195"/>
      <c r="AM3" s="199"/>
      <c r="AN3" s="201"/>
      <c r="AO3" s="201"/>
      <c r="AP3" s="496"/>
      <c r="AQ3" s="497"/>
      <c r="AR3" s="384"/>
      <c r="AS3" s="407"/>
      <c r="AV3" s="204"/>
      <c r="AW3" s="205"/>
      <c r="AX3" s="206"/>
    </row>
    <row r="4" s="176" customFormat="true" ht="14.1" hidden="false" customHeight="true" outlineLevel="0" collapsed="false">
      <c r="A4" s="185"/>
      <c r="B4" s="388"/>
      <c r="C4" s="389"/>
      <c r="D4" s="390" t="s">
        <v>3</v>
      </c>
      <c r="E4" s="389"/>
      <c r="F4" s="498"/>
      <c r="G4" s="185"/>
      <c r="H4" s="186"/>
      <c r="I4" s="499" t="s">
        <v>111</v>
      </c>
      <c r="J4" s="185"/>
      <c r="K4" s="185"/>
      <c r="L4" s="393"/>
      <c r="M4" s="185"/>
      <c r="N4" s="185"/>
      <c r="O4" s="185"/>
      <c r="P4" s="8"/>
      <c r="Q4" s="8"/>
      <c r="R4" s="8"/>
      <c r="S4" s="8"/>
      <c r="T4" s="8"/>
      <c r="U4" s="8"/>
      <c r="V4" s="398"/>
      <c r="W4" s="185"/>
      <c r="X4" s="398" t="s">
        <v>5</v>
      </c>
      <c r="Y4" s="177"/>
      <c r="Z4" s="185"/>
      <c r="AA4" s="177"/>
      <c r="AB4" s="185"/>
      <c r="AC4" s="185"/>
      <c r="AD4" s="177"/>
      <c r="AE4" s="185"/>
      <c r="AF4" s="185"/>
      <c r="AG4" s="185"/>
      <c r="AH4" s="177"/>
      <c r="AI4" s="185"/>
      <c r="AJ4" s="188"/>
      <c r="AK4" s="185"/>
      <c r="AL4" s="185"/>
      <c r="AM4" s="8"/>
      <c r="AN4" s="500"/>
      <c r="AO4" s="188"/>
      <c r="AP4" s="501" t="s">
        <v>6</v>
      </c>
      <c r="AQ4" s="502"/>
      <c r="AR4" s="503"/>
      <c r="AS4" s="504"/>
      <c r="AT4" s="397"/>
      <c r="AU4" s="397"/>
      <c r="AV4" s="400"/>
      <c r="AW4" s="401" t="s">
        <v>7</v>
      </c>
      <c r="AX4" s="402"/>
      <c r="AY4" s="403"/>
      <c r="AZ4" s="404"/>
    </row>
    <row r="5" customFormat="false" ht="12.95" hidden="false" customHeight="true" outlineLevel="0" collapsed="false">
      <c r="A5" s="323" t="s">
        <v>8</v>
      </c>
      <c r="B5" s="405" t="s">
        <v>9</v>
      </c>
      <c r="C5" s="406" t="s">
        <v>9</v>
      </c>
      <c r="D5" s="323" t="s">
        <v>10</v>
      </c>
      <c r="E5" s="406" t="s">
        <v>11</v>
      </c>
      <c r="F5" s="323" t="s">
        <v>12</v>
      </c>
      <c r="G5" s="405" t="s">
        <v>13</v>
      </c>
      <c r="H5" s="407" t="s">
        <v>14</v>
      </c>
      <c r="I5" s="323" t="s">
        <v>15</v>
      </c>
      <c r="J5" s="323" t="s">
        <v>16</v>
      </c>
      <c r="K5" s="323" t="s">
        <v>17</v>
      </c>
      <c r="L5" s="417" t="s">
        <v>16</v>
      </c>
      <c r="M5" s="447" t="s">
        <v>18</v>
      </c>
      <c r="N5" s="447"/>
      <c r="O5" s="447"/>
      <c r="P5" s="447"/>
      <c r="Q5" s="447"/>
      <c r="R5" s="447"/>
      <c r="S5" s="447"/>
      <c r="T5" s="447"/>
      <c r="U5" s="447"/>
      <c r="V5" s="323" t="s">
        <v>19</v>
      </c>
      <c r="W5" s="323" t="s">
        <v>20</v>
      </c>
      <c r="X5" s="55" t="s">
        <v>17</v>
      </c>
      <c r="Y5" s="55" t="s">
        <v>17</v>
      </c>
      <c r="Z5" s="61" t="s">
        <v>21</v>
      </c>
      <c r="AA5" s="55" t="s">
        <v>21</v>
      </c>
      <c r="AB5" s="61" t="s">
        <v>21</v>
      </c>
      <c r="AC5" s="406" t="s">
        <v>22</v>
      </c>
      <c r="AD5" s="406" t="s">
        <v>21</v>
      </c>
      <c r="AE5" s="323" t="s">
        <v>23</v>
      </c>
      <c r="AF5" s="409" t="s">
        <v>127</v>
      </c>
      <c r="AG5" s="410"/>
      <c r="AH5" s="411" t="s">
        <v>25</v>
      </c>
      <c r="AI5" s="406" t="s">
        <v>128</v>
      </c>
      <c r="AJ5" s="406" t="s">
        <v>27</v>
      </c>
      <c r="AK5" s="323" t="s">
        <v>15</v>
      </c>
      <c r="AL5" s="323" t="s">
        <v>16</v>
      </c>
      <c r="AM5" s="323" t="s">
        <v>17</v>
      </c>
      <c r="AN5" s="448" t="s">
        <v>28</v>
      </c>
      <c r="AO5" s="61" t="s">
        <v>21</v>
      </c>
      <c r="AP5" s="67" t="s">
        <v>29</v>
      </c>
      <c r="AQ5" s="67" t="s">
        <v>29</v>
      </c>
      <c r="AR5" s="62" t="s">
        <v>30</v>
      </c>
      <c r="AS5" s="68" t="s">
        <v>31</v>
      </c>
      <c r="AT5" s="407" t="s">
        <v>32</v>
      </c>
      <c r="AU5" s="210" t="s">
        <v>33</v>
      </c>
      <c r="AV5" s="412" t="s">
        <v>34</v>
      </c>
      <c r="AW5" s="411" t="s">
        <v>35</v>
      </c>
      <c r="AX5" s="411" t="s">
        <v>36</v>
      </c>
      <c r="AY5" s="299"/>
      <c r="AZ5" s="295" t="s">
        <v>17</v>
      </c>
    </row>
    <row r="6" customFormat="false" ht="12.95" hidden="false" customHeight="true" outlineLevel="0" collapsed="false">
      <c r="A6" s="413" t="s">
        <v>137</v>
      </c>
      <c r="B6" s="405" t="s">
        <v>38</v>
      </c>
      <c r="C6" s="406"/>
      <c r="D6" s="323" t="s">
        <v>39</v>
      </c>
      <c r="E6" s="406" t="s">
        <v>40</v>
      </c>
      <c r="F6" s="323" t="s">
        <v>41</v>
      </c>
      <c r="G6" s="405" t="s">
        <v>42</v>
      </c>
      <c r="H6" s="407" t="s">
        <v>43</v>
      </c>
      <c r="I6" s="323" t="s">
        <v>44</v>
      </c>
      <c r="J6" s="323" t="s">
        <v>44</v>
      </c>
      <c r="K6" s="323" t="s">
        <v>44</v>
      </c>
      <c r="L6" s="417" t="s">
        <v>45</v>
      </c>
      <c r="M6" s="323" t="s">
        <v>46</v>
      </c>
      <c r="N6" s="69" t="s">
        <v>47</v>
      </c>
      <c r="O6" s="323" t="s">
        <v>48</v>
      </c>
      <c r="P6" s="69" t="s">
        <v>49</v>
      </c>
      <c r="Q6" s="58" t="s">
        <v>50</v>
      </c>
      <c r="R6" s="58" t="s">
        <v>51</v>
      </c>
      <c r="S6" s="58"/>
      <c r="T6" s="58" t="s">
        <v>48</v>
      </c>
      <c r="U6" s="415" t="s">
        <v>52</v>
      </c>
      <c r="V6" s="323" t="s">
        <v>53</v>
      </c>
      <c r="W6" s="323" t="s">
        <v>54</v>
      </c>
      <c r="X6" s="55" t="s">
        <v>21</v>
      </c>
      <c r="Y6" s="55" t="s">
        <v>21</v>
      </c>
      <c r="Z6" s="61" t="s">
        <v>55</v>
      </c>
      <c r="AA6" s="55" t="s">
        <v>55</v>
      </c>
      <c r="AB6" s="61" t="s">
        <v>56</v>
      </c>
      <c r="AC6" s="406" t="s">
        <v>57</v>
      </c>
      <c r="AD6" s="406" t="s">
        <v>58</v>
      </c>
      <c r="AE6" s="417" t="s">
        <v>59</v>
      </c>
      <c r="AF6" s="58" t="s">
        <v>60</v>
      </c>
      <c r="AG6" s="58" t="s">
        <v>61</v>
      </c>
      <c r="AH6" s="505" t="s">
        <v>62</v>
      </c>
      <c r="AI6" s="406" t="s">
        <v>63</v>
      </c>
      <c r="AJ6" s="406"/>
      <c r="AK6" s="323" t="s">
        <v>64</v>
      </c>
      <c r="AL6" s="323" t="s">
        <v>64</v>
      </c>
      <c r="AM6" s="323" t="s">
        <v>64</v>
      </c>
      <c r="AN6" s="448" t="s">
        <v>65</v>
      </c>
      <c r="AO6" s="61" t="s">
        <v>66</v>
      </c>
      <c r="AP6" s="67" t="s">
        <v>67</v>
      </c>
      <c r="AQ6" s="67" t="s">
        <v>67</v>
      </c>
      <c r="AR6" s="62" t="s">
        <v>68</v>
      </c>
      <c r="AS6" s="68" t="s">
        <v>69</v>
      </c>
      <c r="AT6" s="407" t="s">
        <v>70</v>
      </c>
      <c r="AU6" s="210" t="s">
        <v>71</v>
      </c>
      <c r="AV6" s="416"/>
      <c r="AW6" s="411" t="s">
        <v>72</v>
      </c>
      <c r="AX6" s="411" t="s">
        <v>72</v>
      </c>
      <c r="AY6" s="299"/>
      <c r="AZ6" s="295" t="s">
        <v>73</v>
      </c>
    </row>
    <row r="7" customFormat="false" ht="12.95" hidden="false" customHeight="true" outlineLevel="0" collapsed="false">
      <c r="A7" s="323"/>
      <c r="B7" s="405"/>
      <c r="C7" s="406"/>
      <c r="D7" s="323"/>
      <c r="E7" s="406"/>
      <c r="F7" s="323"/>
      <c r="G7" s="405"/>
      <c r="H7" s="407"/>
      <c r="I7" s="323"/>
      <c r="J7" s="323"/>
      <c r="K7" s="323"/>
      <c r="L7" s="417"/>
      <c r="M7" s="323"/>
      <c r="N7" s="69" t="s">
        <v>74</v>
      </c>
      <c r="O7" s="323" t="s">
        <v>75</v>
      </c>
      <c r="P7" s="69"/>
      <c r="Q7" s="58" t="s">
        <v>76</v>
      </c>
      <c r="R7" s="58" t="s">
        <v>76</v>
      </c>
      <c r="S7" s="58" t="s">
        <v>61</v>
      </c>
      <c r="T7" s="58" t="s">
        <v>61</v>
      </c>
      <c r="U7" s="415" t="s">
        <v>77</v>
      </c>
      <c r="V7" s="323"/>
      <c r="W7" s="323"/>
      <c r="X7" s="65" t="s">
        <v>78</v>
      </c>
      <c r="Y7" s="57" t="s">
        <v>79</v>
      </c>
      <c r="Z7" s="61" t="s">
        <v>80</v>
      </c>
      <c r="AA7" s="55" t="s">
        <v>81</v>
      </c>
      <c r="AB7" s="61" t="s">
        <v>82</v>
      </c>
      <c r="AC7" s="406"/>
      <c r="AD7" s="406"/>
      <c r="AE7" s="417"/>
      <c r="AF7" s="79" t="n">
        <v>1.7</v>
      </c>
      <c r="AG7" s="79" t="n">
        <v>1.3</v>
      </c>
      <c r="AH7" s="505"/>
      <c r="AI7" s="406"/>
      <c r="AJ7" s="406"/>
      <c r="AK7" s="323"/>
      <c r="AL7" s="323"/>
      <c r="AM7" s="323"/>
      <c r="AN7" s="448"/>
      <c r="AO7" s="61" t="s">
        <v>41</v>
      </c>
      <c r="AP7" s="67" t="s">
        <v>83</v>
      </c>
      <c r="AQ7" s="67" t="s">
        <v>84</v>
      </c>
      <c r="AR7" s="62" t="s">
        <v>85</v>
      </c>
      <c r="AS7" s="68" t="s">
        <v>86</v>
      </c>
      <c r="AT7" s="407" t="s">
        <v>87</v>
      </c>
      <c r="AU7" s="210" t="s">
        <v>88</v>
      </c>
      <c r="AV7" s="416"/>
      <c r="AW7" s="411"/>
      <c r="AX7" s="411"/>
      <c r="AY7" s="299"/>
      <c r="AZ7" s="295" t="s">
        <v>97</v>
      </c>
    </row>
    <row r="8" customFormat="false" ht="12.95" hidden="false" customHeight="true" outlineLevel="0" collapsed="false">
      <c r="A8" s="323"/>
      <c r="B8" s="405"/>
      <c r="C8" s="406"/>
      <c r="D8" s="323"/>
      <c r="E8" s="406"/>
      <c r="F8" s="323"/>
      <c r="G8" s="405"/>
      <c r="H8" s="407"/>
      <c r="I8" s="323"/>
      <c r="J8" s="323"/>
      <c r="K8" s="323"/>
      <c r="L8" s="417"/>
      <c r="M8" s="323"/>
      <c r="N8" s="69"/>
      <c r="O8" s="406" t="n">
        <f aca="false">24517</f>
        <v>24517</v>
      </c>
      <c r="P8" s="69"/>
      <c r="Q8" s="58" t="s">
        <v>61</v>
      </c>
      <c r="R8" s="58" t="s">
        <v>61</v>
      </c>
      <c r="S8" s="58"/>
      <c r="T8" s="58"/>
      <c r="U8" s="415"/>
      <c r="V8" s="323"/>
      <c r="W8" s="323"/>
      <c r="X8" s="65" t="s">
        <v>90</v>
      </c>
      <c r="Y8" s="57" t="s">
        <v>78</v>
      </c>
      <c r="Z8" s="61"/>
      <c r="AA8" s="57" t="s">
        <v>91</v>
      </c>
      <c r="AB8" s="61" t="s">
        <v>92</v>
      </c>
      <c r="AC8" s="406"/>
      <c r="AD8" s="406"/>
      <c r="AE8" s="417"/>
      <c r="AF8" s="192"/>
      <c r="AG8" s="192"/>
      <c r="AH8" s="505"/>
      <c r="AI8" s="406"/>
      <c r="AJ8" s="406"/>
      <c r="AK8" s="323"/>
      <c r="AL8" s="323"/>
      <c r="AM8" s="323"/>
      <c r="AN8" s="448"/>
      <c r="AO8" s="61" t="n">
        <v>3000</v>
      </c>
      <c r="AP8" s="67"/>
      <c r="AQ8" s="67"/>
      <c r="AR8" s="62"/>
      <c r="AS8" s="62" t="n">
        <v>1487.6</v>
      </c>
      <c r="AT8" s="407"/>
      <c r="AU8" s="210" t="n">
        <v>3000</v>
      </c>
      <c r="AV8" s="416"/>
      <c r="AW8" s="411"/>
      <c r="AX8" s="411"/>
      <c r="AY8" s="299"/>
      <c r="AZ8" s="295"/>
    </row>
    <row r="9" customFormat="false" ht="12.95" hidden="false" customHeight="true" outlineLevel="0" collapsed="false">
      <c r="A9" s="323"/>
      <c r="B9" s="405"/>
      <c r="C9" s="406"/>
      <c r="D9" s="323"/>
      <c r="E9" s="406"/>
      <c r="F9" s="323"/>
      <c r="G9" s="405"/>
      <c r="H9" s="407"/>
      <c r="I9" s="323"/>
      <c r="J9" s="323"/>
      <c r="K9" s="323"/>
      <c r="L9" s="417"/>
      <c r="M9" s="323"/>
      <c r="N9" s="69"/>
      <c r="O9" s="406" t="n">
        <v>27517</v>
      </c>
      <c r="P9" s="69"/>
      <c r="Q9" s="58"/>
      <c r="R9" s="81" t="n">
        <v>4.2</v>
      </c>
      <c r="S9" s="58"/>
      <c r="T9" s="58"/>
      <c r="U9" s="415"/>
      <c r="V9" s="323"/>
      <c r="W9" s="323"/>
      <c r="X9" s="65"/>
      <c r="Y9" s="57" t="s">
        <v>90</v>
      </c>
      <c r="Z9" s="61"/>
      <c r="AA9" s="57" t="s">
        <v>90</v>
      </c>
      <c r="AB9" s="61" t="s">
        <v>93</v>
      </c>
      <c r="AC9" s="406"/>
      <c r="AD9" s="406"/>
      <c r="AE9" s="417"/>
      <c r="AF9" s="192"/>
      <c r="AG9" s="192"/>
      <c r="AH9" s="505"/>
      <c r="AI9" s="406"/>
      <c r="AJ9" s="406"/>
      <c r="AK9" s="323"/>
      <c r="AL9" s="323"/>
      <c r="AM9" s="323"/>
      <c r="AN9" s="448"/>
      <c r="AO9" s="61"/>
      <c r="AP9" s="67"/>
      <c r="AQ9" s="67"/>
      <c r="AR9" s="62"/>
      <c r="AS9" s="68"/>
      <c r="AT9" s="407"/>
      <c r="AU9" s="210"/>
      <c r="AV9" s="416"/>
      <c r="AW9" s="411"/>
      <c r="AX9" s="411"/>
      <c r="AY9" s="299"/>
      <c r="AZ9" s="295"/>
    </row>
    <row r="10" customFormat="false" ht="12.95" hidden="false" customHeight="true" outlineLevel="0" collapsed="false">
      <c r="A10" s="323"/>
      <c r="B10" s="405"/>
      <c r="C10" s="406" t="s">
        <v>10</v>
      </c>
      <c r="D10" s="323"/>
      <c r="E10" s="406" t="s">
        <v>95</v>
      </c>
      <c r="F10" s="323"/>
      <c r="G10" s="405" t="s">
        <v>41</v>
      </c>
      <c r="H10" s="407" t="s">
        <v>41</v>
      </c>
      <c r="I10" s="407" t="s">
        <v>41</v>
      </c>
      <c r="J10" s="407" t="s">
        <v>41</v>
      </c>
      <c r="K10" s="407" t="s">
        <v>41</v>
      </c>
      <c r="L10" s="420" t="s">
        <v>41</v>
      </c>
      <c r="M10" s="407" t="s">
        <v>41</v>
      </c>
      <c r="N10" s="407" t="s">
        <v>41</v>
      </c>
      <c r="O10" s="407" t="s">
        <v>41</v>
      </c>
      <c r="P10" s="407" t="s">
        <v>41</v>
      </c>
      <c r="Q10" s="58" t="s">
        <v>41</v>
      </c>
      <c r="R10" s="58" t="s">
        <v>41</v>
      </c>
      <c r="S10" s="58" t="s">
        <v>41</v>
      </c>
      <c r="T10" s="58" t="s">
        <v>41</v>
      </c>
      <c r="U10" s="420" t="s">
        <v>41</v>
      </c>
      <c r="V10" s="407" t="s">
        <v>41</v>
      </c>
      <c r="W10" s="407" t="s">
        <v>41</v>
      </c>
      <c r="X10" s="57" t="n">
        <v>153400</v>
      </c>
      <c r="Y10" s="57" t="n">
        <v>150400</v>
      </c>
      <c r="Z10" s="58" t="s">
        <v>41</v>
      </c>
      <c r="AA10" s="57"/>
      <c r="AB10" s="57" t="n">
        <v>72000</v>
      </c>
      <c r="AC10" s="407" t="s">
        <v>41</v>
      </c>
      <c r="AD10" s="406" t="s">
        <v>41</v>
      </c>
      <c r="AE10" s="407" t="s">
        <v>41</v>
      </c>
      <c r="AF10" s="421" t="s">
        <v>41</v>
      </c>
      <c r="AG10" s="420" t="s">
        <v>41</v>
      </c>
      <c r="AH10" s="407" t="s">
        <v>41</v>
      </c>
      <c r="AI10" s="407" t="s">
        <v>41</v>
      </c>
      <c r="AJ10" s="407" t="s">
        <v>41</v>
      </c>
      <c r="AK10" s="407" t="s">
        <v>41</v>
      </c>
      <c r="AL10" s="407" t="s">
        <v>41</v>
      </c>
      <c r="AM10" s="407" t="s">
        <v>41</v>
      </c>
      <c r="AN10" s="448" t="s">
        <v>95</v>
      </c>
      <c r="AO10" s="61" t="s">
        <v>41</v>
      </c>
      <c r="AP10" s="61" t="s">
        <v>41</v>
      </c>
      <c r="AQ10" s="67" t="s">
        <v>96</v>
      </c>
      <c r="AR10" s="62" t="s">
        <v>41</v>
      </c>
      <c r="AS10" s="61" t="s">
        <v>41</v>
      </c>
      <c r="AT10" s="62" t="s">
        <v>41</v>
      </c>
      <c r="AU10" s="61" t="s">
        <v>41</v>
      </c>
      <c r="AV10" s="416"/>
      <c r="AW10" s="411"/>
      <c r="AX10" s="411"/>
      <c r="AY10" s="299"/>
      <c r="AZ10" s="295" t="s">
        <v>41</v>
      </c>
    </row>
    <row r="11" customFormat="false" ht="12.95" hidden="false" customHeight="true" outlineLevel="0" collapsed="false">
      <c r="A11" s="323"/>
      <c r="B11" s="405"/>
      <c r="C11" s="406"/>
      <c r="D11" s="323"/>
      <c r="E11" s="406"/>
      <c r="F11" s="323"/>
      <c r="G11" s="405"/>
      <c r="H11" s="407"/>
      <c r="I11" s="323"/>
      <c r="J11" s="323"/>
      <c r="K11" s="323"/>
      <c r="L11" s="417"/>
      <c r="M11" s="323"/>
      <c r="N11" s="69" t="n">
        <v>1.03</v>
      </c>
      <c r="O11" s="422" t="n">
        <v>1.05</v>
      </c>
      <c r="P11" s="69" t="n">
        <v>1.02</v>
      </c>
      <c r="Q11" s="82" t="n">
        <v>1.02</v>
      </c>
      <c r="R11" s="83" t="n">
        <v>1.04</v>
      </c>
      <c r="S11" s="58"/>
      <c r="T11" s="82" t="n">
        <v>1.04</v>
      </c>
      <c r="U11" s="415"/>
      <c r="V11" s="323"/>
      <c r="W11" s="323"/>
      <c r="X11" s="58" t="s">
        <v>41</v>
      </c>
      <c r="Y11" s="58" t="s">
        <v>41</v>
      </c>
      <c r="Z11" s="58" t="s">
        <v>41</v>
      </c>
      <c r="AA11" s="57" t="s">
        <v>41</v>
      </c>
      <c r="AB11" s="84" t="s">
        <v>98</v>
      </c>
      <c r="AC11" s="406"/>
      <c r="AD11" s="406"/>
      <c r="AE11" s="323"/>
      <c r="AF11" s="418"/>
      <c r="AG11" s="419"/>
      <c r="AH11" s="411"/>
      <c r="AI11" s="406"/>
      <c r="AJ11" s="406"/>
      <c r="AK11" s="323"/>
      <c r="AL11" s="323"/>
      <c r="AM11" s="323"/>
      <c r="AN11" s="448"/>
      <c r="AO11" s="61"/>
      <c r="AP11" s="67"/>
      <c r="AQ11" s="67"/>
      <c r="AR11" s="62"/>
      <c r="AS11" s="87"/>
      <c r="AU11" s="180"/>
      <c r="AV11" s="416"/>
      <c r="AW11" s="411"/>
      <c r="AX11" s="411"/>
      <c r="AY11" s="299"/>
      <c r="AZ11" s="331"/>
    </row>
    <row r="12" customFormat="false" ht="12.95" hidden="false" customHeight="true" outlineLevel="0" collapsed="false">
      <c r="A12" s="188" t="s">
        <v>99</v>
      </c>
      <c r="B12" s="506"/>
      <c r="D12" s="177"/>
      <c r="F12" s="277" t="n">
        <f aca="false">JUL!F50</f>
        <v>-21300.2268716915</v>
      </c>
      <c r="G12" s="177" t="n">
        <f aca="false">JUL!G50</f>
        <v>57980</v>
      </c>
      <c r="H12" s="177" t="n">
        <f aca="false">JUL!H50</f>
        <v>728.31</v>
      </c>
      <c r="I12" s="177" t="n">
        <f aca="false">JUL!I50</f>
        <v>58708.31</v>
      </c>
      <c r="J12" s="177" t="n">
        <f aca="false">JUL!J50</f>
        <v>2101.56362742627</v>
      </c>
      <c r="K12" s="177" t="n">
        <f aca="false">JUL!K50</f>
        <v>60809.8636274263</v>
      </c>
      <c r="L12" s="507" t="n">
        <f aca="false">JUL!L50</f>
        <v>-479.069270191454</v>
      </c>
      <c r="M12" s="177" t="n">
        <f aca="false">JUL!M50</f>
        <v>30568.7</v>
      </c>
      <c r="N12" s="177" t="n">
        <f aca="false">JUL!N50</f>
        <v>114.972617</v>
      </c>
      <c r="O12" s="177" t="n">
        <f aca="false">JUL!O50</f>
        <v>10284.7405</v>
      </c>
      <c r="P12" s="272" t="n">
        <f aca="false">JUL!P50</f>
        <v>7.32</v>
      </c>
      <c r="Q12" s="8"/>
      <c r="R12" s="8"/>
      <c r="S12" s="8"/>
      <c r="T12" s="8"/>
      <c r="U12" s="508"/>
      <c r="V12" s="177" t="n">
        <f aca="false">JUL!V50</f>
        <v>12707</v>
      </c>
      <c r="W12" s="177" t="n">
        <f aca="false">JUL!W50</f>
        <v>7533.9</v>
      </c>
      <c r="X12" s="177" t="n">
        <f aca="false">JUL!X50</f>
        <v>42381.2345194651</v>
      </c>
      <c r="Y12" s="177" t="n">
        <f aca="false">JUL!Y50</f>
        <v>41318.4045194651</v>
      </c>
      <c r="Z12" s="177" t="n">
        <f aca="false">JUL!Z45</f>
        <v>0</v>
      </c>
      <c r="AA12" s="177"/>
      <c r="AB12" s="177"/>
      <c r="AC12" s="177" t="n">
        <f aca="false">JUL!AC45</f>
        <v>689.347729991995</v>
      </c>
      <c r="AD12" s="177" t="n">
        <f aca="false">JUL!AD45</f>
        <v>13433.3249306781</v>
      </c>
      <c r="AE12" s="177" t="n">
        <f aca="false">JUL!AE50</f>
        <v>21437</v>
      </c>
      <c r="AF12" s="509" t="n">
        <f aca="false">JUL!AF50</f>
        <v>207.4</v>
      </c>
      <c r="AG12" s="507" t="n">
        <f aca="false">JUL!AG50</f>
        <v>158.6</v>
      </c>
      <c r="AH12" s="177"/>
      <c r="AI12" s="177"/>
      <c r="AJ12" s="177"/>
      <c r="AK12" s="177" t="n">
        <f aca="false">JUL!AK50</f>
        <v>79529.4576015</v>
      </c>
      <c r="AL12" s="177" t="n">
        <f aca="false">JUL!AL50</f>
        <v>2580.63289761772</v>
      </c>
      <c r="AM12" s="177" t="n">
        <f aca="false">JUL!AM50</f>
        <v>82110.0904991177</v>
      </c>
      <c r="AN12" s="510"/>
      <c r="AO12" s="183"/>
      <c r="AP12" s="179" t="n">
        <f aca="false">JUL!AP46</f>
        <v>0</v>
      </c>
      <c r="AQ12" s="179" t="n">
        <f aca="false">JUL!AQ51</f>
        <v>944.348592546123</v>
      </c>
      <c r="AR12" s="179" t="n">
        <f aca="false">JUL!AR50</f>
        <v>3024.9425</v>
      </c>
      <c r="AS12" s="136" t="n">
        <f aca="false">JUL!AS50</f>
        <v>306</v>
      </c>
      <c r="AT12" s="136" t="n">
        <f aca="false">JUL!AT50</f>
        <v>0</v>
      </c>
      <c r="AU12" s="136" t="n">
        <f aca="false">JUL!AU50</f>
        <v>0</v>
      </c>
      <c r="AV12" s="511"/>
      <c r="AW12" s="182"/>
      <c r="AX12" s="182"/>
      <c r="AY12" s="299"/>
      <c r="AZ12" s="331"/>
    </row>
    <row r="13" s="230" customFormat="true" ht="12.95" hidden="false" customHeight="true" outlineLevel="0" collapsed="false">
      <c r="A13" s="225" t="s">
        <v>100</v>
      </c>
      <c r="B13" s="512" t="n">
        <f aca="false">JUL!B45</f>
        <v>6893.7</v>
      </c>
      <c r="C13" s="177" t="n">
        <f aca="false">JUL!C45</f>
        <v>260918</v>
      </c>
      <c r="D13" s="177" t="n">
        <f aca="false">JUL!D54</f>
        <v>-32767</v>
      </c>
      <c r="E13" s="177" t="n">
        <f aca="false">JUL!E54</f>
        <v>108918</v>
      </c>
      <c r="F13" s="277" t="n">
        <f aca="false">JUL!F53</f>
        <v>-16482.4804638266</v>
      </c>
      <c r="G13" s="177" t="n">
        <f aca="false">JUL!G53</f>
        <v>70044</v>
      </c>
      <c r="H13" s="177" t="n">
        <f aca="false">JUL!H53</f>
        <v>1210.39</v>
      </c>
      <c r="I13" s="177" t="n">
        <f aca="false">JUL!I53</f>
        <v>71253.77</v>
      </c>
      <c r="J13" s="177" t="n">
        <f aca="false">JUL!J53</f>
        <v>6995.7514696244</v>
      </c>
      <c r="K13" s="177" t="n">
        <f aca="false">JUL!K53</f>
        <v>78249.5114696244</v>
      </c>
      <c r="L13" s="513" t="n">
        <f aca="false">JUL!L53</f>
        <v>3818.41713767343</v>
      </c>
      <c r="M13" s="177" t="n">
        <f aca="false">JUL!M53</f>
        <v>31357.4</v>
      </c>
      <c r="N13" s="177" t="n">
        <f aca="false">JUL!N53</f>
        <v>114.972617</v>
      </c>
      <c r="O13" s="177" t="n">
        <f aca="false">JUL!O53</f>
        <v>10284.7405</v>
      </c>
      <c r="P13" s="8"/>
      <c r="Q13" s="177" t="n">
        <f aca="false">JUL!Q53</f>
        <v>565.293972556707</v>
      </c>
      <c r="R13" s="177" t="n">
        <f aca="false">JUL!R53</f>
        <v>705.40158352</v>
      </c>
      <c r="S13" s="177" t="n">
        <f aca="false">JUL!S53</f>
        <v>148.30474736</v>
      </c>
      <c r="T13" s="177" t="n">
        <f aca="false">JUL!T53</f>
        <v>223.04726912</v>
      </c>
      <c r="U13" s="514" t="n">
        <f aca="false">JUL!U53</f>
        <v>27.7983443318626</v>
      </c>
      <c r="V13" s="177" t="n">
        <f aca="false">JUL!V53</f>
        <v>18554</v>
      </c>
      <c r="W13" s="177" t="n">
        <f aca="false">JUL!W53</f>
        <v>7593.4</v>
      </c>
      <c r="X13" s="177" t="n">
        <f aca="false">JUL!X53</f>
        <v>48452.8634661114</v>
      </c>
      <c r="Y13" s="177" t="n">
        <f aca="false">JUL!Y53</f>
        <v>47187.2363939929</v>
      </c>
      <c r="Z13" s="177"/>
      <c r="AA13" s="177"/>
      <c r="AB13" s="177"/>
      <c r="AC13" s="177"/>
      <c r="AD13" s="177"/>
      <c r="AE13" s="177" t="n">
        <f aca="false">JUL!AE51</f>
        <v>42520.2895</v>
      </c>
      <c r="AF13" s="216"/>
      <c r="AG13" s="218"/>
      <c r="AH13" s="177" t="n">
        <f aca="false">JUL!AH53</f>
        <v>12618</v>
      </c>
      <c r="AI13" s="177" t="n">
        <f aca="false">JUL!AI53</f>
        <v>8776.25787748929</v>
      </c>
      <c r="AJ13" s="177" t="n">
        <f aca="false">JUL!AJ53</f>
        <v>33</v>
      </c>
      <c r="AK13" s="177" t="n">
        <f aca="false">JUL!AK53</f>
        <v>91554.6576015</v>
      </c>
      <c r="AL13" s="177" t="n">
        <f aca="false">JUL!AL53</f>
        <v>3177.33433195097</v>
      </c>
      <c r="AM13" s="177" t="n">
        <f aca="false">JUL!AM53</f>
        <v>94731.991933451</v>
      </c>
      <c r="AN13" s="515" t="n">
        <f aca="false">JUL!AN54</f>
        <v>11712.1708</v>
      </c>
      <c r="AO13" s="182" t="n">
        <f aca="false">JUL!AO53</f>
        <v>1265.62707211854</v>
      </c>
      <c r="AP13" s="183"/>
      <c r="AQ13" s="179" t="n">
        <f aca="false">JUL!AQ54</f>
        <v>944.348592546123</v>
      </c>
      <c r="AR13" s="179"/>
      <c r="AS13" s="182"/>
      <c r="AT13" s="179" t="n">
        <f aca="false">JUL!AT52</f>
        <v>0</v>
      </c>
      <c r="AU13" s="179"/>
      <c r="AV13" s="222" t="n">
        <f aca="false">JUL!AV53</f>
        <v>3.43</v>
      </c>
      <c r="AW13" s="182"/>
      <c r="AX13" s="182"/>
      <c r="AY13" s="302"/>
      <c r="AZ13" s="516" t="n">
        <f aca="false">JUL!AZ53</f>
        <v>1792.13853388857</v>
      </c>
    </row>
    <row r="14" customFormat="false" ht="3" hidden="false" customHeight="true" outlineLevel="0" collapsed="false">
      <c r="A14" s="231"/>
      <c r="B14" s="517"/>
      <c r="C14" s="489"/>
      <c r="D14" s="231"/>
      <c r="E14" s="489"/>
      <c r="F14" s="490"/>
      <c r="G14" s="231"/>
      <c r="H14" s="518"/>
      <c r="I14" s="231"/>
      <c r="J14" s="231"/>
      <c r="K14" s="231"/>
      <c r="L14" s="231"/>
      <c r="M14" s="492"/>
      <c r="N14" s="231"/>
      <c r="O14" s="231"/>
      <c r="P14" s="493"/>
      <c r="Q14" s="493"/>
      <c r="R14" s="493"/>
      <c r="S14" s="493"/>
      <c r="T14" s="493"/>
      <c r="U14" s="494"/>
      <c r="V14" s="231"/>
      <c r="W14" s="231"/>
      <c r="X14" s="231"/>
      <c r="Y14" s="231"/>
      <c r="Z14" s="489"/>
      <c r="AA14" s="231"/>
      <c r="AB14" s="489"/>
      <c r="AC14" s="489"/>
      <c r="AD14" s="489"/>
      <c r="AE14" s="231"/>
      <c r="AF14" s="237"/>
      <c r="AG14" s="241"/>
      <c r="AH14" s="231"/>
      <c r="AI14" s="489"/>
      <c r="AJ14" s="489"/>
      <c r="AK14" s="231"/>
      <c r="AL14" s="231"/>
      <c r="AM14" s="231"/>
      <c r="AN14" s="519"/>
      <c r="AO14" s="334"/>
      <c r="AP14" s="334"/>
      <c r="AQ14" s="124"/>
      <c r="AR14" s="124"/>
      <c r="AS14" s="520"/>
      <c r="AT14" s="520"/>
      <c r="AU14" s="520"/>
      <c r="AV14" s="521"/>
      <c r="AW14" s="495"/>
      <c r="AX14" s="495"/>
      <c r="AY14" s="522"/>
      <c r="AZ14" s="523"/>
    </row>
    <row r="15" customFormat="false" ht="12.95" hidden="false" customHeight="true" outlineLevel="0" collapsed="false">
      <c r="A15" s="183" t="n">
        <v>1</v>
      </c>
      <c r="B15" s="512" t="n">
        <v>6893.44</v>
      </c>
      <c r="C15" s="177" t="n">
        <v>260008</v>
      </c>
      <c r="D15" s="182" t="n">
        <f aca="false">C15-C13</f>
        <v>-910</v>
      </c>
      <c r="E15" s="177" t="n">
        <f aca="false">C15-152000</f>
        <v>108008</v>
      </c>
      <c r="F15" s="524" t="n">
        <f aca="false">D15/$D$2</f>
        <v>-458.784976052433</v>
      </c>
      <c r="G15" s="185" t="n">
        <v>163</v>
      </c>
      <c r="H15" s="186" t="n">
        <v>0</v>
      </c>
      <c r="I15" s="185" t="n">
        <f aca="false">G15+H15</f>
        <v>163</v>
      </c>
      <c r="J15" s="179" t="n">
        <f aca="false">IF(L15&gt;0,L15,0)</f>
        <v>0</v>
      </c>
      <c r="K15" s="185" t="n">
        <f aca="false">I15+J15</f>
        <v>163</v>
      </c>
      <c r="L15" s="185" t="n">
        <f aca="false">F15-(I15-AK15)</f>
        <v>-2.78497605243257</v>
      </c>
      <c r="M15" s="525" t="n">
        <v>205</v>
      </c>
      <c r="N15" s="158" t="n">
        <f aca="false">(1.8299*1.03)/2</f>
        <v>0.9423985</v>
      </c>
      <c r="O15" s="185" t="n">
        <f aca="false">96*1.05</f>
        <v>100.8</v>
      </c>
      <c r="P15" s="158" t="n">
        <v>0</v>
      </c>
      <c r="Q15" s="336" t="n">
        <f aca="false">1752600/325851/1.9835*1.02</f>
        <v>2.76586969689977</v>
      </c>
      <c r="R15" s="336" t="n">
        <v>4.2</v>
      </c>
      <c r="S15" s="131" t="n">
        <f aca="false">((6.5*1.04)-T15)-4.2</f>
        <v>1.3484</v>
      </c>
      <c r="T15" s="131" t="n">
        <f aca="false">1.165*1.04</f>
        <v>1.2116</v>
      </c>
      <c r="U15" s="355" t="n">
        <v>0</v>
      </c>
      <c r="V15" s="185" t="n">
        <v>138</v>
      </c>
      <c r="W15" s="185" t="n">
        <v>78</v>
      </c>
      <c r="X15" s="135" t="n">
        <f aca="false">M15-N15-O15-P15-Q15-R15-S15-T15-U15+V15+W15-AT15+AR15</f>
        <v>309.7317318031</v>
      </c>
      <c r="Y15" s="135" t="n">
        <f aca="false">X15-AO15</f>
        <v>302.7317318031</v>
      </c>
      <c r="Z15" s="107"/>
      <c r="AA15" s="135"/>
      <c r="AB15" s="107"/>
      <c r="AC15" s="107" t="n">
        <f aca="false">AC12+AP15-(JUL!AQ45/1.9835)+AS15</f>
        <v>539.582853580856</v>
      </c>
      <c r="AD15" s="177" t="n">
        <f aca="false">AD12</f>
        <v>13433.3249306781</v>
      </c>
      <c r="AE15" s="185" t="n">
        <v>129</v>
      </c>
      <c r="AF15" s="248" t="n">
        <v>1.7</v>
      </c>
      <c r="AG15" s="249" t="n">
        <v>1.3</v>
      </c>
      <c r="AH15" s="185" t="n">
        <v>69</v>
      </c>
      <c r="AI15" s="177" t="n">
        <f aca="false">AI13-AH15</f>
        <v>8707.25787748929</v>
      </c>
      <c r="AJ15" s="177"/>
      <c r="AK15" s="11" t="n">
        <f aca="false">N15+O15+P15+Q15+R15+S15+T15+U15+X15+AE15+AH15-AR15</f>
        <v>619</v>
      </c>
      <c r="AL15" s="185" t="n">
        <f aca="false">IF(L15&lt;0,L15*-1,0)</f>
        <v>2.78497605243257</v>
      </c>
      <c r="AM15" s="185" t="n">
        <f aca="false">AK15+AL15</f>
        <v>621.784976052433</v>
      </c>
      <c r="AN15" s="220"/>
      <c r="AO15" s="183" t="n">
        <v>7</v>
      </c>
      <c r="AP15" s="97" t="n">
        <f aca="false">(I15-AO15)-Q15-R15-Y15-AF15</f>
        <v>-155.3976015</v>
      </c>
      <c r="AQ15" s="158" t="n">
        <f aca="false">47*(Z15*1.9835+AC15*1.9835)/E15</f>
        <v>0.465727925094887</v>
      </c>
      <c r="AR15" s="158"/>
      <c r="AS15" s="172" t="n">
        <v>6</v>
      </c>
      <c r="AT15" s="4"/>
      <c r="AU15" s="4"/>
      <c r="AV15" s="511" t="n">
        <v>0.01</v>
      </c>
      <c r="AW15" s="182" t="n">
        <v>87</v>
      </c>
      <c r="AX15" s="182" t="n">
        <v>56</v>
      </c>
      <c r="AY15" s="294"/>
      <c r="AZ15" s="250" t="n">
        <f aca="false">SUM(N15,P15:U15)</f>
        <v>10.4682681968998</v>
      </c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12.95" hidden="false" customHeight="true" outlineLevel="0" collapsed="false">
      <c r="A16" s="183" t="n">
        <f aca="false">A15+1</f>
        <v>2</v>
      </c>
      <c r="B16" s="512" t="n">
        <v>6893.14</v>
      </c>
      <c r="C16" s="177" t="n">
        <v>258959</v>
      </c>
      <c r="D16" s="182" t="n">
        <f aca="false">C16-C15</f>
        <v>-1049</v>
      </c>
      <c r="E16" s="177" t="n">
        <f aca="false">C16-152000</f>
        <v>106959</v>
      </c>
      <c r="F16" s="524" t="n">
        <f aca="false">D16/$D$2</f>
        <v>-528.863120746156</v>
      </c>
      <c r="G16" s="185" t="n">
        <v>158</v>
      </c>
      <c r="H16" s="186" t="n">
        <v>0</v>
      </c>
      <c r="I16" s="185" t="n">
        <f aca="false">G16+H16</f>
        <v>158</v>
      </c>
      <c r="J16" s="179" t="n">
        <f aca="false">IF(L16&gt;0,L16,0)</f>
        <v>0</v>
      </c>
      <c r="K16" s="185" t="n">
        <f aca="false">I16+J16</f>
        <v>158</v>
      </c>
      <c r="L16" s="185" t="n">
        <f aca="false">F16-(I16-AK16)</f>
        <v>-19.8631207461558</v>
      </c>
      <c r="M16" s="525" t="n">
        <v>227</v>
      </c>
      <c r="N16" s="158" t="n">
        <f aca="false">(1.8299*1.03)/2</f>
        <v>0.9423985</v>
      </c>
      <c r="O16" s="185" t="n">
        <f aca="false">102*1.05</f>
        <v>107.1</v>
      </c>
      <c r="P16" s="158" t="n">
        <v>0</v>
      </c>
      <c r="Q16" s="336" t="n">
        <f aca="false">1892800/325851/1.9835*1.02</f>
        <v>2.98712664743346</v>
      </c>
      <c r="R16" s="336" t="n">
        <v>4.2</v>
      </c>
      <c r="S16" s="131" t="n">
        <f aca="false">((6.5*1.04)-T16)-4.2</f>
        <v>1.3484</v>
      </c>
      <c r="T16" s="131" t="n">
        <f aca="false">1.165*1.04</f>
        <v>1.2116</v>
      </c>
      <c r="U16" s="355" t="n">
        <v>0</v>
      </c>
      <c r="V16" s="185" t="n">
        <v>139</v>
      </c>
      <c r="W16" s="185" t="n">
        <v>77</v>
      </c>
      <c r="X16" s="135" t="n">
        <f aca="false">M16-N16-O16-P16-Q16-R16-S16-T16-U16+V16+W16-AT16+AR16</f>
        <v>325.210474852567</v>
      </c>
      <c r="Y16" s="135" t="n">
        <f aca="false">X16-AO16</f>
        <v>318.210474852567</v>
      </c>
      <c r="Z16" s="107"/>
      <c r="AA16" s="135"/>
      <c r="AB16" s="107"/>
      <c r="AC16" s="107" t="n">
        <f aca="false">AC15+AP16-(AQ15/1.9835)+AS16</f>
        <v>369.25045100947</v>
      </c>
      <c r="AD16" s="177" t="n">
        <f aca="false">AD15</f>
        <v>13433.3249306781</v>
      </c>
      <c r="AE16" s="185" t="n">
        <v>155</v>
      </c>
      <c r="AF16" s="248" t="n">
        <v>1.7</v>
      </c>
      <c r="AG16" s="249" t="n">
        <v>1.3</v>
      </c>
      <c r="AH16" s="185" t="n">
        <v>69</v>
      </c>
      <c r="AI16" s="177" t="n">
        <f aca="false">AI15-AH16</f>
        <v>8638.25787748929</v>
      </c>
      <c r="AJ16" s="177"/>
      <c r="AK16" s="11" t="n">
        <f aca="false">N16+O16+P16+Q16+R16+S16+T16+U16+X16+AE16+AH16-AR16</f>
        <v>667</v>
      </c>
      <c r="AL16" s="185" t="n">
        <f aca="false">IF(L16&lt;0,L16*-1,0)</f>
        <v>19.8631207461558</v>
      </c>
      <c r="AM16" s="185" t="n">
        <f aca="false">AK16+AL16</f>
        <v>686.863120746156</v>
      </c>
      <c r="AN16" s="220"/>
      <c r="AO16" s="183" t="n">
        <v>7</v>
      </c>
      <c r="AP16" s="97" t="n">
        <f aca="false">(I16-AO16)-Q16-R16-Y16-AF16</f>
        <v>-176.0976015</v>
      </c>
      <c r="AQ16" s="158" t="n">
        <f aca="false">47*(Z16*1.9835+AC16*1.9835)/E16</f>
        <v>0.321835363738744</v>
      </c>
      <c r="AR16" s="158"/>
      <c r="AS16" s="172" t="n">
        <v>6</v>
      </c>
      <c r="AT16" s="4"/>
      <c r="AU16" s="4"/>
      <c r="AV16" s="511" t="n">
        <v>0</v>
      </c>
      <c r="AW16" s="182" t="n">
        <v>87</v>
      </c>
      <c r="AX16" s="182" t="n">
        <v>59</v>
      </c>
      <c r="AY16" s="294"/>
      <c r="AZ16" s="250" t="n">
        <f aca="false">SUM(N16,P16:U16)</f>
        <v>10.6895251474335</v>
      </c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2.95" hidden="false" customHeight="true" outlineLevel="0" collapsed="false">
      <c r="A17" s="183" t="n">
        <f aca="false">A16+1</f>
        <v>3</v>
      </c>
      <c r="B17" s="512" t="n">
        <v>6892.81</v>
      </c>
      <c r="C17" s="177" t="n">
        <v>257810</v>
      </c>
      <c r="D17" s="182" t="n">
        <f aca="false">C17-C16</f>
        <v>-1149</v>
      </c>
      <c r="E17" s="177" t="n">
        <f aca="false">C17-152000</f>
        <v>105810</v>
      </c>
      <c r="F17" s="524" t="n">
        <f aca="false">D17/$D$2</f>
        <v>-579.279052180489</v>
      </c>
      <c r="G17" s="185" t="n">
        <v>154</v>
      </c>
      <c r="H17" s="186" t="n">
        <v>0</v>
      </c>
      <c r="I17" s="185" t="n">
        <f aca="false">G17+H17</f>
        <v>154</v>
      </c>
      <c r="J17" s="179" t="n">
        <f aca="false">IF(L17&gt;0,L17,0)</f>
        <v>0</v>
      </c>
      <c r="K17" s="185" t="n">
        <f aca="false">I17+J17</f>
        <v>154</v>
      </c>
      <c r="L17" s="185" t="n">
        <f aca="false">F17-(I17-AK17)</f>
        <v>-52.279052180489</v>
      </c>
      <c r="M17" s="525" t="n">
        <v>225</v>
      </c>
      <c r="N17" s="158" t="n">
        <f aca="false">(1.8299*1.03)/2</f>
        <v>0.9423985</v>
      </c>
      <c r="O17" s="185" t="n">
        <f aca="false">110*1.05</f>
        <v>115.5</v>
      </c>
      <c r="P17" s="158" t="n">
        <v>0</v>
      </c>
      <c r="Q17" s="336" t="n">
        <f aca="false">1826000/325851/1.9835*1.02</f>
        <v>2.88170607471128</v>
      </c>
      <c r="R17" s="336" t="n">
        <v>4.2</v>
      </c>
      <c r="S17" s="131" t="n">
        <f aca="false">((6.5*1.04)-T17)-4.2</f>
        <v>0.984503999999999</v>
      </c>
      <c r="T17" s="131" t="n">
        <f aca="false">1.5149*1.04</f>
        <v>1.575496</v>
      </c>
      <c r="U17" s="355" t="n">
        <v>0</v>
      </c>
      <c r="V17" s="185" t="n">
        <v>131</v>
      </c>
      <c r="W17" s="185" t="n">
        <v>77</v>
      </c>
      <c r="X17" s="135" t="n">
        <f aca="false">M17-N17-O17-P17-Q17-R17-S17-T17-U17+V17+W17-AT17+AR17</f>
        <v>306.915895425289</v>
      </c>
      <c r="Y17" s="135" t="n">
        <f aca="false">X17-AO17</f>
        <v>299.915895425289</v>
      </c>
      <c r="Z17" s="107"/>
      <c r="AA17" s="135"/>
      <c r="AB17" s="107"/>
      <c r="AC17" s="107" t="n">
        <f aca="false">AC16+AP17-(AQ16/1.9835)+AS17</f>
        <v>213.390593213156</v>
      </c>
      <c r="AD17" s="177" t="n">
        <f aca="false">AD16</f>
        <v>13433.3249306781</v>
      </c>
      <c r="AE17" s="185" t="n">
        <v>179</v>
      </c>
      <c r="AF17" s="248" t="n">
        <v>1.7</v>
      </c>
      <c r="AG17" s="249" t="n">
        <v>1.3</v>
      </c>
      <c r="AH17" s="185" t="n">
        <v>69</v>
      </c>
      <c r="AI17" s="177" t="n">
        <f aca="false">AI16-AH17</f>
        <v>8569.25787748929</v>
      </c>
      <c r="AJ17" s="177"/>
      <c r="AK17" s="11" t="n">
        <f aca="false">N17+O17+P17+Q17+R17+S17+T17+U17+X17+AE17+AH17-AR17</f>
        <v>681</v>
      </c>
      <c r="AL17" s="185" t="n">
        <f aca="false">IF(L17&lt;0,L17*-1,0)</f>
        <v>52.279052180489</v>
      </c>
      <c r="AM17" s="185" t="n">
        <f aca="false">AK17+AL17</f>
        <v>733.279052180489</v>
      </c>
      <c r="AN17" s="220"/>
      <c r="AO17" s="183" t="n">
        <v>7</v>
      </c>
      <c r="AP17" s="97" t="n">
        <f aca="false">(I17-AO17)-Q17-R17-Y17-AF17</f>
        <v>-161.6976015</v>
      </c>
      <c r="AQ17" s="158" t="n">
        <f aca="false">47*(Z17*1.9835+AC17*1.9835)/E17</f>
        <v>0.188008991182306</v>
      </c>
      <c r="AR17" s="158"/>
      <c r="AS17" s="172" t="n">
        <v>6</v>
      </c>
      <c r="AT17" s="4"/>
      <c r="AU17" s="4"/>
      <c r="AV17" s="511" t="n">
        <v>0</v>
      </c>
      <c r="AW17" s="182" t="n">
        <v>90</v>
      </c>
      <c r="AX17" s="182" t="n">
        <v>56</v>
      </c>
      <c r="AY17" s="294"/>
      <c r="AZ17" s="250" t="n">
        <f aca="false">SUM(N17,P17:U17)</f>
        <v>10.5841045747113</v>
      </c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2.95" hidden="false" customHeight="true" outlineLevel="0" collapsed="false">
      <c r="A18" s="183" t="n">
        <f aca="false">A17+1</f>
        <v>4</v>
      </c>
      <c r="B18" s="512" t="n">
        <v>6892.54</v>
      </c>
      <c r="C18" s="177" t="n">
        <v>256875</v>
      </c>
      <c r="D18" s="182" t="n">
        <f aca="false">C18-C17</f>
        <v>-935</v>
      </c>
      <c r="E18" s="177" t="n">
        <f aca="false">C18-152000</f>
        <v>104875</v>
      </c>
      <c r="F18" s="524" t="n">
        <f aca="false">D18/$D$2</f>
        <v>-471.388958911016</v>
      </c>
      <c r="G18" s="185" t="n">
        <v>144</v>
      </c>
      <c r="H18" s="186" t="n">
        <v>0</v>
      </c>
      <c r="I18" s="185" t="n">
        <f aca="false">G18+H18</f>
        <v>144</v>
      </c>
      <c r="J18" s="179" t="n">
        <f aca="false">IF(L18&gt;0,L18,0)</f>
        <v>0</v>
      </c>
      <c r="K18" s="185" t="n">
        <f aca="false">I18+J18</f>
        <v>144</v>
      </c>
      <c r="L18" s="185" t="n">
        <f aca="false">F18-(I18-AK18)</f>
        <v>-16.3889589110159</v>
      </c>
      <c r="M18" s="525" t="n">
        <v>227</v>
      </c>
      <c r="N18" s="158" t="n">
        <f aca="false">(1.8299*1.03)/2</f>
        <v>0.9423985</v>
      </c>
      <c r="O18" s="185" t="n">
        <f aca="false">108*1.05</f>
        <v>113.4</v>
      </c>
      <c r="P18" s="158" t="n">
        <v>0</v>
      </c>
      <c r="Q18" s="336" t="n">
        <f aca="false">1641300/325851/1.9835*1.02</f>
        <v>2.590221347439</v>
      </c>
      <c r="R18" s="336" t="n">
        <v>4.2</v>
      </c>
      <c r="S18" s="131" t="n">
        <f aca="false">((7*1.04)-T18)-4.2</f>
        <v>1.504504</v>
      </c>
      <c r="T18" s="131" t="n">
        <f aca="false">1.5149*1.04</f>
        <v>1.575496</v>
      </c>
      <c r="U18" s="355" t="n">
        <v>0</v>
      </c>
      <c r="V18" s="185" t="n">
        <v>117</v>
      </c>
      <c r="W18" s="185" t="n">
        <v>78</v>
      </c>
      <c r="X18" s="135" t="n">
        <f aca="false">M18-N18-O18-P18-Q18-R18-S18-T18-U18+V18+W18-AT18+AR18</f>
        <v>297.787380152561</v>
      </c>
      <c r="Y18" s="135" t="n">
        <f aca="false">X18-AO18</f>
        <v>290.787380152561</v>
      </c>
      <c r="Z18" s="107"/>
      <c r="AA18" s="135"/>
      <c r="AB18" s="107"/>
      <c r="AC18" s="107" t="n">
        <f aca="false">AC17+AP18-(AQ17/1.9835)+AS18</f>
        <v>57.0182052290709</v>
      </c>
      <c r="AD18" s="177" t="n">
        <f aca="false">AD17</f>
        <v>13433.3249306781</v>
      </c>
      <c r="AE18" s="185" t="n">
        <v>108</v>
      </c>
      <c r="AF18" s="248" t="n">
        <v>1.7</v>
      </c>
      <c r="AG18" s="249" t="n">
        <v>1.3</v>
      </c>
      <c r="AH18" s="185" t="n">
        <v>69</v>
      </c>
      <c r="AI18" s="177" t="n">
        <f aca="false">AI17-AH18</f>
        <v>8500.25787748929</v>
      </c>
      <c r="AJ18" s="177"/>
      <c r="AK18" s="11" t="n">
        <f aca="false">N18+O18+P18+Q18+R18+S18+T18+U18+X18+AE18+AH18-AR18</f>
        <v>599</v>
      </c>
      <c r="AL18" s="185" t="n">
        <f aca="false">IF(L18&lt;0,L18*-1,0)</f>
        <v>16.3889589110159</v>
      </c>
      <c r="AM18" s="185" t="n">
        <f aca="false">AK18+AL18</f>
        <v>615.388958911016</v>
      </c>
      <c r="AN18" s="220"/>
      <c r="AO18" s="183" t="n">
        <v>7</v>
      </c>
      <c r="AP18" s="97" t="n">
        <f aca="false">(I18-AO18)-Q18-R18-Y18-AF18</f>
        <v>-162.2776015</v>
      </c>
      <c r="AQ18" s="158" t="n">
        <f aca="false">47*(Z18*1.9835+AC18*1.9835)/E18</f>
        <v>0.0506840874696307</v>
      </c>
      <c r="AR18" s="158"/>
      <c r="AS18" s="172" t="n">
        <v>6</v>
      </c>
      <c r="AT18" s="4"/>
      <c r="AU18" s="4"/>
      <c r="AV18" s="511" t="n">
        <v>0</v>
      </c>
      <c r="AW18" s="182" t="n">
        <v>92</v>
      </c>
      <c r="AX18" s="182" t="n">
        <v>54</v>
      </c>
      <c r="AY18" s="294"/>
      <c r="AZ18" s="250" t="n">
        <f aca="false">SUM(N18,P18:U18)</f>
        <v>10.812619847439</v>
      </c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2.95" hidden="false" customHeight="true" outlineLevel="0" collapsed="false">
      <c r="A19" s="183" t="n">
        <f aca="false">A18+1</f>
        <v>5</v>
      </c>
      <c r="B19" s="512" t="n">
        <v>6892.29</v>
      </c>
      <c r="C19" s="177" t="n">
        <v>256008</v>
      </c>
      <c r="D19" s="182" t="n">
        <f aca="false">C19-C18</f>
        <v>-867</v>
      </c>
      <c r="E19" s="177" t="n">
        <f aca="false">C19-152000</f>
        <v>104008</v>
      </c>
      <c r="F19" s="524" t="n">
        <f aca="false">D19/$D$2</f>
        <v>-437.106125535669</v>
      </c>
      <c r="G19" s="185" t="n">
        <v>135</v>
      </c>
      <c r="H19" s="186" t="n">
        <v>0</v>
      </c>
      <c r="I19" s="185" t="n">
        <f aca="false">G19+H19</f>
        <v>135</v>
      </c>
      <c r="J19" s="179" t="n">
        <f aca="false">IF(L19&gt;0,L19,0)</f>
        <v>43.8938744643307</v>
      </c>
      <c r="K19" s="185" t="n">
        <f aca="false">I19+J19</f>
        <v>178.893874464331</v>
      </c>
      <c r="L19" s="185" t="n">
        <f aca="false">F19-(I19-AK19)</f>
        <v>43.8938744643307</v>
      </c>
      <c r="M19" s="525" t="n">
        <v>224</v>
      </c>
      <c r="N19" s="158" t="n">
        <f aca="false">(1.8299*1.03)/2</f>
        <v>0.9423985</v>
      </c>
      <c r="O19" s="185" t="n">
        <f aca="false">104*1.05</f>
        <v>109.2</v>
      </c>
      <c r="P19" s="158" t="n">
        <v>0</v>
      </c>
      <c r="Q19" s="336" t="n">
        <f aca="false">2232200/325851/1.9835*1.02</f>
        <v>3.5227515333902</v>
      </c>
      <c r="R19" s="336" t="n">
        <v>4.2</v>
      </c>
      <c r="S19" s="131" t="n">
        <f aca="false">((7*1.04)-T19)-4.2</f>
        <v>1.504504</v>
      </c>
      <c r="T19" s="131" t="n">
        <f aca="false">1.5149*1.04</f>
        <v>1.575496</v>
      </c>
      <c r="U19" s="355" t="n">
        <v>0</v>
      </c>
      <c r="V19" s="185" t="n">
        <v>99</v>
      </c>
      <c r="W19" s="185" t="n">
        <v>79</v>
      </c>
      <c r="X19" s="135" t="n">
        <f aca="false">M19-N19-O19-P19-Q19-R19-S19-T19-U19+V19+W19-AT19+AR19</f>
        <v>281.05484996661</v>
      </c>
      <c r="Y19" s="135" t="n">
        <f aca="false">X19-AO19</f>
        <v>274.05484996661</v>
      </c>
      <c r="Z19" s="107"/>
      <c r="AA19" s="135"/>
      <c r="AB19" s="107"/>
      <c r="AC19" s="107" t="n">
        <f aca="false">AC18+AP19-(AQ18/1.9835)+98.1</f>
        <v>-0.384949125715934</v>
      </c>
      <c r="AD19" s="177" t="n">
        <f aca="false">AD18+(AP19+AS19)-98.1</f>
        <v>13185.7473291781</v>
      </c>
      <c r="AE19" s="185" t="n">
        <v>144</v>
      </c>
      <c r="AF19" s="248" t="n">
        <v>1.7</v>
      </c>
      <c r="AG19" s="249" t="n">
        <v>1.3</v>
      </c>
      <c r="AH19" s="185" t="n">
        <v>70</v>
      </c>
      <c r="AI19" s="177" t="n">
        <f aca="false">AI18-AH19</f>
        <v>8430.25787748929</v>
      </c>
      <c r="AJ19" s="177"/>
      <c r="AK19" s="11" t="n">
        <f aca="false">N19+O19+P19+Q19+R19+S19+T19+U19+X19+AE19+AH19-AR19</f>
        <v>616</v>
      </c>
      <c r="AL19" s="185" t="n">
        <f aca="false">IF(L19&lt;0,L19*-1,0)</f>
        <v>0</v>
      </c>
      <c r="AM19" s="185" t="n">
        <f aca="false">AK19+AL19</f>
        <v>616</v>
      </c>
      <c r="AN19" s="220"/>
      <c r="AO19" s="183" t="n">
        <v>7</v>
      </c>
      <c r="AP19" s="97" t="n">
        <f aca="false">(I19-AO19)-Q19-R19-Y19-AF19</f>
        <v>-155.4776015</v>
      </c>
      <c r="AQ19" s="158" t="n">
        <f aca="false">47*(Z19*1.9835+AC19*1.9835)/E19</f>
        <v>-0.000345037783346523</v>
      </c>
      <c r="AR19" s="158"/>
      <c r="AS19" s="172" t="n">
        <v>6</v>
      </c>
      <c r="AT19" s="4"/>
      <c r="AU19" s="4"/>
      <c r="AV19" s="511" t="n">
        <v>0</v>
      </c>
      <c r="AW19" s="182" t="n">
        <v>91</v>
      </c>
      <c r="AX19" s="182" t="n">
        <v>58</v>
      </c>
      <c r="AY19" s="294"/>
      <c r="AZ19" s="250" t="n">
        <f aca="false">SUM(N19,P19:U19)</f>
        <v>11.7451500333902</v>
      </c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2.95" hidden="false" customHeight="true" outlineLevel="0" collapsed="false">
      <c r="A20" s="183" t="n">
        <f aca="false">A19+1</f>
        <v>6</v>
      </c>
      <c r="B20" s="512" t="n">
        <v>6892.01</v>
      </c>
      <c r="C20" s="177" t="n">
        <v>255037</v>
      </c>
      <c r="D20" s="182" t="n">
        <f aca="false">C20-C19</f>
        <v>-971</v>
      </c>
      <c r="E20" s="177" t="n">
        <f aca="false">C20-152000</f>
        <v>103037</v>
      </c>
      <c r="F20" s="524" t="n">
        <f aca="false">D20/$D$2</f>
        <v>-489.538694227376</v>
      </c>
      <c r="G20" s="185" t="n">
        <v>158</v>
      </c>
      <c r="H20" s="186" t="n">
        <v>0</v>
      </c>
      <c r="I20" s="185" t="n">
        <f aca="false">G20+H20</f>
        <v>158</v>
      </c>
      <c r="J20" s="179" t="n">
        <f aca="false">IF(L20&gt;0,L20,0)</f>
        <v>0</v>
      </c>
      <c r="K20" s="185" t="n">
        <f aca="false">I20+J20</f>
        <v>158</v>
      </c>
      <c r="L20" s="185" t="n">
        <f aca="false">F20-(I20-AK20)</f>
        <v>-12.5386942273759</v>
      </c>
      <c r="M20" s="525" t="n">
        <v>235</v>
      </c>
      <c r="N20" s="158" t="n">
        <f aca="false">(1.8299*1.03)/2</f>
        <v>0.9423985</v>
      </c>
      <c r="O20" s="185" t="n">
        <f aca="false">102*1.05</f>
        <v>107.1</v>
      </c>
      <c r="P20" s="158" t="n">
        <v>0</v>
      </c>
      <c r="Q20" s="336" t="n">
        <f aca="false">2025000/325851/1.9835*1.02</f>
        <v>3.19575837967707</v>
      </c>
      <c r="R20" s="336" t="n">
        <v>4.2</v>
      </c>
      <c r="S20" s="131" t="n">
        <f aca="false">((7*1.04)-T20)-4.2</f>
        <v>1.504504</v>
      </c>
      <c r="T20" s="131" t="n">
        <f aca="false">1.5149*1.04</f>
        <v>1.575496</v>
      </c>
      <c r="U20" s="355" t="n">
        <v>0</v>
      </c>
      <c r="V20" s="185" t="n">
        <v>102</v>
      </c>
      <c r="W20" s="185" t="n">
        <v>78</v>
      </c>
      <c r="X20" s="135" t="n">
        <f aca="false">M20-N20-O20-P20-Q20-R20-S20-T20-U20+V20+W20-AT20+AR20</f>
        <v>296.481843120323</v>
      </c>
      <c r="Y20" s="135" t="n">
        <f aca="false">X20-AO20</f>
        <v>289.481843120323</v>
      </c>
      <c r="Z20" s="107"/>
      <c r="AA20" s="135"/>
      <c r="AB20" s="107"/>
      <c r="AC20" s="107" t="n">
        <v>0</v>
      </c>
      <c r="AD20" s="177" t="n">
        <f aca="false">AD19+AP20+AS20</f>
        <v>13044.1697276781</v>
      </c>
      <c r="AE20" s="185" t="n">
        <v>150</v>
      </c>
      <c r="AF20" s="248" t="n">
        <v>1.7</v>
      </c>
      <c r="AG20" s="249" t="n">
        <v>1.3</v>
      </c>
      <c r="AH20" s="185" t="n">
        <v>70</v>
      </c>
      <c r="AI20" s="177" t="n">
        <f aca="false">AI19-AH20</f>
        <v>8360.25787748929</v>
      </c>
      <c r="AJ20" s="177"/>
      <c r="AK20" s="11" t="n">
        <f aca="false">N20+O20+P20+Q20+R20+S20+T20+U20+X20+AE20+AH20-AR20</f>
        <v>635</v>
      </c>
      <c r="AL20" s="185" t="n">
        <f aca="false">IF(L20&lt;0,L20*-1,0)</f>
        <v>12.5386942273759</v>
      </c>
      <c r="AM20" s="185" t="n">
        <f aca="false">AK20+AL20</f>
        <v>647.538694227376</v>
      </c>
      <c r="AN20" s="220"/>
      <c r="AO20" s="183" t="n">
        <v>7</v>
      </c>
      <c r="AP20" s="97" t="n">
        <f aca="false">(I20-AO20)-Q20-R20-Y20-AF20</f>
        <v>-147.5776015</v>
      </c>
      <c r="AQ20" s="158" t="n">
        <f aca="false">47*(Z20*1.9835+AC20*1.9835)/E20</f>
        <v>0</v>
      </c>
      <c r="AR20" s="158"/>
      <c r="AS20" s="172" t="n">
        <v>6</v>
      </c>
      <c r="AT20" s="4"/>
      <c r="AU20" s="4"/>
      <c r="AV20" s="511" t="n">
        <v>0</v>
      </c>
      <c r="AW20" s="182" t="n">
        <v>90</v>
      </c>
      <c r="AX20" s="182" t="n">
        <v>57</v>
      </c>
      <c r="AY20" s="294"/>
      <c r="AZ20" s="250" t="n">
        <f aca="false">SUM(N20,P20:U20)</f>
        <v>11.4181568796771</v>
      </c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2.95" hidden="false" customHeight="true" outlineLevel="0" collapsed="false">
      <c r="A21" s="183" t="n">
        <f aca="false">A20+1</f>
        <v>7</v>
      </c>
      <c r="B21" s="512" t="n">
        <v>6891.68</v>
      </c>
      <c r="C21" s="177" t="n">
        <v>253904</v>
      </c>
      <c r="D21" s="182" t="n">
        <f aca="false">C21-C20</f>
        <v>-1133</v>
      </c>
      <c r="E21" s="177" t="n">
        <f aca="false">C21-152000</f>
        <v>101904</v>
      </c>
      <c r="F21" s="524" t="n">
        <f aca="false">D21/$D$2</f>
        <v>-571.212503150996</v>
      </c>
      <c r="G21" s="185" t="n">
        <v>170</v>
      </c>
      <c r="H21" s="186" t="n">
        <v>0</v>
      </c>
      <c r="I21" s="185" t="n">
        <f aca="false">G21+H21</f>
        <v>170</v>
      </c>
      <c r="J21" s="179" t="n">
        <f aca="false">IF(L21&gt;0,L21,0)</f>
        <v>0</v>
      </c>
      <c r="K21" s="185" t="n">
        <f aca="false">I21+J21</f>
        <v>170</v>
      </c>
      <c r="L21" s="185" t="n">
        <f aca="false">F21-(I21-AK21)</f>
        <v>-35.2125031509958</v>
      </c>
      <c r="M21" s="525" t="n">
        <v>252</v>
      </c>
      <c r="N21" s="158" t="n">
        <f aca="false">(1.8299*1.03)/2</f>
        <v>0.9423985</v>
      </c>
      <c r="O21" s="185" t="n">
        <f aca="false">106*1.05</f>
        <v>111.3</v>
      </c>
      <c r="P21" s="158" t="n">
        <v>0</v>
      </c>
      <c r="Q21" s="336" t="n">
        <f aca="false">1959200/325851/1.9835*1.02</f>
        <v>3.09191595924114</v>
      </c>
      <c r="R21" s="336" t="n">
        <v>4.2</v>
      </c>
      <c r="S21" s="131" t="n">
        <f aca="false">((7.5*1.04)-T21)-4.2</f>
        <v>2.024504</v>
      </c>
      <c r="T21" s="131" t="n">
        <f aca="false">1.5149*1.04</f>
        <v>1.575496</v>
      </c>
      <c r="U21" s="355" t="n">
        <v>0</v>
      </c>
      <c r="V21" s="185" t="n">
        <v>124</v>
      </c>
      <c r="W21" s="185" t="n">
        <v>75</v>
      </c>
      <c r="X21" s="135" t="n">
        <f aca="false">M21-N21-O21-P21-Q21-R21-S21-T21-U21+V21+W21-AT21+AR21</f>
        <v>327.865685540759</v>
      </c>
      <c r="Y21" s="135" t="n">
        <f aca="false">X21-AO21</f>
        <v>320.865685540759</v>
      </c>
      <c r="Z21" s="107"/>
      <c r="AA21" s="135"/>
      <c r="AB21" s="107"/>
      <c r="AC21" s="107" t="n">
        <f aca="false">AS21-AS21</f>
        <v>0</v>
      </c>
      <c r="AD21" s="177" t="n">
        <f aca="false">AD20+AP21+AS21</f>
        <v>12883.3121261781</v>
      </c>
      <c r="AE21" s="185" t="n">
        <v>185</v>
      </c>
      <c r="AF21" s="248" t="n">
        <v>1.7</v>
      </c>
      <c r="AG21" s="249" t="n">
        <v>1.3</v>
      </c>
      <c r="AH21" s="185" t="n">
        <v>70</v>
      </c>
      <c r="AI21" s="177" t="n">
        <f aca="false">AI20-AH21</f>
        <v>8290.25787748929</v>
      </c>
      <c r="AJ21" s="177"/>
      <c r="AK21" s="11" t="n">
        <f aca="false">N21+O21+P21+Q21+R21+S21+T21+U21+X21+AE21+AH21-AR21</f>
        <v>706</v>
      </c>
      <c r="AL21" s="185" t="n">
        <f aca="false">IF(L21&lt;0,L21*-1,0)</f>
        <v>35.2125031509958</v>
      </c>
      <c r="AM21" s="185" t="n">
        <f aca="false">AK21+AL21</f>
        <v>741.212503150996</v>
      </c>
      <c r="AN21" s="220"/>
      <c r="AO21" s="183" t="n">
        <v>7</v>
      </c>
      <c r="AP21" s="97" t="n">
        <f aca="false">(I21-AO21)-Q21-R21-Y21-AF21</f>
        <v>-166.8576015</v>
      </c>
      <c r="AQ21" s="158" t="n">
        <f aca="false">47*(Z21*1.9835+AC21*1.9835)/E21</f>
        <v>0</v>
      </c>
      <c r="AR21" s="158"/>
      <c r="AS21" s="172" t="n">
        <v>6</v>
      </c>
      <c r="AT21" s="4"/>
      <c r="AU21" s="4"/>
      <c r="AV21" s="511" t="n">
        <v>0</v>
      </c>
      <c r="AW21" s="182" t="n">
        <v>92</v>
      </c>
      <c r="AX21" s="182" t="n">
        <v>58</v>
      </c>
      <c r="AY21" s="294"/>
      <c r="AZ21" s="250" t="n">
        <f aca="false">SUM(N21,P21:U21)</f>
        <v>11.8343144592411</v>
      </c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2.95" hidden="false" customHeight="true" outlineLevel="0" collapsed="false">
      <c r="A22" s="183" t="n">
        <f aca="false">A21+1</f>
        <v>8</v>
      </c>
      <c r="B22" s="512" t="n">
        <v>6891.33</v>
      </c>
      <c r="C22" s="177" t="n">
        <v>252702</v>
      </c>
      <c r="D22" s="182" t="n">
        <f aca="false">C22-C21</f>
        <v>-1202</v>
      </c>
      <c r="E22" s="177" t="n">
        <f aca="false">C22-152000</f>
        <v>100702</v>
      </c>
      <c r="F22" s="524" t="n">
        <f aca="false">D22/$D$2</f>
        <v>-605.999495840686</v>
      </c>
      <c r="G22" s="185" t="n">
        <v>159</v>
      </c>
      <c r="H22" s="186" t="n">
        <v>0</v>
      </c>
      <c r="I22" s="185" t="n">
        <f aca="false">G22+H22</f>
        <v>159</v>
      </c>
      <c r="J22" s="179" t="n">
        <f aca="false">IF(L22&gt;0,L22,0)</f>
        <v>0</v>
      </c>
      <c r="K22" s="185" t="n">
        <f aca="false">I22+J22</f>
        <v>159</v>
      </c>
      <c r="L22" s="185" t="n">
        <f aca="false">F22-(I22-AK22)</f>
        <v>-40.9994958406857</v>
      </c>
      <c r="M22" s="525" t="n">
        <v>250</v>
      </c>
      <c r="N22" s="158" t="n">
        <f aca="false">(1.8299*1.03)/2</f>
        <v>0.9423985</v>
      </c>
      <c r="O22" s="185" t="n">
        <f aca="false">110*1.05</f>
        <v>115.5</v>
      </c>
      <c r="P22" s="158" t="n">
        <v>0</v>
      </c>
      <c r="Q22" s="336" t="n">
        <f aca="false">2025900/325851/1.9835*1.02</f>
        <v>3.19717871673471</v>
      </c>
      <c r="R22" s="336" t="n">
        <v>4.2</v>
      </c>
      <c r="S22" s="131" t="n">
        <f aca="false">((7.5*1.04)-T22)-4.2</f>
        <v>2.024504</v>
      </c>
      <c r="T22" s="131" t="n">
        <f aca="false">1.5149*1.04</f>
        <v>1.575496</v>
      </c>
      <c r="U22" s="355" t="n">
        <v>0</v>
      </c>
      <c r="V22" s="185" t="n">
        <v>130</v>
      </c>
      <c r="W22" s="185" t="n">
        <v>75</v>
      </c>
      <c r="X22" s="135" t="n">
        <f aca="false">M22-N22-O22-P22-Q22-R22-S22-T22-U22+V22+W22-AT22+AR22</f>
        <v>327.560422783265</v>
      </c>
      <c r="Y22" s="135" t="n">
        <f aca="false">X22-AO22</f>
        <v>320.560422783265</v>
      </c>
      <c r="Z22" s="107"/>
      <c r="AA22" s="135"/>
      <c r="AB22" s="107"/>
      <c r="AC22" s="107" t="n">
        <f aca="false">AS22-AS22</f>
        <v>0</v>
      </c>
      <c r="AD22" s="177" t="n">
        <f aca="false">AD21+AP22+AS22</f>
        <v>12711.6545246781</v>
      </c>
      <c r="AE22" s="185" t="n">
        <v>199</v>
      </c>
      <c r="AF22" s="248" t="n">
        <v>1.7</v>
      </c>
      <c r="AG22" s="249" t="n">
        <v>1.3</v>
      </c>
      <c r="AH22" s="185" t="n">
        <v>70</v>
      </c>
      <c r="AI22" s="177" t="n">
        <f aca="false">AI21-AH22</f>
        <v>8220.25787748929</v>
      </c>
      <c r="AJ22" s="177"/>
      <c r="AK22" s="11" t="n">
        <f aca="false">N22+O22+P22+Q22+R22+S22+T22+U22+X22+AE22+AH22-AR22</f>
        <v>724</v>
      </c>
      <c r="AL22" s="185" t="n">
        <f aca="false">IF(L22&lt;0,L22*-1,0)</f>
        <v>40.9994958406857</v>
      </c>
      <c r="AM22" s="185" t="n">
        <f aca="false">AK22+AL22</f>
        <v>764.999495840686</v>
      </c>
      <c r="AN22" s="220"/>
      <c r="AO22" s="183" t="n">
        <v>7</v>
      </c>
      <c r="AP22" s="97" t="n">
        <f aca="false">(I22-AO22)-Q22-R22-Y22-AF22</f>
        <v>-177.6576015</v>
      </c>
      <c r="AQ22" s="158" t="n">
        <f aca="false">47*(Z22*1.9835+AC22*1.9835)/E22</f>
        <v>0</v>
      </c>
      <c r="AR22" s="158"/>
      <c r="AS22" s="172" t="n">
        <v>6</v>
      </c>
      <c r="AT22" s="4"/>
      <c r="AU22" s="4"/>
      <c r="AV22" s="511" t="n">
        <v>0</v>
      </c>
      <c r="AW22" s="182" t="n">
        <v>94</v>
      </c>
      <c r="AX22" s="182" t="n">
        <v>58</v>
      </c>
      <c r="AY22" s="294"/>
      <c r="AZ22" s="250" t="n">
        <f aca="false">SUM(N22,P22:U22)</f>
        <v>11.9395772167347</v>
      </c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2.95" hidden="false" customHeight="true" outlineLevel="0" collapsed="false">
      <c r="A23" s="183" t="n">
        <f aca="false">A22+1</f>
        <v>9</v>
      </c>
      <c r="B23" s="512" t="n">
        <v>6890.99</v>
      </c>
      <c r="C23" s="177" t="n">
        <v>251535</v>
      </c>
      <c r="D23" s="182" t="n">
        <f aca="false">C23-C22</f>
        <v>-1167</v>
      </c>
      <c r="E23" s="177" t="n">
        <f aca="false">C23-152000</f>
        <v>99535</v>
      </c>
      <c r="F23" s="524" t="n">
        <f aca="false">D23/$D$2</f>
        <v>-588.353919838669</v>
      </c>
      <c r="G23" s="185" t="n">
        <v>148</v>
      </c>
      <c r="H23" s="186" t="n">
        <v>0</v>
      </c>
      <c r="I23" s="185" t="n">
        <f aca="false">G23+H23</f>
        <v>148</v>
      </c>
      <c r="J23" s="179" t="n">
        <f aca="false">IF(L23&gt;0,L23,0)</f>
        <v>0</v>
      </c>
      <c r="K23" s="185" t="n">
        <f aca="false">I23+J23</f>
        <v>148</v>
      </c>
      <c r="L23" s="185" t="n">
        <f aca="false">F23-(I23-AK23)</f>
        <v>-17.353919838669</v>
      </c>
      <c r="M23" s="525" t="n">
        <v>259</v>
      </c>
      <c r="N23" s="158" t="n">
        <f aca="false">(1.8299*1.03)/2</f>
        <v>0.9423985</v>
      </c>
      <c r="O23" s="185" t="n">
        <f aca="false">112*1.05</f>
        <v>117.6</v>
      </c>
      <c r="P23" s="158" t="n">
        <v>0</v>
      </c>
      <c r="Q23" s="336" t="n">
        <f aca="false">1710100/325851/1.9835*1.02</f>
        <v>2.69879822473371</v>
      </c>
      <c r="R23" s="336" t="n">
        <v>4.2</v>
      </c>
      <c r="S23" s="131" t="n">
        <f aca="false">((8*1.04)-T23)-4.2</f>
        <v>2.544504</v>
      </c>
      <c r="T23" s="131" t="n">
        <f aca="false">1.5149*1.04</f>
        <v>1.575496</v>
      </c>
      <c r="U23" s="355" t="n">
        <v>0</v>
      </c>
      <c r="V23" s="185" t="n">
        <v>129</v>
      </c>
      <c r="W23" s="185" t="n">
        <v>74</v>
      </c>
      <c r="X23" s="135" t="n">
        <f aca="false">M23-N23-O23-P23-Q23-R23-S23-T23-U23+V23+W23-AT23+AR23</f>
        <v>332.438803275266</v>
      </c>
      <c r="Y23" s="135" t="n">
        <f aca="false">X23-AO23</f>
        <v>325.438803275266</v>
      </c>
      <c r="Z23" s="107"/>
      <c r="AA23" s="135"/>
      <c r="AB23" s="107"/>
      <c r="AC23" s="107" t="n">
        <f aca="false">AS23-AS23</f>
        <v>0</v>
      </c>
      <c r="AD23" s="177" t="n">
        <f aca="false">AD22+AP23+AS23</f>
        <v>12524.6169231781</v>
      </c>
      <c r="AE23" s="185" t="n">
        <v>188</v>
      </c>
      <c r="AF23" s="248" t="n">
        <v>1.7</v>
      </c>
      <c r="AG23" s="249" t="n">
        <v>1.3</v>
      </c>
      <c r="AH23" s="185" t="n">
        <v>69</v>
      </c>
      <c r="AI23" s="177" t="n">
        <f aca="false">AI22-AH23</f>
        <v>8151.25787748929</v>
      </c>
      <c r="AJ23" s="177"/>
      <c r="AK23" s="11" t="n">
        <f aca="false">N23+O23+P23+Q23+R23+S23+T23+U23+X23+AE23+AH23-AR23</f>
        <v>719</v>
      </c>
      <c r="AL23" s="185" t="n">
        <f aca="false">IF(L23&lt;0,L23*-1,0)</f>
        <v>17.353919838669</v>
      </c>
      <c r="AM23" s="185" t="n">
        <f aca="false">AK23+AL23</f>
        <v>736.353919838669</v>
      </c>
      <c r="AN23" s="220"/>
      <c r="AO23" s="183" t="n">
        <v>7</v>
      </c>
      <c r="AP23" s="97" t="n">
        <f aca="false">(I23-AO23)-Q23-R23-Y23-AF23</f>
        <v>-193.0376015</v>
      </c>
      <c r="AQ23" s="158" t="n">
        <f aca="false">47*(Z23*1.9835+AC23*1.9835)/E23</f>
        <v>0</v>
      </c>
      <c r="AR23" s="158"/>
      <c r="AS23" s="172" t="n">
        <v>6</v>
      </c>
      <c r="AT23" s="4"/>
      <c r="AU23" s="4"/>
      <c r="AV23" s="511" t="n">
        <v>0.01</v>
      </c>
      <c r="AW23" s="176" t="n">
        <v>94</v>
      </c>
      <c r="AX23" s="182" t="n">
        <v>62</v>
      </c>
      <c r="AY23" s="294"/>
      <c r="AZ23" s="250" t="n">
        <f aca="false">SUM(N23,P23:U23)</f>
        <v>11.9611967247337</v>
      </c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12.95" hidden="false" customHeight="true" outlineLevel="0" collapsed="false">
      <c r="A24" s="183" t="n">
        <f aca="false">A23+1</f>
        <v>10</v>
      </c>
      <c r="B24" s="512" t="n">
        <v>6890.71</v>
      </c>
      <c r="C24" s="177" t="n">
        <v>250583</v>
      </c>
      <c r="D24" s="182" t="n">
        <f aca="false">C24-C23</f>
        <v>-952</v>
      </c>
      <c r="E24" s="177" t="n">
        <f aca="false">C24-152000</f>
        <v>98583</v>
      </c>
      <c r="F24" s="524" t="n">
        <f aca="false">D24/$D$2</f>
        <v>-479.959667254853</v>
      </c>
      <c r="G24" s="185" t="n">
        <v>153</v>
      </c>
      <c r="H24" s="186" t="n">
        <v>0</v>
      </c>
      <c r="I24" s="185" t="n">
        <f aca="false">G24+H24</f>
        <v>153</v>
      </c>
      <c r="J24" s="179" t="n">
        <f aca="false">IF(L24&gt;0,L24,0)</f>
        <v>14.0403327451475</v>
      </c>
      <c r="K24" s="185" t="n">
        <f aca="false">I24+J24</f>
        <v>167.040332745147</v>
      </c>
      <c r="L24" s="185" t="n">
        <f aca="false">F24-(I24-AK24)</f>
        <v>14.0403327451475</v>
      </c>
      <c r="M24" s="525" t="n">
        <v>238</v>
      </c>
      <c r="N24" s="158" t="n">
        <f aca="false">(1.8299*1.03)/2</f>
        <v>0.9423985</v>
      </c>
      <c r="O24" s="185" t="n">
        <f aca="false">99*1.05</f>
        <v>103.95</v>
      </c>
      <c r="P24" s="158" t="n">
        <v>0</v>
      </c>
      <c r="Q24" s="336" t="n">
        <f aca="false">1740600/325851/1.9835*1.02</f>
        <v>2.74693186946465</v>
      </c>
      <c r="R24" s="336" t="n">
        <v>4.2</v>
      </c>
      <c r="S24" s="131" t="n">
        <f aca="false">((8*1.04)-T24)-4.2</f>
        <v>2.687712</v>
      </c>
      <c r="T24" s="131" t="n">
        <f aca="false">1.3772*1.04</f>
        <v>1.432288</v>
      </c>
      <c r="U24" s="355" t="n">
        <v>0</v>
      </c>
      <c r="V24" s="185" t="n">
        <v>127</v>
      </c>
      <c r="W24" s="185" t="n">
        <v>74</v>
      </c>
      <c r="X24" s="135" t="n">
        <f aca="false">M24-N24-O24-P24-Q24-R24-S24-T24-U24+V24+W24-AT24+AR24</f>
        <v>323.040669630535</v>
      </c>
      <c r="Y24" s="135" t="n">
        <f aca="false">X24-AO24</f>
        <v>316.040669630535</v>
      </c>
      <c r="Z24" s="107"/>
      <c r="AA24" s="135"/>
      <c r="AB24" s="107"/>
      <c r="AC24" s="107" t="n">
        <f aca="false">AS24-AS24</f>
        <v>0</v>
      </c>
      <c r="AD24" s="177" t="n">
        <f aca="false">AD23+AP24+AS24</f>
        <v>12351.9293216781</v>
      </c>
      <c r="AE24" s="185" t="n">
        <v>139</v>
      </c>
      <c r="AF24" s="248" t="n">
        <v>1.7</v>
      </c>
      <c r="AG24" s="249" t="n">
        <v>1.3</v>
      </c>
      <c r="AH24" s="185" t="n">
        <v>69</v>
      </c>
      <c r="AI24" s="177" t="n">
        <f aca="false">AI23-AH24</f>
        <v>8082.25787748929</v>
      </c>
      <c r="AJ24" s="177"/>
      <c r="AK24" s="11" t="n">
        <f aca="false">N24+O24+P24+Q24+R24+S24+T24+U24+X24+AE24+AH24-AR24</f>
        <v>647</v>
      </c>
      <c r="AL24" s="185" t="n">
        <f aca="false">IF(L24&lt;0,L24*-1,0)</f>
        <v>0</v>
      </c>
      <c r="AM24" s="185" t="n">
        <f aca="false">AK24+AL24</f>
        <v>647</v>
      </c>
      <c r="AN24" s="220"/>
      <c r="AO24" s="183" t="n">
        <v>7</v>
      </c>
      <c r="AP24" s="97" t="n">
        <f aca="false">(I24-AO24)-Q24-R24-Y24-AF24</f>
        <v>-178.6876015</v>
      </c>
      <c r="AQ24" s="158" t="n">
        <f aca="false">47*(Z24*1.9835+AC24*1.9835)/E24</f>
        <v>0</v>
      </c>
      <c r="AR24" s="158"/>
      <c r="AS24" s="172" t="n">
        <v>6</v>
      </c>
      <c r="AT24" s="4"/>
      <c r="AU24" s="4"/>
      <c r="AV24" s="511" t="n">
        <v>0</v>
      </c>
      <c r="AW24" s="182" t="n">
        <v>94</v>
      </c>
      <c r="AX24" s="182" t="n">
        <v>55</v>
      </c>
      <c r="AY24" s="294"/>
      <c r="AZ24" s="250" t="n">
        <f aca="false">SUM(N24,P24:U24)</f>
        <v>12.0093303694646</v>
      </c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customFormat="false" ht="12.95" hidden="false" customHeight="true" outlineLevel="0" collapsed="false">
      <c r="A25" s="183" t="n">
        <v>11</v>
      </c>
      <c r="B25" s="512" t="n">
        <v>6890.37</v>
      </c>
      <c r="C25" s="177" t="n">
        <v>249426</v>
      </c>
      <c r="D25" s="182" t="n">
        <f aca="false">C25-C24</f>
        <v>-1157</v>
      </c>
      <c r="E25" s="177" t="n">
        <f aca="false">C25-152000</f>
        <v>97426</v>
      </c>
      <c r="F25" s="524" t="n">
        <f aca="false">D25/$D$2</f>
        <v>-583.312326695236</v>
      </c>
      <c r="G25" s="185" t="n">
        <v>136</v>
      </c>
      <c r="H25" s="186" t="n">
        <v>0</v>
      </c>
      <c r="I25" s="185" t="n">
        <f aca="false">G25+H25</f>
        <v>136</v>
      </c>
      <c r="J25" s="179" t="n">
        <f aca="false">IF(L25&gt;0,L25,0)</f>
        <v>0</v>
      </c>
      <c r="K25" s="185" t="n">
        <f aca="false">I25+J25</f>
        <v>136</v>
      </c>
      <c r="L25" s="185" t="n">
        <f aca="false">F25-(I25-AK25)</f>
        <v>-29.3123266952357</v>
      </c>
      <c r="M25" s="525" t="n">
        <v>239</v>
      </c>
      <c r="N25" s="158" t="n">
        <f aca="false">(1.8299*1.03)/2</f>
        <v>0.9423985</v>
      </c>
      <c r="O25" s="185" t="n">
        <f aca="false">94*1.05</f>
        <v>98.7</v>
      </c>
      <c r="P25" s="158" t="n">
        <v>0</v>
      </c>
      <c r="Q25" s="336" t="n">
        <f aca="false">1804800/325851/1.9835*1.02</f>
        <v>2.84824924624256</v>
      </c>
      <c r="R25" s="336" t="n">
        <v>4.2</v>
      </c>
      <c r="S25" s="131" t="n">
        <f aca="false">((8*1.04)-T25)-4.2</f>
        <v>2.687712</v>
      </c>
      <c r="T25" s="131" t="n">
        <f aca="false">1.3772*1.04</f>
        <v>1.432288</v>
      </c>
      <c r="U25" s="355" t="n">
        <v>0</v>
      </c>
      <c r="V25" s="185" t="n">
        <v>127</v>
      </c>
      <c r="W25" s="185" t="n">
        <v>73</v>
      </c>
      <c r="X25" s="135" t="n">
        <f aca="false">M25-N25-O25-P25-Q25-R25-S25-T25-U25+V25+W25-AT25+AR25</f>
        <v>328.189352253757</v>
      </c>
      <c r="Y25" s="135" t="n">
        <f aca="false">X25-AO25</f>
        <v>321.189352253757</v>
      </c>
      <c r="Z25" s="107"/>
      <c r="AA25" s="135"/>
      <c r="AB25" s="107"/>
      <c r="AC25" s="107" t="n">
        <f aca="false">AS25-AS25</f>
        <v>0</v>
      </c>
      <c r="AD25" s="177" t="n">
        <f aca="false">AD24+AP25+AS25</f>
        <v>12156.9917201781</v>
      </c>
      <c r="AE25" s="185" t="n">
        <v>182</v>
      </c>
      <c r="AF25" s="248" t="n">
        <v>1.7</v>
      </c>
      <c r="AG25" s="249" t="n">
        <v>1.3</v>
      </c>
      <c r="AH25" s="185" t="n">
        <v>69</v>
      </c>
      <c r="AI25" s="177" t="n">
        <f aca="false">AI24-AH25</f>
        <v>8013.25787748929</v>
      </c>
      <c r="AJ25" s="177"/>
      <c r="AK25" s="11" t="n">
        <f aca="false">N25+O25+P25+Q25+R25+S25+T25+U25+X25+AE25+AH25-AR25</f>
        <v>690</v>
      </c>
      <c r="AL25" s="185" t="n">
        <f aca="false">IF(L25&lt;0,L25*-1,0)</f>
        <v>29.3123266952357</v>
      </c>
      <c r="AM25" s="185" t="n">
        <f aca="false">AK25+AL25</f>
        <v>719.312326695236</v>
      </c>
      <c r="AN25" s="220"/>
      <c r="AO25" s="183" t="n">
        <v>7</v>
      </c>
      <c r="AP25" s="97" t="n">
        <f aca="false">(I25-AO25)-Q25-R25-Y25-AF25</f>
        <v>-200.9376015</v>
      </c>
      <c r="AQ25" s="158" t="n">
        <f aca="false">47*(Z25*1.9835+AC25*1.9835)/E25</f>
        <v>0</v>
      </c>
      <c r="AR25" s="158"/>
      <c r="AS25" s="172" t="n">
        <v>6</v>
      </c>
      <c r="AT25" s="4"/>
      <c r="AU25" s="4"/>
      <c r="AV25" s="511" t="n">
        <v>0</v>
      </c>
      <c r="AW25" s="182" t="n">
        <v>94</v>
      </c>
      <c r="AX25" s="182" t="n">
        <v>59</v>
      </c>
      <c r="AY25" s="294"/>
      <c r="AZ25" s="250" t="n">
        <f aca="false">SUM(N25,P25:U25)</f>
        <v>12.1106477462426</v>
      </c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6" customFormat="false" ht="12.95" hidden="false" customHeight="true" outlineLevel="0" collapsed="false">
      <c r="A26" s="183" t="n">
        <v>12</v>
      </c>
      <c r="B26" s="512" t="n">
        <v>6890.04</v>
      </c>
      <c r="C26" s="177" t="n">
        <v>248304</v>
      </c>
      <c r="D26" s="182" t="n">
        <f aca="false">C26-C25</f>
        <v>-1122</v>
      </c>
      <c r="E26" s="177" t="n">
        <f aca="false">C26-152000</f>
        <v>96304</v>
      </c>
      <c r="F26" s="524" t="n">
        <f aca="false">D26/$D$2</f>
        <v>-565.666750693219</v>
      </c>
      <c r="G26" s="185" t="n">
        <v>120</v>
      </c>
      <c r="H26" s="186" t="n">
        <v>0</v>
      </c>
      <c r="I26" s="185" t="n">
        <f aca="false">G26+H26</f>
        <v>120</v>
      </c>
      <c r="J26" s="179" t="n">
        <f aca="false">IF(L26&gt;0,L26,0)</f>
        <v>0</v>
      </c>
      <c r="K26" s="185" t="n">
        <f aca="false">I26+J26</f>
        <v>120</v>
      </c>
      <c r="L26" s="185" t="n">
        <f aca="false">F26-(I26-AK26)</f>
        <v>-36.666750693219</v>
      </c>
      <c r="M26" s="525" t="n">
        <v>239</v>
      </c>
      <c r="N26" s="158" t="n">
        <f aca="false">(1.8299*1.03)/2</f>
        <v>0.9423985</v>
      </c>
      <c r="O26" s="185" t="n">
        <f aca="false">90*1.05</f>
        <v>94.5</v>
      </c>
      <c r="P26" s="158" t="n">
        <v>0</v>
      </c>
      <c r="Q26" s="336" t="n">
        <f aca="false">2037900/325851/1.9835*1.02</f>
        <v>3.21611654416983</v>
      </c>
      <c r="R26" s="336" t="n">
        <v>4.2</v>
      </c>
      <c r="S26" s="131" t="n">
        <f aca="false">((7*1.04)-T26)-4.2</f>
        <v>1.647712</v>
      </c>
      <c r="T26" s="131" t="n">
        <f aca="false">1.3772*1.04</f>
        <v>1.432288</v>
      </c>
      <c r="U26" s="355" t="n">
        <v>0</v>
      </c>
      <c r="V26" s="185" t="n">
        <v>128</v>
      </c>
      <c r="W26" s="185" t="n">
        <v>74</v>
      </c>
      <c r="X26" s="135" t="n">
        <f aca="false">M26-N26-O26-P26-Q26-R26-S26-T26-U26+V26+W26-AT26+AR26</f>
        <v>335.06148495583</v>
      </c>
      <c r="Y26" s="135" t="n">
        <f aca="false">X26-AO26</f>
        <v>328.06148495583</v>
      </c>
      <c r="Z26" s="107"/>
      <c r="AA26" s="135"/>
      <c r="AB26" s="107"/>
      <c r="AC26" s="107" t="n">
        <f aca="false">AS26-AS26</f>
        <v>0</v>
      </c>
      <c r="AD26" s="177" t="n">
        <f aca="false">AD25+AP26+AS26</f>
        <v>11938.8141186781</v>
      </c>
      <c r="AE26" s="185" t="n">
        <v>139</v>
      </c>
      <c r="AF26" s="248" t="n">
        <v>1.7</v>
      </c>
      <c r="AG26" s="249" t="n">
        <v>1.3</v>
      </c>
      <c r="AH26" s="185" t="n">
        <v>69</v>
      </c>
      <c r="AI26" s="177" t="n">
        <f aca="false">AI25-AH26</f>
        <v>7944.25787748929</v>
      </c>
      <c r="AJ26" s="177"/>
      <c r="AK26" s="11" t="n">
        <f aca="false">N26+O26+P26+Q26+R26+S26+T26+U26+X26+AE26+AH26-AR26</f>
        <v>649</v>
      </c>
      <c r="AL26" s="185" t="n">
        <f aca="false">IF(L26&lt;0,L26*-1,0)</f>
        <v>36.666750693219</v>
      </c>
      <c r="AM26" s="185" t="n">
        <f aca="false">AK26+AL26</f>
        <v>685.666750693219</v>
      </c>
      <c r="AN26" s="220"/>
      <c r="AO26" s="183" t="n">
        <v>7</v>
      </c>
      <c r="AP26" s="97" t="n">
        <f aca="false">(I26-AO26)-Q26-R26-Y26-AF26</f>
        <v>-224.1776015</v>
      </c>
      <c r="AQ26" s="158" t="n">
        <f aca="false">47*(Z26*1.9835+AC26*1.9835)/E26</f>
        <v>0</v>
      </c>
      <c r="AR26" s="158"/>
      <c r="AS26" s="172" t="n">
        <v>6</v>
      </c>
      <c r="AT26" s="4"/>
      <c r="AU26" s="4"/>
      <c r="AV26" s="511" t="n">
        <v>0.04</v>
      </c>
      <c r="AW26" s="182" t="n">
        <v>92</v>
      </c>
      <c r="AX26" s="182" t="n">
        <v>58</v>
      </c>
      <c r="AY26" s="294"/>
      <c r="AZ26" s="250" t="n">
        <f aca="false">SUM(N26,P26:U26)</f>
        <v>11.4385150441698</v>
      </c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</row>
    <row r="27" customFormat="false" ht="12.95" hidden="false" customHeight="true" outlineLevel="0" collapsed="false">
      <c r="A27" s="183" t="n">
        <v>13</v>
      </c>
      <c r="B27" s="512" t="n">
        <v>6889.67</v>
      </c>
      <c r="C27" s="177" t="n">
        <v>247057</v>
      </c>
      <c r="D27" s="182" t="n">
        <f aca="false">C27-C26</f>
        <v>-1247</v>
      </c>
      <c r="E27" s="177" t="n">
        <f aca="false">C27-152000</f>
        <v>95057</v>
      </c>
      <c r="F27" s="524" t="n">
        <f aca="false">D27/$D$2</f>
        <v>-628.686664986136</v>
      </c>
      <c r="G27" s="185" t="n">
        <v>114</v>
      </c>
      <c r="H27" s="186" t="n">
        <v>0</v>
      </c>
      <c r="I27" s="185" t="n">
        <f aca="false">G27+H27</f>
        <v>114</v>
      </c>
      <c r="J27" s="179" t="n">
        <f aca="false">IF(L27&gt;0,L27,0)</f>
        <v>0</v>
      </c>
      <c r="K27" s="185" t="n">
        <f aca="false">I27+J27</f>
        <v>114</v>
      </c>
      <c r="L27" s="185" t="n">
        <f aca="false">F27-(I27-AK27)</f>
        <v>-38.6866649861356</v>
      </c>
      <c r="M27" s="525" t="n">
        <v>233</v>
      </c>
      <c r="N27" s="158" t="n">
        <f aca="false">(1.8299*1.03)/2</f>
        <v>0.9423985</v>
      </c>
      <c r="O27" s="185" t="n">
        <f aca="false">82*1.05</f>
        <v>86.1</v>
      </c>
      <c r="P27" s="158" t="n">
        <v>0</v>
      </c>
      <c r="Q27" s="336" t="n">
        <f aca="false">1910900/325851/1.9835*1.02</f>
        <v>3.01569120381477</v>
      </c>
      <c r="R27" s="336" t="n">
        <v>4.2</v>
      </c>
      <c r="S27" s="131" t="n">
        <f aca="false">((7*1.04)-T27)-4.2</f>
        <v>1.647712</v>
      </c>
      <c r="T27" s="131" t="n">
        <f aca="false">1.3772*1.04</f>
        <v>1.432288</v>
      </c>
      <c r="U27" s="355" t="n">
        <v>0</v>
      </c>
      <c r="V27" s="185" t="n">
        <v>126</v>
      </c>
      <c r="W27" s="185" t="n">
        <v>73</v>
      </c>
      <c r="X27" s="135" t="n">
        <f aca="false">M27-N27-O27-P27-Q27-R27-S27-T27-U27+V27+W27-AT27+AR27</f>
        <v>334.661910296185</v>
      </c>
      <c r="Y27" s="135" t="n">
        <f aca="false">X27-AO27</f>
        <v>327.661910296185</v>
      </c>
      <c r="Z27" s="107"/>
      <c r="AA27" s="135"/>
      <c r="AB27" s="107"/>
      <c r="AC27" s="107" t="n">
        <f aca="false">AS27-AS27</f>
        <v>0</v>
      </c>
      <c r="AD27" s="177" t="n">
        <f aca="false">AD26+AP27+AS27</f>
        <v>11715.2365171781</v>
      </c>
      <c r="AE27" s="185" t="n">
        <v>203</v>
      </c>
      <c r="AF27" s="248" t="n">
        <v>1.7</v>
      </c>
      <c r="AG27" s="249" t="n">
        <v>1.3</v>
      </c>
      <c r="AH27" s="185" t="n">
        <v>69</v>
      </c>
      <c r="AI27" s="177" t="n">
        <f aca="false">AI26-AH27</f>
        <v>7875.25787748929</v>
      </c>
      <c r="AJ27" s="177"/>
      <c r="AK27" s="11" t="n">
        <f aca="false">N27+O27+P27+Q27+R27+S27+T27+U27+X27+AE27+AH27-AR27</f>
        <v>704</v>
      </c>
      <c r="AL27" s="185" t="n">
        <f aca="false">IF(L27&lt;0,L27*-1,0)</f>
        <v>38.6866649861356</v>
      </c>
      <c r="AM27" s="185" t="n">
        <f aca="false">AK27+AL27</f>
        <v>742.686664986136</v>
      </c>
      <c r="AN27" s="220"/>
      <c r="AO27" s="183" t="n">
        <v>7</v>
      </c>
      <c r="AP27" s="97" t="n">
        <f aca="false">(I27-AO27)-Q27-R27-Y27-AF27</f>
        <v>-229.5776015</v>
      </c>
      <c r="AQ27" s="158" t="n">
        <f aca="false">47*(Z27*1.9835+AC27*1.9835)/E27</f>
        <v>0</v>
      </c>
      <c r="AR27" s="158"/>
      <c r="AS27" s="172" t="n">
        <v>6</v>
      </c>
      <c r="AT27" s="4"/>
      <c r="AU27" s="4"/>
      <c r="AV27" s="511" t="n">
        <v>0</v>
      </c>
      <c r="AW27" s="182" t="n">
        <v>91</v>
      </c>
      <c r="AX27" s="182" t="n">
        <v>61</v>
      </c>
      <c r="AY27" s="294"/>
      <c r="AZ27" s="250" t="n">
        <f aca="false">SUM(N27,P27:U27)</f>
        <v>11.2380897038148</v>
      </c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</row>
    <row r="28" customFormat="false" ht="12.95" hidden="false" customHeight="true" outlineLevel="0" collapsed="false">
      <c r="A28" s="183" t="n">
        <v>14</v>
      </c>
      <c r="B28" s="512" t="n">
        <v>6889.29</v>
      </c>
      <c r="C28" s="177" t="n">
        <v>245778</v>
      </c>
      <c r="D28" s="182" t="n">
        <f aca="false">C28-C27</f>
        <v>-1279</v>
      </c>
      <c r="E28" s="177" t="n">
        <f aca="false">C28-152000</f>
        <v>93778</v>
      </c>
      <c r="F28" s="524" t="n">
        <f aca="false">D28/$D$2</f>
        <v>-644.819763045122</v>
      </c>
      <c r="G28" s="185" t="n">
        <v>106</v>
      </c>
      <c r="H28" s="186" t="n">
        <v>0</v>
      </c>
      <c r="I28" s="185" t="n">
        <f aca="false">G28+H28</f>
        <v>106</v>
      </c>
      <c r="J28" s="179" t="n">
        <f aca="false">IF(L28&gt;0,L28,0)</f>
        <v>0</v>
      </c>
      <c r="K28" s="185" t="n">
        <f aca="false">I28+J28</f>
        <v>106</v>
      </c>
      <c r="L28" s="185" t="n">
        <f aca="false">F28-(I28-AK28)</f>
        <v>-28.8197630451223</v>
      </c>
      <c r="M28" s="525" t="n">
        <v>238</v>
      </c>
      <c r="N28" s="158" t="n">
        <f aca="false">(1.8299*1.03)/2</f>
        <v>0.9423985</v>
      </c>
      <c r="O28" s="185" t="n">
        <f aca="false">83*1.05</f>
        <v>87.15</v>
      </c>
      <c r="P28" s="158" t="n">
        <v>0</v>
      </c>
      <c r="Q28" s="336" t="n">
        <f aca="false">1913600/325851/1.9835*1.02</f>
        <v>3.01995221498768</v>
      </c>
      <c r="R28" s="336" t="n">
        <v>4.2</v>
      </c>
      <c r="S28" s="131" t="n">
        <f aca="false">((7*1.04)-T28)-4.2</f>
        <v>1.647712</v>
      </c>
      <c r="T28" s="131" t="n">
        <f aca="false">1.3772*1.04</f>
        <v>1.432288</v>
      </c>
      <c r="U28" s="355" t="n">
        <v>0</v>
      </c>
      <c r="V28" s="185" t="n">
        <v>121</v>
      </c>
      <c r="W28" s="185" t="n">
        <v>74</v>
      </c>
      <c r="X28" s="135" t="n">
        <f aca="false">M28-N28-O28-P28-Q28-R28-S28-T28-U28+V28+W28-AT28+AR28</f>
        <v>334.607649285012</v>
      </c>
      <c r="Y28" s="135" t="n">
        <f aca="false">X28-AO28</f>
        <v>327.607649285012</v>
      </c>
      <c r="Z28" s="107"/>
      <c r="AA28" s="135"/>
      <c r="AB28" s="107"/>
      <c r="AC28" s="107" t="n">
        <f aca="false">AS28-AS28</f>
        <v>0</v>
      </c>
      <c r="AD28" s="177" t="n">
        <f aca="false">AD27+AP28+AS28</f>
        <v>11483.7089156781</v>
      </c>
      <c r="AE28" s="185" t="n">
        <v>220</v>
      </c>
      <c r="AF28" s="248" t="n">
        <v>1.7</v>
      </c>
      <c r="AG28" s="249" t="n">
        <v>1.3</v>
      </c>
      <c r="AH28" s="185" t="n">
        <v>69</v>
      </c>
      <c r="AI28" s="177" t="n">
        <f aca="false">AI27-AH28</f>
        <v>7806.25787748929</v>
      </c>
      <c r="AJ28" s="177"/>
      <c r="AK28" s="11" t="n">
        <f aca="false">N28+O28+P28+Q28+R28+S28+T28+U28+X28+AE28+AH28-AR28</f>
        <v>722</v>
      </c>
      <c r="AL28" s="185" t="n">
        <f aca="false">IF(L28&lt;0,L28*-1,0)</f>
        <v>28.8197630451223</v>
      </c>
      <c r="AM28" s="185" t="n">
        <f aca="false">AK28+AL28</f>
        <v>750.819763045122</v>
      </c>
      <c r="AN28" s="220"/>
      <c r="AO28" s="183" t="n">
        <v>7</v>
      </c>
      <c r="AP28" s="97" t="n">
        <f aca="false">(I28-AO28)-Q28-R28-Y28-AF28</f>
        <v>-237.5276015</v>
      </c>
      <c r="AQ28" s="158" t="n">
        <f aca="false">47*(Z28*1.9835+AC28*1.9835)/E28</f>
        <v>0</v>
      </c>
      <c r="AR28" s="158"/>
      <c r="AS28" s="172" t="n">
        <v>6</v>
      </c>
      <c r="AT28" s="4"/>
      <c r="AU28" s="4"/>
      <c r="AV28" s="511" t="n">
        <v>0</v>
      </c>
      <c r="AW28" s="182" t="n">
        <v>85</v>
      </c>
      <c r="AX28" s="182" t="n">
        <v>58</v>
      </c>
      <c r="AY28" s="294"/>
      <c r="AZ28" s="250" t="n">
        <f aca="false">SUM(N28,P28:U28)</f>
        <v>11.2423507149877</v>
      </c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</row>
    <row r="29" customFormat="false" ht="12.95" hidden="false" customHeight="true" outlineLevel="0" collapsed="false">
      <c r="A29" s="183" t="n">
        <v>15</v>
      </c>
      <c r="B29" s="512" t="n">
        <v>6888.9</v>
      </c>
      <c r="C29" s="177" t="n">
        <v>244468</v>
      </c>
      <c r="D29" s="182" t="n">
        <f aca="false">C29-C28</f>
        <v>-1310</v>
      </c>
      <c r="E29" s="177" t="n">
        <f aca="false">C29-152000</f>
        <v>92468</v>
      </c>
      <c r="F29" s="524" t="n">
        <f aca="false">D29/$D$2</f>
        <v>-660.448701789766</v>
      </c>
      <c r="G29" s="185" t="n">
        <v>103</v>
      </c>
      <c r="H29" s="186" t="n">
        <v>0</v>
      </c>
      <c r="I29" s="185" t="n">
        <f aca="false">G29+H29</f>
        <v>103</v>
      </c>
      <c r="J29" s="179" t="n">
        <f aca="false">IF(L29&gt;0,L29,0)</f>
        <v>0</v>
      </c>
      <c r="K29" s="185" t="n">
        <f aca="false">I29+J29</f>
        <v>103</v>
      </c>
      <c r="L29" s="185" t="n">
        <f aca="false">F29-(I29-AK29)</f>
        <v>-42.4487017897656</v>
      </c>
      <c r="M29" s="525" t="n">
        <v>225</v>
      </c>
      <c r="N29" s="158" t="n">
        <f aca="false">(1.8299*1.03)/2</f>
        <v>0.9423985</v>
      </c>
      <c r="O29" s="185" t="n">
        <f aca="false">74*1.05</f>
        <v>77.7</v>
      </c>
      <c r="P29" s="158" t="n">
        <v>0</v>
      </c>
      <c r="Q29" s="336" t="n">
        <f aca="false">1965400/325851/1.9835*1.02</f>
        <v>3.10170050341596</v>
      </c>
      <c r="R29" s="336" t="n">
        <v>4.2</v>
      </c>
      <c r="S29" s="131" t="n">
        <f aca="false">((7*1.04)-T29)-4.2</f>
        <v>1.647712</v>
      </c>
      <c r="T29" s="131" t="n">
        <f aca="false">1.3772*1.04</f>
        <v>1.432288</v>
      </c>
      <c r="U29" s="355" t="n">
        <v>0</v>
      </c>
      <c r="V29" s="185" t="n">
        <v>121</v>
      </c>
      <c r="W29" s="185" t="n">
        <v>74</v>
      </c>
      <c r="X29" s="135" t="n">
        <f aca="false">M29-N29-O29-P29-Q29-R29-S29-T29-U29+V29+W29-AT29+AR29</f>
        <v>330.975900996584</v>
      </c>
      <c r="Y29" s="135" t="n">
        <f aca="false">X29-AO29</f>
        <v>323.975900996584</v>
      </c>
      <c r="Z29" s="107"/>
      <c r="AA29" s="135"/>
      <c r="AB29" s="107"/>
      <c r="AC29" s="107" t="n">
        <f aca="false">AS29-AS29</f>
        <v>0</v>
      </c>
      <c r="AD29" s="177" t="n">
        <f aca="false">AD28+AP29+AS29</f>
        <v>11252.7313141781</v>
      </c>
      <c r="AE29" s="185" t="n">
        <v>232</v>
      </c>
      <c r="AF29" s="248" t="n">
        <v>1.7</v>
      </c>
      <c r="AG29" s="249" t="n">
        <v>1.3</v>
      </c>
      <c r="AH29" s="185" t="n">
        <v>69</v>
      </c>
      <c r="AI29" s="177" t="n">
        <f aca="false">AI28-AH29</f>
        <v>7737.25787748929</v>
      </c>
      <c r="AJ29" s="177"/>
      <c r="AK29" s="11" t="n">
        <f aca="false">N29+O29+P29+Q29+R29+S29+T29+U29+X29+AE29+AH29-AR29</f>
        <v>721</v>
      </c>
      <c r="AL29" s="185" t="n">
        <f aca="false">IF(L29&lt;0,L29*-1,0)</f>
        <v>42.4487017897656</v>
      </c>
      <c r="AM29" s="185" t="n">
        <f aca="false">AK29+AL29</f>
        <v>763.448701789766</v>
      </c>
      <c r="AN29" s="220"/>
      <c r="AO29" s="183" t="n">
        <v>7</v>
      </c>
      <c r="AP29" s="97" t="n">
        <f aca="false">(I29-AO29)-Q29-R29-Y29-AF29</f>
        <v>-236.9776015</v>
      </c>
      <c r="AQ29" s="158" t="n">
        <f aca="false">47*(Z29*1.9835+AC29*1.9835)/E29</f>
        <v>0</v>
      </c>
      <c r="AR29" s="158"/>
      <c r="AS29" s="172" t="n">
        <v>6</v>
      </c>
      <c r="AT29" s="4"/>
      <c r="AU29" s="4"/>
      <c r="AV29" s="511" t="n">
        <v>0</v>
      </c>
      <c r="AW29" s="182" t="n">
        <v>91</v>
      </c>
      <c r="AX29" s="182" t="n">
        <v>54</v>
      </c>
      <c r="AY29" s="294"/>
      <c r="AZ29" s="250" t="n">
        <f aca="false">SUM(N29,P29:U29)</f>
        <v>11.324099003416</v>
      </c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</row>
    <row r="30" customFormat="false" ht="12.95" hidden="false" customHeight="true" outlineLevel="0" collapsed="false">
      <c r="A30" s="183" t="n">
        <v>16</v>
      </c>
      <c r="B30" s="512" t="n">
        <v>6888.53</v>
      </c>
      <c r="C30" s="177" t="n">
        <v>243235</v>
      </c>
      <c r="D30" s="182" t="n">
        <f aca="false">C30-C29</f>
        <v>-1233</v>
      </c>
      <c r="E30" s="177" t="n">
        <f aca="false">C30-152000</f>
        <v>91235</v>
      </c>
      <c r="F30" s="524" t="n">
        <f aca="false">D30/$D$2</f>
        <v>-621.628434585329</v>
      </c>
      <c r="G30" s="185" t="n">
        <v>93</v>
      </c>
      <c r="H30" s="186" t="n">
        <v>0</v>
      </c>
      <c r="I30" s="185" t="n">
        <f aca="false">G30+H30</f>
        <v>93</v>
      </c>
      <c r="J30" s="179" t="n">
        <f aca="false">IF(L30&gt;0,L30,0)</f>
        <v>21.3715654146711</v>
      </c>
      <c r="K30" s="185" t="n">
        <f aca="false">I30+J30</f>
        <v>114.371565414671</v>
      </c>
      <c r="L30" s="185" t="n">
        <f aca="false">F30-(I30-AK30)</f>
        <v>21.3715654146711</v>
      </c>
      <c r="M30" s="525" t="n">
        <v>243</v>
      </c>
      <c r="N30" s="158" t="n">
        <f aca="false">(1.8299*1.03)/2</f>
        <v>0.9423985</v>
      </c>
      <c r="O30" s="185" t="n">
        <f aca="false">70*1.05</f>
        <v>73.5</v>
      </c>
      <c r="P30" s="158" t="n">
        <v>0</v>
      </c>
      <c r="Q30" s="336" t="n">
        <f aca="false">1945500/325851/1.9835*1.02</f>
        <v>3.07029527291938</v>
      </c>
      <c r="R30" s="336" t="n">
        <v>4.2</v>
      </c>
      <c r="S30" s="131" t="n">
        <f aca="false">((7*1.04)-T30)-4.2</f>
        <v>1.647712</v>
      </c>
      <c r="T30" s="131" t="n">
        <f aca="false">1.3772*1.04</f>
        <v>1.432288</v>
      </c>
      <c r="U30" s="355" t="n">
        <v>0</v>
      </c>
      <c r="V30" s="185" t="n">
        <v>123</v>
      </c>
      <c r="W30" s="185" t="n">
        <v>73</v>
      </c>
      <c r="X30" s="135" t="n">
        <f aca="false">M30-N30-O30-P30-Q30-R30-S30-T30-U30+V30+W30-AT30+AR30</f>
        <v>354.207306227081</v>
      </c>
      <c r="Y30" s="135" t="n">
        <f aca="false">X30-AO30</f>
        <v>347.207306227081</v>
      </c>
      <c r="Z30" s="107"/>
      <c r="AA30" s="135"/>
      <c r="AB30" s="107"/>
      <c r="AC30" s="107" t="n">
        <f aca="false">AS30-AS30</f>
        <v>0</v>
      </c>
      <c r="AD30" s="177" t="n">
        <f aca="false">AD29+AP30+AS30</f>
        <v>10988.5537126781</v>
      </c>
      <c r="AE30" s="185" t="n">
        <v>238</v>
      </c>
      <c r="AF30" s="248" t="n">
        <v>1.7</v>
      </c>
      <c r="AG30" s="249" t="n">
        <v>1.3</v>
      </c>
      <c r="AH30" s="185" t="n">
        <v>59</v>
      </c>
      <c r="AI30" s="177" t="n">
        <f aca="false">AI29-AH30</f>
        <v>7678.25787748929</v>
      </c>
      <c r="AJ30" s="177"/>
      <c r="AK30" s="11" t="n">
        <f aca="false">N30+O30+P30+Q30+R30+S30+T30+U30+X30+AE30+AH30-AR30</f>
        <v>736</v>
      </c>
      <c r="AL30" s="185" t="n">
        <f aca="false">IF(L30&lt;0,L30*-1,0)</f>
        <v>0</v>
      </c>
      <c r="AM30" s="185" t="n">
        <f aca="false">AK30+AL30</f>
        <v>736</v>
      </c>
      <c r="AN30" s="220"/>
      <c r="AO30" s="183" t="n">
        <v>7</v>
      </c>
      <c r="AP30" s="97" t="n">
        <f aca="false">(I30-AO30)-Q30-R30-Y30-AF30</f>
        <v>-270.1776015</v>
      </c>
      <c r="AQ30" s="158" t="n">
        <f aca="false">47*(Z30*1.9835+AC30*1.9835)/E30</f>
        <v>0</v>
      </c>
      <c r="AR30" s="158"/>
      <c r="AS30" s="172" t="n">
        <v>6</v>
      </c>
      <c r="AT30" s="4"/>
      <c r="AU30" s="4"/>
      <c r="AV30" s="511" t="n">
        <v>0</v>
      </c>
      <c r="AW30" s="182" t="n">
        <v>92</v>
      </c>
      <c r="AX30" s="182" t="n">
        <v>54</v>
      </c>
      <c r="AY30" s="294"/>
      <c r="AZ30" s="250" t="n">
        <f aca="false">SUM(N30,P30:U30)</f>
        <v>11.2926937729194</v>
      </c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</row>
    <row r="31" customFormat="false" ht="12.95" hidden="false" customHeight="true" outlineLevel="0" collapsed="false">
      <c r="A31" s="183" t="n">
        <v>17</v>
      </c>
      <c r="B31" s="512" t="n">
        <v>6888.11</v>
      </c>
      <c r="C31" s="177" t="n">
        <v>241836</v>
      </c>
      <c r="D31" s="182" t="n">
        <f aca="false">C31-C30</f>
        <v>-1399</v>
      </c>
      <c r="E31" s="177" t="n">
        <f aca="false">C31-152000</f>
        <v>89836</v>
      </c>
      <c r="F31" s="524" t="n">
        <f aca="false">D31/$D$2</f>
        <v>-705.318880766322</v>
      </c>
      <c r="G31" s="185" t="n">
        <v>91</v>
      </c>
      <c r="H31" s="186" t="n">
        <v>0</v>
      </c>
      <c r="I31" s="185" t="n">
        <f aca="false">G31+H31</f>
        <v>91</v>
      </c>
      <c r="J31" s="179" t="n">
        <f aca="false">IF(L31&gt;0,L31,0)</f>
        <v>0</v>
      </c>
      <c r="K31" s="185" t="n">
        <f aca="false">I31+J31</f>
        <v>91</v>
      </c>
      <c r="L31" s="185" t="n">
        <f aca="false">F31-(I31-AK31)</f>
        <v>-39.3188807663222</v>
      </c>
      <c r="M31" s="525" t="n">
        <v>249</v>
      </c>
      <c r="N31" s="158" t="n">
        <f aca="false">(1.8299*1.03)/2</f>
        <v>0.9423985</v>
      </c>
      <c r="O31" s="185" t="n">
        <f aca="false">79*1.05</f>
        <v>82.95</v>
      </c>
      <c r="P31" s="158" t="n">
        <v>0</v>
      </c>
      <c r="Q31" s="336" t="n">
        <f aca="false">1818400/325851/1.9835*1.02</f>
        <v>2.8697121173357</v>
      </c>
      <c r="R31" s="336" t="n">
        <v>4.2</v>
      </c>
      <c r="S31" s="131" t="n">
        <f aca="false">((7*1.04)-T31)-4.2</f>
        <v>1.7566</v>
      </c>
      <c r="T31" s="131" t="n">
        <f aca="false">1.2725*1.04</f>
        <v>1.3234</v>
      </c>
      <c r="U31" s="355" t="n">
        <v>0</v>
      </c>
      <c r="V31" s="185" t="n">
        <v>127</v>
      </c>
      <c r="W31" s="185" t="n">
        <v>73</v>
      </c>
      <c r="X31" s="135" t="n">
        <f aca="false">M31-N31-O31-P31-Q31-R31-S31-T31-U31+V31+W31-AT31+AR31</f>
        <v>354.957889382664</v>
      </c>
      <c r="Y31" s="135" t="n">
        <f aca="false">X31-AO31</f>
        <v>347.957889382664</v>
      </c>
      <c r="Z31" s="107"/>
      <c r="AA31" s="135"/>
      <c r="AB31" s="107"/>
      <c r="AC31" s="107" t="n">
        <f aca="false">AS31-AS31</f>
        <v>0</v>
      </c>
      <c r="AD31" s="177" t="n">
        <f aca="false">AD30+AP31+AS31</f>
        <v>10721.8261111781</v>
      </c>
      <c r="AE31" s="185" t="n">
        <v>249</v>
      </c>
      <c r="AF31" s="248" t="n">
        <v>1.7</v>
      </c>
      <c r="AG31" s="249" t="n">
        <v>1.3</v>
      </c>
      <c r="AH31" s="185" t="n">
        <v>59</v>
      </c>
      <c r="AI31" s="177" t="n">
        <f aca="false">AI30-AH31</f>
        <v>7619.25787748929</v>
      </c>
      <c r="AJ31" s="177"/>
      <c r="AK31" s="11" t="n">
        <f aca="false">N31+O31+P31+Q31+R31+S31+T31+U31+X31+AE31+AH31-AR31</f>
        <v>757</v>
      </c>
      <c r="AL31" s="185" t="n">
        <f aca="false">IF(L31&lt;0,L31*-1,0)</f>
        <v>39.3188807663222</v>
      </c>
      <c r="AM31" s="185" t="n">
        <f aca="false">AK31+AL31</f>
        <v>796.318880766322</v>
      </c>
      <c r="AN31" s="220"/>
      <c r="AO31" s="183" t="n">
        <v>7</v>
      </c>
      <c r="AP31" s="97" t="n">
        <f aca="false">(I31-AO31)-Q31-R31-Y31-AF31</f>
        <v>-272.7276015</v>
      </c>
      <c r="AQ31" s="158" t="n">
        <f aca="false">47*(Z31*1.9835+AC31*1.9835)/E31</f>
        <v>0</v>
      </c>
      <c r="AR31" s="158"/>
      <c r="AS31" s="172" t="n">
        <v>6</v>
      </c>
      <c r="AT31" s="4"/>
      <c r="AU31" s="4"/>
      <c r="AV31" s="511" t="n">
        <v>0</v>
      </c>
      <c r="AW31" s="182" t="n">
        <v>91</v>
      </c>
      <c r="AX31" s="182" t="n">
        <v>59</v>
      </c>
      <c r="AY31" s="294"/>
      <c r="AZ31" s="250" t="n">
        <f aca="false">SUM(N31,P31:U31)</f>
        <v>11.0921106173357</v>
      </c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</row>
    <row r="32" customFormat="false" ht="12.95" hidden="false" customHeight="true" outlineLevel="0" collapsed="false">
      <c r="A32" s="183" t="n">
        <v>18</v>
      </c>
      <c r="B32" s="512" t="n">
        <v>6887.71</v>
      </c>
      <c r="C32" s="177" t="n">
        <v>240513</v>
      </c>
      <c r="D32" s="182" t="n">
        <f aca="false">C32-C31</f>
        <v>-1323</v>
      </c>
      <c r="E32" s="177" t="n">
        <f aca="false">C32-152000</f>
        <v>88513</v>
      </c>
      <c r="F32" s="524" t="n">
        <f aca="false">D32/$D$2</f>
        <v>-667.002772876229</v>
      </c>
      <c r="G32" s="185" t="n">
        <v>90</v>
      </c>
      <c r="H32" s="186" t="n">
        <v>0</v>
      </c>
      <c r="I32" s="185" t="n">
        <f aca="false">G32+H32</f>
        <v>90</v>
      </c>
      <c r="J32" s="179" t="n">
        <f aca="false">IF(L32&gt;0,L32,0)</f>
        <v>0</v>
      </c>
      <c r="K32" s="185" t="n">
        <f aca="false">I32+J32</f>
        <v>90</v>
      </c>
      <c r="L32" s="185" t="n">
        <f aca="false">F32-(I32-AK32)</f>
        <v>-45.0027728762288</v>
      </c>
      <c r="M32" s="525" t="n">
        <v>234</v>
      </c>
      <c r="N32" s="158" t="n">
        <f aca="false">(1.8299*1.03)/2</f>
        <v>0.9423985</v>
      </c>
      <c r="O32" s="185" t="n">
        <f aca="false">70*1.05</f>
        <v>73.5</v>
      </c>
      <c r="P32" s="158" t="n">
        <v>0</v>
      </c>
      <c r="Q32" s="336" t="n">
        <f aca="false">1833700/325851/1.9835*1.02</f>
        <v>2.89385784731548</v>
      </c>
      <c r="R32" s="336" t="n">
        <v>4.2</v>
      </c>
      <c r="S32" s="131" t="n">
        <f aca="false">((7*1.04)-T32)-4.2</f>
        <v>1.7566</v>
      </c>
      <c r="T32" s="131" t="n">
        <f aca="false">1.2725*1.04</f>
        <v>1.3234</v>
      </c>
      <c r="U32" s="355" t="n">
        <v>0</v>
      </c>
      <c r="V32" s="185" t="n">
        <v>127</v>
      </c>
      <c r="W32" s="185" t="n">
        <v>73</v>
      </c>
      <c r="X32" s="135" t="n">
        <f aca="false">M32-N32-O32-P32-Q32-R32-S32-T32-U32+V32+W32-AT32+AR32</f>
        <v>349.383743652685</v>
      </c>
      <c r="Y32" s="135" t="n">
        <f aca="false">X32-AO32</f>
        <v>342.383743652685</v>
      </c>
      <c r="Z32" s="107"/>
      <c r="AA32" s="135"/>
      <c r="AB32" s="107"/>
      <c r="AC32" s="107" t="n">
        <f aca="false">AS32-AS32</f>
        <v>0</v>
      </c>
      <c r="AD32" s="177" t="n">
        <f aca="false">AD31+AP32+AS32</f>
        <v>10459.6485096781</v>
      </c>
      <c r="AE32" s="185" t="n">
        <v>219</v>
      </c>
      <c r="AF32" s="248" t="n">
        <v>1.7</v>
      </c>
      <c r="AG32" s="249" t="n">
        <v>1.3</v>
      </c>
      <c r="AH32" s="185" t="n">
        <v>59</v>
      </c>
      <c r="AI32" s="177" t="n">
        <f aca="false">AI31-AH32</f>
        <v>7560.25787748929</v>
      </c>
      <c r="AJ32" s="177"/>
      <c r="AK32" s="11" t="n">
        <f aca="false">N32+O32+P32+Q32+R32+S32+T32+U32+X32+AE32+AH32-AR32</f>
        <v>712</v>
      </c>
      <c r="AL32" s="185" t="n">
        <f aca="false">IF(L32&lt;0,L32*-1,0)</f>
        <v>45.0027728762288</v>
      </c>
      <c r="AM32" s="185" t="n">
        <f aca="false">AK32+AL32</f>
        <v>757.002772876229</v>
      </c>
      <c r="AN32" s="220"/>
      <c r="AO32" s="183" t="n">
        <v>7</v>
      </c>
      <c r="AP32" s="97" t="n">
        <f aca="false">(I32-AO32)-Q32-R32-Y32-AF32</f>
        <v>-268.1776015</v>
      </c>
      <c r="AQ32" s="158" t="n">
        <f aca="false">47*(Z32*1.9835+AC32*1.9835)/E32</f>
        <v>0</v>
      </c>
      <c r="AR32" s="158"/>
      <c r="AS32" s="172" t="n">
        <v>6</v>
      </c>
      <c r="AT32" s="4"/>
      <c r="AU32" s="4"/>
      <c r="AV32" s="511" t="n">
        <v>0</v>
      </c>
      <c r="AW32" s="182" t="n">
        <v>91</v>
      </c>
      <c r="AX32" s="182" t="n">
        <v>56</v>
      </c>
      <c r="AY32" s="294"/>
      <c r="AZ32" s="250" t="n">
        <f aca="false">SUM(N32,P32:U32)</f>
        <v>11.1162563473155</v>
      </c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</row>
    <row r="33" customFormat="false" ht="12.95" hidden="false" customHeight="true" outlineLevel="0" collapsed="false">
      <c r="A33" s="183" t="n">
        <v>19</v>
      </c>
      <c r="B33" s="512" t="n">
        <v>6887.38</v>
      </c>
      <c r="C33" s="177" t="n">
        <v>239425</v>
      </c>
      <c r="D33" s="182" t="n">
        <f aca="false">C33-C32</f>
        <v>-1088</v>
      </c>
      <c r="E33" s="177" t="n">
        <f aca="false">C33-152000</f>
        <v>87425</v>
      </c>
      <c r="F33" s="524" t="n">
        <f aca="false">D33/$D$2</f>
        <v>-548.525334005546</v>
      </c>
      <c r="G33" s="185" t="n">
        <v>84</v>
      </c>
      <c r="H33" s="186" t="n">
        <v>0</v>
      </c>
      <c r="I33" s="185" t="n">
        <f aca="false">G33+H33</f>
        <v>84</v>
      </c>
      <c r="J33" s="179" t="n">
        <f aca="false">IF(L33&gt;0,L33,0)</f>
        <v>24.4746659944543</v>
      </c>
      <c r="K33" s="185" t="n">
        <f aca="false">I33+J33</f>
        <v>108.474665994454</v>
      </c>
      <c r="L33" s="185" t="n">
        <f aca="false">F33-(I33-AK33)</f>
        <v>24.4746659944543</v>
      </c>
      <c r="M33" s="525" t="n">
        <v>206</v>
      </c>
      <c r="N33" s="158" t="n">
        <f aca="false">(1.8299*1.03)/2</f>
        <v>0.9423985</v>
      </c>
      <c r="O33" s="185" t="n">
        <f aca="false">47*1.05</f>
        <v>49.35</v>
      </c>
      <c r="P33" s="158" t="n">
        <v>0</v>
      </c>
      <c r="Q33" s="336" t="n">
        <f aca="false">2000700/325851/1.9835*1.02</f>
        <v>3.15740927912095</v>
      </c>
      <c r="R33" s="336" t="n">
        <v>4.2</v>
      </c>
      <c r="S33" s="131" t="n">
        <f aca="false">((7*1.04)-T33)-4.2</f>
        <v>1.7566</v>
      </c>
      <c r="T33" s="131" t="n">
        <f aca="false">1.2725*1.04</f>
        <v>1.3234</v>
      </c>
      <c r="U33" s="355" t="n">
        <v>0</v>
      </c>
      <c r="V33" s="185" t="n">
        <v>124</v>
      </c>
      <c r="W33" s="526" t="n">
        <v>72</v>
      </c>
      <c r="X33" s="135" t="n">
        <f aca="false">M33-N33-O33-P33-Q33-R33-S33-T33-U33+V33+W33-AT33+AR33</f>
        <v>341.270192220879</v>
      </c>
      <c r="Y33" s="135" t="n">
        <f aca="false">X33-AO33</f>
        <v>334.270192220879</v>
      </c>
      <c r="Z33" s="107"/>
      <c r="AA33" s="135"/>
      <c r="AB33" s="107"/>
      <c r="AC33" s="107" t="n">
        <f aca="false">AS33-AS33</f>
        <v>0</v>
      </c>
      <c r="AD33" s="177" t="n">
        <f aca="false">AD32+AP33+AS33</f>
        <v>10199.3209081781</v>
      </c>
      <c r="AE33" s="185" t="n">
        <v>196</v>
      </c>
      <c r="AF33" s="248" t="n">
        <v>1.7</v>
      </c>
      <c r="AG33" s="249" t="n">
        <v>1.3</v>
      </c>
      <c r="AH33" s="185" t="n">
        <v>59</v>
      </c>
      <c r="AI33" s="177" t="n">
        <f aca="false">AI32-AH33</f>
        <v>7501.25787748929</v>
      </c>
      <c r="AJ33" s="177"/>
      <c r="AK33" s="11" t="n">
        <f aca="false">N33+O33+P33+Q33+R33+S33+T33+U33+X33+AE33+AH33-AR33</f>
        <v>657</v>
      </c>
      <c r="AL33" s="185" t="n">
        <f aca="false">IF(L33&lt;0,L33*-1,0)</f>
        <v>0</v>
      </c>
      <c r="AM33" s="185" t="n">
        <f aca="false">AK33+AL33</f>
        <v>657</v>
      </c>
      <c r="AN33" s="220"/>
      <c r="AO33" s="183" t="n">
        <v>7</v>
      </c>
      <c r="AP33" s="97" t="n">
        <f aca="false">(I33-AO33)-Q33-R33-Y33-AF33</f>
        <v>-266.3276015</v>
      </c>
      <c r="AQ33" s="158" t="n">
        <f aca="false">47*(Z33*1.9835+AC33*1.9835)/E33</f>
        <v>0</v>
      </c>
      <c r="AR33" s="158"/>
      <c r="AS33" s="172" t="n">
        <v>6</v>
      </c>
      <c r="AT33" s="4"/>
      <c r="AU33" s="4"/>
      <c r="AV33" s="511" t="n">
        <v>0</v>
      </c>
      <c r="AW33" s="182" t="n">
        <v>92</v>
      </c>
      <c r="AX33" s="182" t="n">
        <v>57</v>
      </c>
      <c r="AY33" s="294"/>
      <c r="AZ33" s="250" t="n">
        <f aca="false">SUM(N33,P33:U33)</f>
        <v>11.3798077791209</v>
      </c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</row>
    <row r="34" customFormat="false" ht="12.95" hidden="false" customHeight="true" outlineLevel="0" collapsed="false">
      <c r="A34" s="183" t="n">
        <v>20</v>
      </c>
      <c r="B34" s="512" t="n">
        <v>6886.98</v>
      </c>
      <c r="C34" s="177" t="n">
        <v>238107</v>
      </c>
      <c r="D34" s="182" t="n">
        <f aca="false">C34-C33</f>
        <v>-1318</v>
      </c>
      <c r="E34" s="177" t="n">
        <f aca="false">C34-152000</f>
        <v>86107</v>
      </c>
      <c r="F34" s="524" t="n">
        <f aca="false">D34/$D$2</f>
        <v>-664.481976304512</v>
      </c>
      <c r="G34" s="185" t="n">
        <v>81</v>
      </c>
      <c r="H34" s="186" t="n">
        <v>0</v>
      </c>
      <c r="I34" s="185" t="n">
        <f aca="false">G34+H34</f>
        <v>81</v>
      </c>
      <c r="J34" s="179" t="n">
        <f aca="false">IF(L34&gt;0,L34,0)</f>
        <v>0</v>
      </c>
      <c r="K34" s="185" t="n">
        <f aca="false">I34+J34</f>
        <v>81</v>
      </c>
      <c r="L34" s="185" t="n">
        <f aca="false">F34-(I34-AK34)</f>
        <v>-33.4819763045122</v>
      </c>
      <c r="M34" s="525" t="n">
        <v>231</v>
      </c>
      <c r="N34" s="158" t="n">
        <f aca="false">(1.8299*1.03)/2</f>
        <v>0.9423985</v>
      </c>
      <c r="O34" s="185" t="n">
        <f aca="false">50*1.05</f>
        <v>52.5</v>
      </c>
      <c r="P34" s="158" t="n">
        <v>0</v>
      </c>
      <c r="Q34" s="336" t="n">
        <f aca="false">2048600/325851/1.9835*1.02</f>
        <v>3.23300277363281</v>
      </c>
      <c r="R34" s="336" t="n">
        <v>4.2</v>
      </c>
      <c r="S34" s="131" t="n">
        <f aca="false">((7*1.04)-T34)-4.2</f>
        <v>1.7566</v>
      </c>
      <c r="T34" s="131" t="n">
        <f aca="false">1.2725*1.04</f>
        <v>1.3234</v>
      </c>
      <c r="U34" s="355" t="n">
        <v>0</v>
      </c>
      <c r="V34" s="185" t="n">
        <v>122</v>
      </c>
      <c r="W34" s="526" t="n">
        <v>73</v>
      </c>
      <c r="X34" s="135" t="n">
        <f aca="false">M34-N34-O34-P34-Q34-R34-S34-T34-U34+V34+W34-AT34+AR34</f>
        <v>362.044598726367</v>
      </c>
      <c r="Y34" s="135" t="n">
        <f aca="false">X34-AO34</f>
        <v>355.044598726367</v>
      </c>
      <c r="Z34" s="107"/>
      <c r="AA34" s="135"/>
      <c r="AB34" s="107"/>
      <c r="AC34" s="107" t="n">
        <f aca="false">AS34-AS34</f>
        <v>0</v>
      </c>
      <c r="AD34" s="177" t="n">
        <f aca="false">AD33+AP34+AS34</f>
        <v>9915.1433066781</v>
      </c>
      <c r="AE34" s="185" t="n">
        <v>227</v>
      </c>
      <c r="AF34" s="248" t="n">
        <v>1.7</v>
      </c>
      <c r="AG34" s="249" t="n">
        <v>1.3</v>
      </c>
      <c r="AH34" s="185" t="n">
        <v>59</v>
      </c>
      <c r="AI34" s="177" t="n">
        <f aca="false">AI33-AH34</f>
        <v>7442.25787748929</v>
      </c>
      <c r="AJ34" s="177"/>
      <c r="AK34" s="11" t="n">
        <f aca="false">N34+O34+P34+Q34+R34+S34+T34+U34+X34+AE34+AH34-AR34</f>
        <v>712</v>
      </c>
      <c r="AL34" s="185" t="n">
        <f aca="false">IF(L34&lt;0,L34*-1,0)</f>
        <v>33.4819763045122</v>
      </c>
      <c r="AM34" s="185" t="n">
        <f aca="false">AK34+AL34</f>
        <v>745.481976304512</v>
      </c>
      <c r="AN34" s="220"/>
      <c r="AO34" s="183" t="n">
        <v>7</v>
      </c>
      <c r="AP34" s="97" t="n">
        <f aca="false">(I34-AO34)-Q34-R34-Y34-AF34</f>
        <v>-290.1776015</v>
      </c>
      <c r="AQ34" s="158" t="n">
        <f aca="false">47*(Z34*1.9835+AC34*1.9835)/E34</f>
        <v>0</v>
      </c>
      <c r="AR34" s="158"/>
      <c r="AS34" s="172" t="n">
        <v>6</v>
      </c>
      <c r="AT34" s="4"/>
      <c r="AU34" s="4" t="n">
        <v>1.34</v>
      </c>
      <c r="AV34" s="511" t="n">
        <v>0</v>
      </c>
      <c r="AW34" s="182" t="n">
        <v>85</v>
      </c>
      <c r="AX34" s="182" t="n">
        <v>60</v>
      </c>
      <c r="AY34" s="294"/>
      <c r="AZ34" s="250" t="n">
        <f aca="false">SUM(N34,P34:U34)</f>
        <v>11.4554012736328</v>
      </c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</row>
    <row r="35" customFormat="false" ht="12.95" hidden="false" customHeight="true" outlineLevel="0" collapsed="false">
      <c r="A35" s="183" t="n">
        <v>21</v>
      </c>
      <c r="B35" s="512" t="n">
        <v>6886.58</v>
      </c>
      <c r="C35" s="177" t="n">
        <v>236803</v>
      </c>
      <c r="D35" s="182" t="n">
        <f aca="false">C35-C34</f>
        <v>-1304</v>
      </c>
      <c r="E35" s="177" t="n">
        <f aca="false">C35-152000</f>
        <v>84803</v>
      </c>
      <c r="F35" s="524" t="n">
        <f aca="false">D35/$D$2</f>
        <v>-657.423745903706</v>
      </c>
      <c r="G35" s="185" t="n">
        <v>79</v>
      </c>
      <c r="H35" s="186" t="n">
        <v>0</v>
      </c>
      <c r="I35" s="185" t="n">
        <f aca="false">G35+H35</f>
        <v>79</v>
      </c>
      <c r="J35" s="179" t="n">
        <f aca="false">IF(L35&gt;0,L35,0)</f>
        <v>7.57625409629441</v>
      </c>
      <c r="K35" s="185" t="n">
        <f aca="false">I35+J35</f>
        <v>86.5762540962944</v>
      </c>
      <c r="L35" s="185" t="n">
        <f aca="false">F35-(I35-AK35)</f>
        <v>7.57625409629441</v>
      </c>
      <c r="M35" s="525" t="n">
        <v>258</v>
      </c>
      <c r="N35" s="158" t="n">
        <f aca="false">(1.8299*1.03)/2</f>
        <v>0.9423985</v>
      </c>
      <c r="O35" s="185" t="n">
        <f aca="false">61*1.05</f>
        <v>64.05</v>
      </c>
      <c r="P35" s="158" t="n">
        <v>0</v>
      </c>
      <c r="Q35" s="336" t="n">
        <f aca="false">2043500/325851/1.9835*1.02</f>
        <v>3.22495419697289</v>
      </c>
      <c r="R35" s="336" t="n">
        <v>4.2</v>
      </c>
      <c r="S35" s="131" t="n">
        <f aca="false">((5.5*1.04)-T35)-4.2</f>
        <v>0.196600000000001</v>
      </c>
      <c r="T35" s="131" t="n">
        <f aca="false">1.2725*1.04</f>
        <v>1.3234</v>
      </c>
      <c r="U35" s="355" t="n">
        <v>0</v>
      </c>
      <c r="V35" s="185" t="n">
        <v>122</v>
      </c>
      <c r="W35" s="526" t="n">
        <v>72</v>
      </c>
      <c r="X35" s="135" t="n">
        <f aca="false">M35-N35-O35-P35-Q35-R35-S35-T35-U35+V35+W35-AT35+AR35</f>
        <v>378.062647303027</v>
      </c>
      <c r="Y35" s="135" t="n">
        <f aca="false">X35-AO35</f>
        <v>371.062647303027</v>
      </c>
      <c r="Z35" s="107"/>
      <c r="AA35" s="135"/>
      <c r="AB35" s="107"/>
      <c r="AC35" s="107" t="n">
        <f aca="false">AS35-AS35</f>
        <v>0</v>
      </c>
      <c r="AD35" s="177" t="n">
        <f aca="false">AD34+AP35+AS35</f>
        <v>9612.9557051781</v>
      </c>
      <c r="AE35" s="185" t="n">
        <v>233</v>
      </c>
      <c r="AF35" s="248" t="n">
        <v>1.7</v>
      </c>
      <c r="AG35" s="249" t="n">
        <v>1.3</v>
      </c>
      <c r="AH35" s="185" t="n">
        <v>59</v>
      </c>
      <c r="AI35" s="177" t="n">
        <f aca="false">AI34-AH35</f>
        <v>7383.25787748929</v>
      </c>
      <c r="AJ35" s="177"/>
      <c r="AK35" s="11" t="n">
        <f aca="false">N35+O35+P35+Q35+R35+S35+T35+U35+X35+AE35+AH35-AR35</f>
        <v>744</v>
      </c>
      <c r="AL35" s="185" t="n">
        <f aca="false">IF(L35&lt;0,L35*-1,0)</f>
        <v>0</v>
      </c>
      <c r="AM35" s="185" t="n">
        <f aca="false">AK35+AL35</f>
        <v>744</v>
      </c>
      <c r="AN35" s="220"/>
      <c r="AO35" s="183" t="n">
        <v>7</v>
      </c>
      <c r="AP35" s="97" t="n">
        <f aca="false">(I35-AO35)-Q35-R35-Y35-AF35</f>
        <v>-308.1876015</v>
      </c>
      <c r="AQ35" s="158" t="n">
        <f aca="false">47*(Z35*1.9835+AC35*1.9835)/E35</f>
        <v>0</v>
      </c>
      <c r="AR35" s="158"/>
      <c r="AS35" s="172" t="n">
        <v>6</v>
      </c>
      <c r="AT35" s="4"/>
      <c r="AU35" s="4" t="n">
        <f aca="false">O35</f>
        <v>64.05</v>
      </c>
      <c r="AV35" s="511" t="n">
        <v>0</v>
      </c>
      <c r="AW35" s="182" t="n">
        <v>92</v>
      </c>
      <c r="AX35" s="182" t="n">
        <v>56</v>
      </c>
      <c r="AY35" s="294"/>
      <c r="AZ35" s="250" t="n">
        <f aca="false">SUM(N35,P35:U35)</f>
        <v>9.88735269697289</v>
      </c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</row>
    <row r="36" customFormat="false" ht="12.95" hidden="false" customHeight="true" outlineLevel="0" collapsed="false">
      <c r="A36" s="183" t="n">
        <v>22</v>
      </c>
      <c r="B36" s="512" t="n">
        <v>6886.16</v>
      </c>
      <c r="C36" s="177" t="n">
        <v>235434</v>
      </c>
      <c r="D36" s="182" t="n">
        <f aca="false">C36-C35</f>
        <v>-1369</v>
      </c>
      <c r="E36" s="177" t="n">
        <f aca="false">C36-152000</f>
        <v>83434</v>
      </c>
      <c r="F36" s="524" t="n">
        <f aca="false">D36/$D$2</f>
        <v>-690.194101336022</v>
      </c>
      <c r="G36" s="185" t="n">
        <v>65</v>
      </c>
      <c r="H36" s="186" t="n">
        <v>0</v>
      </c>
      <c r="I36" s="185" t="n">
        <f aca="false">G36+H36</f>
        <v>65</v>
      </c>
      <c r="J36" s="179" t="n">
        <f aca="false">IF(L36&gt;0,L36,0)</f>
        <v>0</v>
      </c>
      <c r="K36" s="185" t="n">
        <f aca="false">I36+J36</f>
        <v>65</v>
      </c>
      <c r="L36" s="185" t="n">
        <f aca="false">F36-(I36-AK36)</f>
        <v>-20.1941013360222</v>
      </c>
      <c r="M36" s="525" t="n">
        <v>254</v>
      </c>
      <c r="N36" s="158" t="n">
        <f aca="false">(1.8299*1.03)/2</f>
        <v>0.9423985</v>
      </c>
      <c r="O36" s="185" t="n">
        <f aca="false">52*1.05</f>
        <v>54.6</v>
      </c>
      <c r="P36" s="158" t="n">
        <v>0</v>
      </c>
      <c r="Q36" s="336" t="n">
        <f aca="false">1548000/325851/1.9835*1.02</f>
        <v>2.44297973913092</v>
      </c>
      <c r="R36" s="336" t="n">
        <v>4.2</v>
      </c>
      <c r="S36" s="131" t="n">
        <f aca="false">((5.5*1.04)-T36)-4.2</f>
        <v>0.196600000000001</v>
      </c>
      <c r="T36" s="131" t="n">
        <f aca="false">1.2725*1.04</f>
        <v>1.3234</v>
      </c>
      <c r="U36" s="355" t="n">
        <v>0</v>
      </c>
      <c r="V36" s="185" t="n">
        <v>122</v>
      </c>
      <c r="W36" s="185" t="n">
        <v>72</v>
      </c>
      <c r="X36" s="135" t="n">
        <f aca="false">M36-N36-O36-P36-Q36-R36-S36-T36-U36+V36+W36-AT36+AR36</f>
        <v>384.294621760869</v>
      </c>
      <c r="Y36" s="135" t="n">
        <f aca="false">X36-AO36</f>
        <v>377.294621760869</v>
      </c>
      <c r="Z36" s="107"/>
      <c r="AA36" s="135"/>
      <c r="AB36" s="107"/>
      <c r="AC36" s="107" t="n">
        <f aca="false">AS36-AS36</f>
        <v>0</v>
      </c>
      <c r="AD36" s="177" t="n">
        <f aca="false">AD35+AP36+AS36</f>
        <v>9291.3181036781</v>
      </c>
      <c r="AE36" s="185" t="n">
        <v>228</v>
      </c>
      <c r="AF36" s="248" t="n">
        <v>1.7</v>
      </c>
      <c r="AG36" s="249" t="n">
        <v>1.3</v>
      </c>
      <c r="AH36" s="185" t="n">
        <v>59</v>
      </c>
      <c r="AI36" s="177" t="n">
        <f aca="false">AI35-AH36</f>
        <v>7324.25787748929</v>
      </c>
      <c r="AJ36" s="177"/>
      <c r="AK36" s="11" t="n">
        <f aca="false">N36+O36+P36+Q36+R36+S36+T36+U36+X36+AE36+AH36-AR36</f>
        <v>735</v>
      </c>
      <c r="AL36" s="185" t="n">
        <f aca="false">IF(L36&lt;0,L36*-1,0)</f>
        <v>20.1941013360222</v>
      </c>
      <c r="AM36" s="185" t="n">
        <f aca="false">AK36+AL36</f>
        <v>755.194101336022</v>
      </c>
      <c r="AN36" s="220"/>
      <c r="AO36" s="183" t="n">
        <v>7</v>
      </c>
      <c r="AP36" s="97" t="n">
        <f aca="false">(I36-AO36)-Q36-R36-Y36-AF36</f>
        <v>-327.6376015</v>
      </c>
      <c r="AQ36" s="158" t="n">
        <f aca="false">47*(Z36*1.9835+AC36*1.9835)/E36</f>
        <v>0</v>
      </c>
      <c r="AR36" s="158"/>
      <c r="AS36" s="172" t="n">
        <v>6</v>
      </c>
      <c r="AT36" s="4"/>
      <c r="AU36" s="4" t="n">
        <f aca="false">O36</f>
        <v>54.6</v>
      </c>
      <c r="AV36" s="511" t="n">
        <v>0</v>
      </c>
      <c r="AW36" s="182" t="n">
        <v>83</v>
      </c>
      <c r="AX36" s="182" t="n">
        <v>58</v>
      </c>
      <c r="AY36" s="294"/>
      <c r="AZ36" s="250" t="n">
        <f aca="false">SUM(N36,P36:U36)</f>
        <v>9.10537823913092</v>
      </c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</row>
    <row r="37" customFormat="false" ht="12.95" hidden="false" customHeight="true" outlineLevel="0" collapsed="false">
      <c r="A37" s="183" t="n">
        <v>23</v>
      </c>
      <c r="B37" s="512" t="n">
        <v>6885.81</v>
      </c>
      <c r="C37" s="177" t="n">
        <v>234300</v>
      </c>
      <c r="D37" s="182" t="n">
        <f aca="false">C37-C36</f>
        <v>-1134</v>
      </c>
      <c r="E37" s="177" t="n">
        <f aca="false">C37-152000</f>
        <v>82300</v>
      </c>
      <c r="F37" s="524" t="n">
        <f aca="false">D37/$D$2</f>
        <v>-571.716662465339</v>
      </c>
      <c r="G37" s="185" t="n">
        <v>79</v>
      </c>
      <c r="H37" s="186" t="n">
        <v>0</v>
      </c>
      <c r="I37" s="185" t="n">
        <f aca="false">G37+H37</f>
        <v>79</v>
      </c>
      <c r="J37" s="179" t="n">
        <f aca="false">IF(L37&gt;0,L37,0)</f>
        <v>46.283337534661</v>
      </c>
      <c r="K37" s="185" t="n">
        <f aca="false">I37+J37</f>
        <v>125.283337534661</v>
      </c>
      <c r="L37" s="185" t="n">
        <f aca="false">F37-(I37-AK37)</f>
        <v>46.283337534661</v>
      </c>
      <c r="M37" s="525" t="n">
        <v>218</v>
      </c>
      <c r="N37" s="158" t="n">
        <f aca="false">(1.8299*1.03)/2+0.312</f>
        <v>1.2543985</v>
      </c>
      <c r="O37" s="185" t="n">
        <f aca="false">41*1.05</f>
        <v>43.05</v>
      </c>
      <c r="P37" s="158" t="n">
        <v>0</v>
      </c>
      <c r="Q37" s="336" t="n">
        <f aca="false">1507700/325851/1.9835*1.02</f>
        <v>2.37938020199463</v>
      </c>
      <c r="R37" s="336" t="n">
        <v>4.2</v>
      </c>
      <c r="S37" s="131" t="n">
        <f aca="false">((6*1.04)-T37)-4.2</f>
        <v>0.716600000000001</v>
      </c>
      <c r="T37" s="131" t="n">
        <f aca="false">1.2725*1.04</f>
        <v>1.3234</v>
      </c>
      <c r="U37" s="355" t="n">
        <v>0</v>
      </c>
      <c r="V37" s="185" t="n">
        <v>121</v>
      </c>
      <c r="W37" s="185" t="n">
        <v>71</v>
      </c>
      <c r="X37" s="135" t="n">
        <f aca="false">M37-N37-O37-P37-Q37-R37-S37-T37-U37+V37+W37-AT37+AR37</f>
        <v>357.076221298005</v>
      </c>
      <c r="Y37" s="135" t="n">
        <f aca="false">X37-AO37</f>
        <v>350.076221298005</v>
      </c>
      <c r="Z37" s="107"/>
      <c r="AA37" s="135"/>
      <c r="AB37" s="107"/>
      <c r="AC37" s="107" t="n">
        <f aca="false">AS37-AS37</f>
        <v>0</v>
      </c>
      <c r="AD37" s="177" t="n">
        <f aca="false">AD36+AP37+AS37</f>
        <v>9010.9625021781</v>
      </c>
      <c r="AE37" s="185" t="n">
        <v>228</v>
      </c>
      <c r="AF37" s="248" t="n">
        <v>1.7</v>
      </c>
      <c r="AG37" s="249" t="n">
        <v>1.3</v>
      </c>
      <c r="AH37" s="185" t="n">
        <v>59</v>
      </c>
      <c r="AI37" s="177" t="n">
        <f aca="false">AI36-AH37</f>
        <v>7265.25787748929</v>
      </c>
      <c r="AJ37" s="177"/>
      <c r="AK37" s="11" t="n">
        <f aca="false">N37+O37+P37+Q37+R37+S37+T37+U37+X37+AE37+AH37-AR37</f>
        <v>697</v>
      </c>
      <c r="AL37" s="185" t="n">
        <f aca="false">IF(L37&lt;0,L37*-1,0)</f>
        <v>0</v>
      </c>
      <c r="AM37" s="185" t="n">
        <f aca="false">AK37+AL37</f>
        <v>697</v>
      </c>
      <c r="AN37" s="220"/>
      <c r="AO37" s="183" t="n">
        <v>7</v>
      </c>
      <c r="AP37" s="97" t="n">
        <f aca="false">(I37-AO37)-Q37-R37-Y37-AF37</f>
        <v>-286.3556015</v>
      </c>
      <c r="AQ37" s="158" t="n">
        <f aca="false">47*(Z37*1.9835+AC37*1.9835)/E37</f>
        <v>0</v>
      </c>
      <c r="AR37" s="158"/>
      <c r="AS37" s="172" t="n">
        <v>6</v>
      </c>
      <c r="AT37" s="4"/>
      <c r="AU37" s="4" t="n">
        <f aca="false">O37</f>
        <v>43.05</v>
      </c>
      <c r="AV37" s="511" t="n">
        <v>0.29</v>
      </c>
      <c r="AW37" s="182" t="n">
        <v>74</v>
      </c>
      <c r="AX37" s="182" t="n">
        <v>54</v>
      </c>
      <c r="AY37" s="294"/>
      <c r="AZ37" s="250" t="n">
        <f aca="false">SUM(N37,P37:U37)</f>
        <v>9.87377870199463</v>
      </c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</row>
    <row r="38" customFormat="false" ht="12.95" hidden="false" customHeight="true" outlineLevel="0" collapsed="false">
      <c r="A38" s="183" t="n">
        <v>24</v>
      </c>
      <c r="B38" s="512" t="n">
        <v>6885.53</v>
      </c>
      <c r="C38" s="177" t="n">
        <v>233398</v>
      </c>
      <c r="D38" s="182" t="n">
        <f aca="false">C38-C37</f>
        <v>-902</v>
      </c>
      <c r="E38" s="177" t="n">
        <f aca="false">C38-152000</f>
        <v>81398</v>
      </c>
      <c r="F38" s="524" t="n">
        <f aca="false">D38/$D$2</f>
        <v>-454.751701537686</v>
      </c>
      <c r="G38" s="185" t="n">
        <v>144</v>
      </c>
      <c r="H38" s="186" t="n">
        <v>0</v>
      </c>
      <c r="I38" s="185" t="n">
        <f aca="false">G38+H38</f>
        <v>144</v>
      </c>
      <c r="J38" s="179" t="n">
        <f aca="false">IF(L38&gt;0,L38,0)</f>
        <v>0</v>
      </c>
      <c r="K38" s="185" t="n">
        <f aca="false">I38+J38</f>
        <v>144</v>
      </c>
      <c r="L38" s="185" t="n">
        <f aca="false">F38-(I38-AK38)</f>
        <v>-8.7517015376859</v>
      </c>
      <c r="M38" s="525" t="n">
        <v>181</v>
      </c>
      <c r="N38" s="158" t="n">
        <f aca="false">(1.8299*1.03)/2+0.312</f>
        <v>1.2543985</v>
      </c>
      <c r="O38" s="185" t="n">
        <f aca="false">27*1.05</f>
        <v>28.35</v>
      </c>
      <c r="P38" s="158" t="n">
        <v>0</v>
      </c>
      <c r="Q38" s="336" t="n">
        <f aca="false">1211000/325851/1.9835*1.02</f>
        <v>1.9111424186612</v>
      </c>
      <c r="R38" s="336" t="n">
        <v>4.2</v>
      </c>
      <c r="S38" s="131" t="n">
        <f aca="false">((6*1.04)-T38)-4.2</f>
        <v>0.712232</v>
      </c>
      <c r="T38" s="131" t="n">
        <f aca="false">1.2767*1.04</f>
        <v>1.327768</v>
      </c>
      <c r="U38" s="355" t="n">
        <v>0</v>
      </c>
      <c r="V38" s="185" t="n">
        <v>122</v>
      </c>
      <c r="W38" s="185" t="n">
        <v>72</v>
      </c>
      <c r="X38" s="135" t="n">
        <f aca="false">M38-N38-O38-P38-Q38-R38-S38-T38-U38+V38+W38-AT38+AR38</f>
        <v>337.244459081339</v>
      </c>
      <c r="Y38" s="135" t="n">
        <f aca="false">X38-AO38</f>
        <v>330.244459081339</v>
      </c>
      <c r="Z38" s="107"/>
      <c r="AA38" s="135"/>
      <c r="AB38" s="107"/>
      <c r="AC38" s="107" t="n">
        <f aca="false">AS38-AS38</f>
        <v>0</v>
      </c>
      <c r="AD38" s="177" t="n">
        <f aca="false">AD37+AP38+AS38</f>
        <v>8815.9069006781</v>
      </c>
      <c r="AE38" s="185" t="n">
        <v>156</v>
      </c>
      <c r="AF38" s="248" t="n">
        <v>1.7</v>
      </c>
      <c r="AG38" s="249" t="n">
        <v>1.3</v>
      </c>
      <c r="AH38" s="185" t="n">
        <v>59</v>
      </c>
      <c r="AI38" s="177" t="n">
        <f aca="false">AI37-AH38</f>
        <v>7206.25787748929</v>
      </c>
      <c r="AJ38" s="177"/>
      <c r="AK38" s="11" t="n">
        <f aca="false">N38+O38+P38+Q38+R38+S38+T38+U38+X38+AE38+AH38-AR38</f>
        <v>590</v>
      </c>
      <c r="AL38" s="185" t="n">
        <f aca="false">IF(L38&lt;0,L38*-1,0)</f>
        <v>8.7517015376859</v>
      </c>
      <c r="AM38" s="185" t="n">
        <f aca="false">AK38+AL38</f>
        <v>598.751701537686</v>
      </c>
      <c r="AN38" s="220"/>
      <c r="AO38" s="183" t="n">
        <v>7</v>
      </c>
      <c r="AP38" s="97" t="n">
        <f aca="false">(I38-AO38)-Q38-R38-Y38-AF38</f>
        <v>-201.0556015</v>
      </c>
      <c r="AQ38" s="158" t="n">
        <f aca="false">47*(Z38*1.9835+AC38*1.9835)/E38</f>
        <v>0</v>
      </c>
      <c r="AR38" s="158"/>
      <c r="AS38" s="172" t="n">
        <v>6</v>
      </c>
      <c r="AT38" s="4"/>
      <c r="AU38" s="4" t="n">
        <f aca="false">O38</f>
        <v>28.35</v>
      </c>
      <c r="AV38" s="511" t="n">
        <v>0</v>
      </c>
      <c r="AW38" s="182" t="n">
        <v>79</v>
      </c>
      <c r="AX38" s="182" t="n">
        <v>52</v>
      </c>
      <c r="AY38" s="294"/>
      <c r="AZ38" s="250" t="n">
        <f aca="false">SUM(N38,P38:U38)</f>
        <v>9.4055409186612</v>
      </c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</row>
    <row r="39" customFormat="false" ht="12.95" hidden="false" customHeight="true" outlineLevel="0" collapsed="false">
      <c r="A39" s="183" t="n">
        <v>25</v>
      </c>
      <c r="B39" s="512" t="n">
        <v>6885.21</v>
      </c>
      <c r="C39" s="177" t="n">
        <v>232366</v>
      </c>
      <c r="D39" s="182" t="n">
        <f aca="false">C39-C38</f>
        <v>-1032</v>
      </c>
      <c r="E39" s="177" t="n">
        <f aca="false">C39-152000</f>
        <v>80366</v>
      </c>
      <c r="F39" s="524" t="n">
        <f aca="false">D39/$D$2</f>
        <v>-520.292412402319</v>
      </c>
      <c r="G39" s="185" t="n">
        <v>111</v>
      </c>
      <c r="H39" s="186" t="n">
        <v>0</v>
      </c>
      <c r="I39" s="185" t="n">
        <f aca="false">G39+H39</f>
        <v>111</v>
      </c>
      <c r="J39" s="179" t="n">
        <f aca="false">IF(L39&gt;0,L39,0)</f>
        <v>0</v>
      </c>
      <c r="K39" s="185" t="n">
        <f aca="false">I39+J39</f>
        <v>111</v>
      </c>
      <c r="L39" s="185" t="n">
        <f aca="false">F39-(I39-AK39)</f>
        <v>-22.2924124023191</v>
      </c>
      <c r="M39" s="525" t="n">
        <v>174</v>
      </c>
      <c r="N39" s="158" t="n">
        <f aca="false">(1.8299*1.03)/2+0.312</f>
        <v>1.2543985</v>
      </c>
      <c r="O39" s="185" t="n">
        <f aca="false">19*1.05</f>
        <v>19.95</v>
      </c>
      <c r="P39" s="158" t="n">
        <v>0</v>
      </c>
      <c r="Q39" s="336" t="n">
        <f aca="false">1455900/325851/1.9835*1.02</f>
        <v>2.29763191356634</v>
      </c>
      <c r="R39" s="336" t="n">
        <v>4.2</v>
      </c>
      <c r="S39" s="131" t="n">
        <f aca="false">((5.5*1.04)-T39)-4.2</f>
        <v>0.192232000000001</v>
      </c>
      <c r="T39" s="131" t="n">
        <f aca="false">1.2767*1.04</f>
        <v>1.327768</v>
      </c>
      <c r="U39" s="355" t="n">
        <v>0</v>
      </c>
      <c r="V39" s="185" t="n">
        <v>122</v>
      </c>
      <c r="W39" s="185" t="n">
        <v>71</v>
      </c>
      <c r="X39" s="135" t="n">
        <f aca="false">M39-N39-O39-P39-Q39-R39-S39-T39-U39+V39+W39-AT39+AR39</f>
        <v>337.777969586434</v>
      </c>
      <c r="Y39" s="135" t="n">
        <f aca="false">X39-AO39</f>
        <v>330.777969586434</v>
      </c>
      <c r="Z39" s="107"/>
      <c r="AA39" s="135"/>
      <c r="AB39" s="107"/>
      <c r="AC39" s="107" t="n">
        <f aca="false">AS39-AS39</f>
        <v>0</v>
      </c>
      <c r="AD39" s="177" t="n">
        <f aca="false">AD38+AP39+AS39</f>
        <v>8586.9312991781</v>
      </c>
      <c r="AE39" s="185" t="n">
        <v>183</v>
      </c>
      <c r="AF39" s="248" t="n">
        <v>1.7</v>
      </c>
      <c r="AG39" s="249" t="n">
        <v>1.3</v>
      </c>
      <c r="AH39" s="185" t="n">
        <v>59</v>
      </c>
      <c r="AI39" s="177" t="n">
        <f aca="false">AI38-AH39</f>
        <v>7147.25787748929</v>
      </c>
      <c r="AJ39" s="177"/>
      <c r="AK39" s="11" t="n">
        <f aca="false">N39+O39+P39+Q39+R39+S39+T39+U39+X39+AE39+AH39-AR39</f>
        <v>609</v>
      </c>
      <c r="AL39" s="185" t="n">
        <f aca="false">IF(L39&lt;0,L39*-1,0)</f>
        <v>22.2924124023191</v>
      </c>
      <c r="AM39" s="185" t="n">
        <f aca="false">AK39+AL39</f>
        <v>631.292412402319</v>
      </c>
      <c r="AN39" s="220"/>
      <c r="AO39" s="183" t="n">
        <v>7</v>
      </c>
      <c r="AP39" s="97" t="n">
        <f aca="false">(I39-AO39)-Q39-R39-Y39-AF39</f>
        <v>-234.9756015</v>
      </c>
      <c r="AQ39" s="158" t="n">
        <f aca="false">47*(Z39*1.9835+AC39*1.9835)/E39</f>
        <v>0</v>
      </c>
      <c r="AR39" s="158"/>
      <c r="AS39" s="172" t="n">
        <v>6</v>
      </c>
      <c r="AT39" s="4"/>
      <c r="AU39" s="4" t="n">
        <f aca="false">O39</f>
        <v>19.95</v>
      </c>
      <c r="AV39" s="511" t="n">
        <v>0</v>
      </c>
      <c r="AW39" s="182" t="n">
        <v>88</v>
      </c>
      <c r="AX39" s="182" t="n">
        <v>55</v>
      </c>
      <c r="AY39" s="294"/>
      <c r="AZ39" s="250" t="n">
        <f aca="false">SUM(N39,P39:U39)</f>
        <v>9.27203041356635</v>
      </c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</row>
    <row r="40" customFormat="false" ht="12.95" hidden="false" customHeight="true" outlineLevel="0" collapsed="false">
      <c r="A40" s="183" t="n">
        <v>26</v>
      </c>
      <c r="B40" s="512" t="n">
        <v>6884.89</v>
      </c>
      <c r="C40" s="177" t="n">
        <v>231339</v>
      </c>
      <c r="D40" s="182" t="n">
        <f aca="false">C40-C39</f>
        <v>-1027</v>
      </c>
      <c r="E40" s="177" t="n">
        <f aca="false">C40-152000</f>
        <v>79339</v>
      </c>
      <c r="F40" s="524" t="n">
        <f aca="false">D40/$D$2</f>
        <v>-517.771615830603</v>
      </c>
      <c r="G40" s="185" t="n">
        <v>89</v>
      </c>
      <c r="H40" s="186" t="n">
        <v>0</v>
      </c>
      <c r="I40" s="185" t="n">
        <f aca="false">G40+H40</f>
        <v>89</v>
      </c>
      <c r="J40" s="179" t="n">
        <f aca="false">IF(L40&gt;0,L40,0)</f>
        <v>0</v>
      </c>
      <c r="K40" s="185" t="n">
        <f aca="false">I40+J40</f>
        <v>89</v>
      </c>
      <c r="L40" s="185" t="n">
        <f aca="false">F40-(I40-AK40)</f>
        <v>-30.7716158306025</v>
      </c>
      <c r="M40" s="525" t="n">
        <v>166</v>
      </c>
      <c r="N40" s="158" t="n">
        <f aca="false">(1.8299*1.03)/2+0.312</f>
        <v>1.2543985</v>
      </c>
      <c r="O40" s="185" t="n">
        <f aca="false">4.7*1.05</f>
        <v>4.935</v>
      </c>
      <c r="P40" s="158" t="n">
        <v>0</v>
      </c>
      <c r="Q40" s="336" t="n">
        <f aca="false">1712800/325851/1.9835*1.02</f>
        <v>2.70305923590661</v>
      </c>
      <c r="R40" s="131" t="n">
        <f aca="false">(4.2*1.04)-T40</f>
        <v>3.040232</v>
      </c>
      <c r="S40" s="131" t="n">
        <v>0</v>
      </c>
      <c r="T40" s="131" t="n">
        <f aca="false">1.2767*1.04</f>
        <v>1.327768</v>
      </c>
      <c r="U40" s="355" t="n">
        <v>0</v>
      </c>
      <c r="V40" s="185" t="n">
        <v>123</v>
      </c>
      <c r="W40" s="185" t="n">
        <v>71</v>
      </c>
      <c r="X40" s="135" t="n">
        <f aca="false">M40-N40-O40-P40-Q40-R40-S40-T40-U40+V40+W40-AT40+AR40</f>
        <v>346.739542264093</v>
      </c>
      <c r="Y40" s="135" t="n">
        <f aca="false">X40-AO40</f>
        <v>339.739542264093</v>
      </c>
      <c r="Z40" s="107"/>
      <c r="AA40" s="135"/>
      <c r="AB40" s="107"/>
      <c r="AC40" s="107" t="n">
        <f aca="false">AS40-AS40</f>
        <v>0</v>
      </c>
      <c r="AD40" s="177" t="n">
        <f aca="false">AD39+AP40+AS40</f>
        <v>8327.7484656781</v>
      </c>
      <c r="AE40" s="185" t="n">
        <v>157</v>
      </c>
      <c r="AF40" s="248" t="n">
        <v>1.7</v>
      </c>
      <c r="AG40" s="249" t="n">
        <v>1.3</v>
      </c>
      <c r="AH40" s="185" t="n">
        <v>59</v>
      </c>
      <c r="AI40" s="177" t="n">
        <f aca="false">AI39-AH40</f>
        <v>7088.25787748929</v>
      </c>
      <c r="AJ40" s="177"/>
      <c r="AK40" s="11" t="n">
        <f aca="false">N40+O40+P40+Q40+R40+S40+T40+U40+X40+AE40+AH40-AR40</f>
        <v>576</v>
      </c>
      <c r="AL40" s="185" t="n">
        <f aca="false">IF(L40&lt;0,L40*-1,0)</f>
        <v>30.7716158306025</v>
      </c>
      <c r="AM40" s="185" t="n">
        <f aca="false">AK40+AL40</f>
        <v>606.771615830603</v>
      </c>
      <c r="AN40" s="220"/>
      <c r="AO40" s="183" t="n">
        <v>7</v>
      </c>
      <c r="AP40" s="97" t="n">
        <f aca="false">(I40-AO40)-Q40-R40-Y40-AF40</f>
        <v>-265.1828335</v>
      </c>
      <c r="AQ40" s="158" t="n">
        <f aca="false">47*(Z40*1.9835+AC40*1.9835)/E40</f>
        <v>0</v>
      </c>
      <c r="AR40" s="158"/>
      <c r="AS40" s="172" t="n">
        <v>6</v>
      </c>
      <c r="AT40" s="4"/>
      <c r="AU40" s="4" t="n">
        <f aca="false">O40</f>
        <v>4.935</v>
      </c>
      <c r="AV40" s="511" t="n">
        <v>0</v>
      </c>
      <c r="AW40" s="182" t="n">
        <v>86</v>
      </c>
      <c r="AX40" s="182" t="n">
        <v>52</v>
      </c>
      <c r="AY40" s="294"/>
      <c r="AZ40" s="250" t="n">
        <f aca="false">SUM(N40,P40:U40)</f>
        <v>8.32545773590661</v>
      </c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</row>
    <row r="41" customFormat="false" ht="12.95" hidden="false" customHeight="true" outlineLevel="0" collapsed="false">
      <c r="A41" s="183" t="n">
        <v>27</v>
      </c>
      <c r="B41" s="512" t="n">
        <v>6884.51</v>
      </c>
      <c r="C41" s="177" t="n">
        <v>230129</v>
      </c>
      <c r="D41" s="182" t="n">
        <f aca="false">C41-C40</f>
        <v>-1210</v>
      </c>
      <c r="E41" s="177" t="n">
        <f aca="false">C41-152000</f>
        <v>78129</v>
      </c>
      <c r="F41" s="524" t="n">
        <f aca="false">D41/$D$2</f>
        <v>-610.032770355432</v>
      </c>
      <c r="G41" s="185" t="n">
        <v>81</v>
      </c>
      <c r="H41" s="186" t="n">
        <v>0</v>
      </c>
      <c r="I41" s="185" t="n">
        <f aca="false">G41+H41</f>
        <v>81</v>
      </c>
      <c r="J41" s="179" t="n">
        <f aca="false">IF(L41&gt;0,L41,0)</f>
        <v>0</v>
      </c>
      <c r="K41" s="185" t="n">
        <f aca="false">I41+J41</f>
        <v>81</v>
      </c>
      <c r="L41" s="185" t="n">
        <f aca="false">F41-(I41-AK41)</f>
        <v>-16.0327703554323</v>
      </c>
      <c r="M41" s="525" t="n">
        <v>207</v>
      </c>
      <c r="N41" s="158" t="n">
        <f aca="false">(1.8299*1.03)/2+0.312</f>
        <v>1.2543985</v>
      </c>
      <c r="O41" s="185" t="n">
        <f aca="false">20*1.05</f>
        <v>21</v>
      </c>
      <c r="P41" s="158" t="n">
        <v>0</v>
      </c>
      <c r="Q41" s="336" t="n">
        <f aca="false">2028600/325851/1.9835*1.02</f>
        <v>3.20143972790761</v>
      </c>
      <c r="R41" s="131" t="n">
        <f aca="false">(4.2*1.04)-T41</f>
        <v>3.040232</v>
      </c>
      <c r="S41" s="131" t="n">
        <v>0</v>
      </c>
      <c r="T41" s="131" t="n">
        <f aca="false">1.2767*1.04</f>
        <v>1.327768</v>
      </c>
      <c r="U41" s="355" t="n">
        <v>0</v>
      </c>
      <c r="V41" s="185" t="n">
        <v>122</v>
      </c>
      <c r="W41" s="185" t="n">
        <v>71</v>
      </c>
      <c r="X41" s="135" t="n">
        <f aca="false">M41-N41-O41-P41-Q41-R41-S41-T41-U41+V41+W41-AT41+AR41</f>
        <v>370.176161772092</v>
      </c>
      <c r="Y41" s="135" t="n">
        <f aca="false">X41-AO41</f>
        <v>363.176161772092</v>
      </c>
      <c r="Z41" s="107"/>
      <c r="AA41" s="135"/>
      <c r="AB41" s="107"/>
      <c r="AC41" s="107" t="n">
        <f aca="false">AS41-AS41</f>
        <v>0</v>
      </c>
      <c r="AD41" s="177" t="n">
        <f aca="false">AD40+AP41+AS41</f>
        <v>8036.6306321781</v>
      </c>
      <c r="AE41" s="185" t="n">
        <v>216</v>
      </c>
      <c r="AF41" s="248" t="n">
        <v>1.7</v>
      </c>
      <c r="AG41" s="249" t="n">
        <v>1.3</v>
      </c>
      <c r="AH41" s="185" t="n">
        <v>59</v>
      </c>
      <c r="AI41" s="177" t="n">
        <f aca="false">AI40-AH41</f>
        <v>7029.25787748929</v>
      </c>
      <c r="AJ41" s="177"/>
      <c r="AK41" s="11" t="n">
        <f aca="false">N41+O41+P41+Q41+R41+S41+T41+U41+X41+AE41+AH41-AR41</f>
        <v>675</v>
      </c>
      <c r="AL41" s="185" t="n">
        <f aca="false">IF(L41&lt;0,L41*-1,0)</f>
        <v>16.0327703554323</v>
      </c>
      <c r="AM41" s="185" t="n">
        <f aca="false">AK41+AL41</f>
        <v>691.032770355432</v>
      </c>
      <c r="AN41" s="220"/>
      <c r="AO41" s="183" t="n">
        <v>7</v>
      </c>
      <c r="AP41" s="97" t="n">
        <f aca="false">(I41-AO41)-Q41-R41-Y41-AF41</f>
        <v>-297.1178335</v>
      </c>
      <c r="AQ41" s="158" t="n">
        <f aca="false">47*(Z41*1.9835+AC41*1.9835)/E41</f>
        <v>0</v>
      </c>
      <c r="AR41" s="158"/>
      <c r="AS41" s="172" t="n">
        <v>6</v>
      </c>
      <c r="AT41" s="4"/>
      <c r="AU41" s="4" t="n">
        <f aca="false">O41</f>
        <v>21</v>
      </c>
      <c r="AV41" s="511" t="n">
        <v>0</v>
      </c>
      <c r="AW41" s="182" t="n">
        <v>91</v>
      </c>
      <c r="AX41" s="182" t="n">
        <v>55</v>
      </c>
      <c r="AY41" s="294"/>
      <c r="AZ41" s="250" t="n">
        <f aca="false">SUM(N41,P41:U41)</f>
        <v>8.82383822790761</v>
      </c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</row>
    <row r="42" customFormat="false" ht="12.95" hidden="false" customHeight="true" outlineLevel="0" collapsed="false">
      <c r="A42" s="527" t="n">
        <v>28</v>
      </c>
      <c r="B42" s="528" t="n">
        <v>6884.13</v>
      </c>
      <c r="C42" s="440" t="n">
        <v>228919</v>
      </c>
      <c r="D42" s="529" t="n">
        <f aca="false">C42-C41</f>
        <v>-1210</v>
      </c>
      <c r="E42" s="440" t="n">
        <f aca="false">C42-152000</f>
        <v>76919</v>
      </c>
      <c r="F42" s="530" t="n">
        <f aca="false">D42/$D$2</f>
        <v>-610.032770355432</v>
      </c>
      <c r="G42" s="526" t="n">
        <v>82</v>
      </c>
      <c r="H42" s="186" t="n">
        <v>0</v>
      </c>
      <c r="I42" s="526" t="n">
        <f aca="false">G42+H42</f>
        <v>82</v>
      </c>
      <c r="J42" s="531" t="n">
        <f aca="false">IF(L42&gt;0,L42,0)</f>
        <v>0</v>
      </c>
      <c r="K42" s="526" t="n">
        <f aca="false">I42+J42</f>
        <v>82</v>
      </c>
      <c r="L42" s="526" t="n">
        <f aca="false">F42-(I42-AK42)</f>
        <v>-5.03277035543226</v>
      </c>
      <c r="M42" s="532" t="n">
        <v>213</v>
      </c>
      <c r="N42" s="158" t="n">
        <f aca="false">(1.8299*1.03)/2+0.312</f>
        <v>1.2543985</v>
      </c>
      <c r="O42" s="526" t="n">
        <f aca="false">33*1.05</f>
        <v>34.65</v>
      </c>
      <c r="P42" s="158" t="n">
        <v>0</v>
      </c>
      <c r="Q42" s="336" t="n">
        <f aca="false">1838100/325851/1.9835*1.02</f>
        <v>2.90080171737502</v>
      </c>
      <c r="R42" s="131" t="n">
        <f aca="false">(5*1.04)-T42</f>
        <v>3.872232</v>
      </c>
      <c r="S42" s="131" t="n">
        <v>0</v>
      </c>
      <c r="T42" s="131" t="n">
        <f aca="false">1.2767*1.04</f>
        <v>1.327768</v>
      </c>
      <c r="U42" s="355" t="n">
        <v>0</v>
      </c>
      <c r="V42" s="526" t="n">
        <v>121</v>
      </c>
      <c r="W42" s="526" t="n">
        <v>71</v>
      </c>
      <c r="X42" s="135" t="n">
        <f aca="false">M42-N42-O42-P42-Q42-R42-S42-T42-U42+V42+W42-AT42+AR42</f>
        <v>360.994799782625</v>
      </c>
      <c r="Y42" s="135" t="n">
        <f aca="false">X42-AO42</f>
        <v>353.994799782625</v>
      </c>
      <c r="Z42" s="107"/>
      <c r="AA42" s="135"/>
      <c r="AB42" s="107"/>
      <c r="AC42" s="107" t="n">
        <f aca="false">AS42-AS42</f>
        <v>0</v>
      </c>
      <c r="AD42" s="177" t="n">
        <f aca="false">AD41+AP42+AS42</f>
        <v>7755.1627986781</v>
      </c>
      <c r="AE42" s="526" t="n">
        <v>222</v>
      </c>
      <c r="AF42" s="248" t="n">
        <v>1.7</v>
      </c>
      <c r="AG42" s="249" t="n">
        <v>1.3</v>
      </c>
      <c r="AH42" s="185" t="n">
        <v>60</v>
      </c>
      <c r="AI42" s="177" t="n">
        <f aca="false">AI41-AH42</f>
        <v>6969.25787748929</v>
      </c>
      <c r="AJ42" s="177"/>
      <c r="AK42" s="11" t="n">
        <f aca="false">N42+O42+P42+Q42+R42+S42+T42+U42+X42+AE42+AH42-AR42</f>
        <v>687</v>
      </c>
      <c r="AL42" s="526" t="n">
        <f aca="false">IF(L42&lt;0,L42*-1,0)</f>
        <v>5.03277035543226</v>
      </c>
      <c r="AM42" s="526" t="n">
        <f aca="false">AK42+AL42</f>
        <v>692.032770355432</v>
      </c>
      <c r="AN42" s="220"/>
      <c r="AO42" s="183" t="n">
        <v>7</v>
      </c>
      <c r="AP42" s="97" t="n">
        <f aca="false">(I42-AO42)-Q42-R42-Y42-AF42</f>
        <v>-287.4678335</v>
      </c>
      <c r="AQ42" s="158" t="n">
        <f aca="false">47*(Z42*1.9835+AC42*1.9835)/E42</f>
        <v>0</v>
      </c>
      <c r="AR42" s="158"/>
      <c r="AS42" s="172" t="n">
        <v>6</v>
      </c>
      <c r="AT42" s="4"/>
      <c r="AU42" s="4" t="n">
        <f aca="false">O42</f>
        <v>34.65</v>
      </c>
      <c r="AV42" s="533" t="n">
        <v>0</v>
      </c>
      <c r="AW42" s="529" t="n">
        <v>91</v>
      </c>
      <c r="AX42" s="529" t="n">
        <v>63</v>
      </c>
      <c r="AY42" s="294"/>
      <c r="AZ42" s="250" t="n">
        <f aca="false">SUM(N42,P42:U42)</f>
        <v>9.35520021737502</v>
      </c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</row>
    <row r="43" customFormat="false" ht="12.95" hidden="false" customHeight="true" outlineLevel="0" collapsed="false">
      <c r="A43" s="527" t="n">
        <v>29</v>
      </c>
      <c r="B43" s="528" t="n">
        <v>6883.74</v>
      </c>
      <c r="C43" s="440" t="n">
        <v>227687</v>
      </c>
      <c r="D43" s="529" t="n">
        <f aca="false">C43-C42</f>
        <v>-1232</v>
      </c>
      <c r="E43" s="440" t="n">
        <f aca="false">C43-152000</f>
        <v>75687</v>
      </c>
      <c r="F43" s="530" t="n">
        <f aca="false">D43/$D$2</f>
        <v>-621.124275270986</v>
      </c>
      <c r="G43" s="526" t="n">
        <v>84</v>
      </c>
      <c r="H43" s="534" t="n">
        <v>0</v>
      </c>
      <c r="I43" s="526" t="n">
        <f aca="false">G43+H43</f>
        <v>84</v>
      </c>
      <c r="J43" s="531" t="n">
        <f aca="false">IF(L43&gt;0,L43,0)</f>
        <v>1.87572472901434</v>
      </c>
      <c r="K43" s="526" t="n">
        <f aca="false">I43+J43</f>
        <v>85.8757247290143</v>
      </c>
      <c r="L43" s="526" t="n">
        <f aca="false">F43-(I43-AK43)</f>
        <v>1.87572472901434</v>
      </c>
      <c r="M43" s="532" t="n">
        <v>227</v>
      </c>
      <c r="N43" s="158" t="n">
        <f aca="false">(1.8299*1.03)/2+0.312</f>
        <v>1.2543985</v>
      </c>
      <c r="O43" s="526" t="n">
        <f aca="false">32*1.05</f>
        <v>33.6</v>
      </c>
      <c r="P43" s="158" t="n">
        <v>0</v>
      </c>
      <c r="Q43" s="336" t="n">
        <f aca="false">1714400/325851/1.9835*1.02</f>
        <v>2.70558427956463</v>
      </c>
      <c r="R43" s="336" t="n">
        <v>4.2</v>
      </c>
      <c r="S43" s="131" t="n">
        <f aca="false">((6.5*1.04)-T43)-4.2</f>
        <v>1.232232</v>
      </c>
      <c r="T43" s="131" t="n">
        <f aca="false">1.2767*1.04</f>
        <v>1.327768</v>
      </c>
      <c r="U43" s="355" t="n">
        <v>0</v>
      </c>
      <c r="V43" s="526" t="n">
        <v>122</v>
      </c>
      <c r="W43" s="526" t="n">
        <v>69</v>
      </c>
      <c r="X43" s="135" t="n">
        <f aca="false">M43-N43-O43-P43-Q43-R43-S43-T43-U43+V43+W43-AT43+AR43</f>
        <v>373.680017220435</v>
      </c>
      <c r="Y43" s="135" t="n">
        <f aca="false">X43-AO43</f>
        <v>366.680017220435</v>
      </c>
      <c r="Z43" s="107"/>
      <c r="AA43" s="135"/>
      <c r="AB43" s="107"/>
      <c r="AC43" s="107" t="n">
        <f aca="false">AS43-AS43</f>
        <v>0</v>
      </c>
      <c r="AD43" s="177" t="n">
        <f aca="false">AD42+AP43+AS43</f>
        <v>7462.8771971781</v>
      </c>
      <c r="AE43" s="526" t="n">
        <v>229</v>
      </c>
      <c r="AF43" s="248" t="n">
        <v>1.7</v>
      </c>
      <c r="AG43" s="249" t="n">
        <v>1.3</v>
      </c>
      <c r="AH43" s="185" t="n">
        <v>60</v>
      </c>
      <c r="AI43" s="177" t="n">
        <f aca="false">AI42-AH43</f>
        <v>6909.25787748929</v>
      </c>
      <c r="AJ43" s="177"/>
      <c r="AK43" s="11" t="n">
        <f aca="false">N43+O43+P43+Q43+R43+S43+T43+U43+X43+AE43+AH43-AR43</f>
        <v>707</v>
      </c>
      <c r="AL43" s="526" t="n">
        <f aca="false">IF(L43&lt;0,L43*-1,0)</f>
        <v>0</v>
      </c>
      <c r="AM43" s="526" t="n">
        <f aca="false">AK43+AL43</f>
        <v>707</v>
      </c>
      <c r="AN43" s="220"/>
      <c r="AO43" s="183" t="n">
        <v>7</v>
      </c>
      <c r="AP43" s="97" t="n">
        <f aca="false">(I43-AO43)-Q43-R43-Y43-AF43</f>
        <v>-298.2856015</v>
      </c>
      <c r="AQ43" s="158" t="n">
        <f aca="false">47*(Z43*1.9835+AC43*1.9835)/E43</f>
        <v>0</v>
      </c>
      <c r="AR43" s="158"/>
      <c r="AS43" s="172" t="n">
        <v>6</v>
      </c>
      <c r="AT43" s="4"/>
      <c r="AU43" s="4" t="n">
        <f aca="false">O43</f>
        <v>33.6</v>
      </c>
      <c r="AV43" s="533" t="n">
        <v>0</v>
      </c>
      <c r="AW43" s="529" t="n">
        <v>94</v>
      </c>
      <c r="AX43" s="529" t="n">
        <v>58</v>
      </c>
      <c r="AY43" s="294"/>
      <c r="AZ43" s="250" t="n">
        <f aca="false">SUM(N43,P43:U43)</f>
        <v>10.7199827795646</v>
      </c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</row>
    <row r="44" customFormat="false" ht="12.95" hidden="false" customHeight="true" outlineLevel="0" collapsed="false">
      <c r="A44" s="527" t="n">
        <v>30</v>
      </c>
      <c r="B44" s="528" t="n">
        <v>6883.34</v>
      </c>
      <c r="C44" s="440" t="n">
        <v>226429</v>
      </c>
      <c r="D44" s="529" t="n">
        <f aca="false">C44-C43</f>
        <v>-1258</v>
      </c>
      <c r="E44" s="440" t="n">
        <f aca="false">C44-152000</f>
        <v>74429</v>
      </c>
      <c r="F44" s="530" t="n">
        <f aca="false">D44/$D$2</f>
        <v>-634.232417443912</v>
      </c>
      <c r="G44" s="526" t="n">
        <v>77</v>
      </c>
      <c r="H44" s="534" t="n">
        <v>0</v>
      </c>
      <c r="I44" s="526" t="n">
        <f aca="false">G44+H44</f>
        <v>77</v>
      </c>
      <c r="J44" s="531" t="n">
        <f aca="false">IF(L44&gt;0,L44,0)</f>
        <v>0</v>
      </c>
      <c r="K44" s="526" t="n">
        <f aca="false">I44+J44</f>
        <v>77</v>
      </c>
      <c r="L44" s="526" t="n">
        <f aca="false">F44-(I44-AK44)</f>
        <v>-2.23241744391225</v>
      </c>
      <c r="M44" s="532" t="n">
        <v>241</v>
      </c>
      <c r="N44" s="158" t="n">
        <f aca="false">(1.8299*1.03)/2+0.312</f>
        <v>1.2543985</v>
      </c>
      <c r="O44" s="526" t="n">
        <f aca="false">38*1.05</f>
        <v>39.9</v>
      </c>
      <c r="P44" s="158" t="n">
        <v>0</v>
      </c>
      <c r="Q44" s="336" t="n">
        <f aca="false">1869700/325851/1.9835*1.02</f>
        <v>2.95067132962085</v>
      </c>
      <c r="R44" s="336" t="n">
        <v>4.2</v>
      </c>
      <c r="S44" s="131" t="n">
        <f aca="false">((6.5*1.04)-T44)-4.2</f>
        <v>1.232232</v>
      </c>
      <c r="T44" s="131" t="n">
        <f aca="false">1.2767*1.04</f>
        <v>1.327768</v>
      </c>
      <c r="U44" s="355" t="n">
        <v>0</v>
      </c>
      <c r="V44" s="526" t="n">
        <v>123</v>
      </c>
      <c r="W44" s="526" t="n">
        <v>69</v>
      </c>
      <c r="X44" s="135" t="n">
        <f aca="false">M44-N44-O44-P44-Q44-R44-S44-T44-U44+V44+W44-AT44+AR44</f>
        <v>382.134930170379</v>
      </c>
      <c r="Y44" s="135" t="n">
        <f aca="false">X44-AO44</f>
        <v>375.134930170379</v>
      </c>
      <c r="Z44" s="107"/>
      <c r="AA44" s="135"/>
      <c r="AB44" s="107"/>
      <c r="AC44" s="107" t="n">
        <f aca="false">AS44-AS44</f>
        <v>0</v>
      </c>
      <c r="AD44" s="177" t="n">
        <f aca="false">AD43+AP44+AS44</f>
        <v>7154.8915956781</v>
      </c>
      <c r="AE44" s="526" t="n">
        <v>216</v>
      </c>
      <c r="AF44" s="248" t="n">
        <v>1.7</v>
      </c>
      <c r="AG44" s="249" t="n">
        <v>1.3</v>
      </c>
      <c r="AH44" s="185" t="n">
        <v>60</v>
      </c>
      <c r="AI44" s="177" t="n">
        <f aca="false">AI43-AH44</f>
        <v>6849.25787748929</v>
      </c>
      <c r="AJ44" s="177"/>
      <c r="AK44" s="11" t="n">
        <f aca="false">N44+O44+P44+Q44+R44+S44+T44+U44+X44+AE44+AH44-AR44</f>
        <v>709</v>
      </c>
      <c r="AL44" s="526" t="n">
        <f aca="false">IF(L44&lt;0,L44*-1,0)</f>
        <v>2.23241744391225</v>
      </c>
      <c r="AM44" s="526" t="n">
        <f aca="false">AK44+AL44</f>
        <v>711.232417443912</v>
      </c>
      <c r="AN44" s="220"/>
      <c r="AO44" s="183" t="n">
        <v>7</v>
      </c>
      <c r="AP44" s="97" t="n">
        <f aca="false">(I44-AO44)-Q44-R44-Y44-AF44</f>
        <v>-313.9856015</v>
      </c>
      <c r="AQ44" s="158" t="n">
        <f aca="false">47*(Z44*1.9835+AC44*1.9835)/E44</f>
        <v>0</v>
      </c>
      <c r="AR44" s="158"/>
      <c r="AS44" s="172" t="n">
        <v>6</v>
      </c>
      <c r="AT44" s="4"/>
      <c r="AU44" s="4" t="n">
        <f aca="false">O44</f>
        <v>39.9</v>
      </c>
      <c r="AV44" s="533" t="n">
        <v>0</v>
      </c>
      <c r="AW44" s="529" t="n">
        <v>91</v>
      </c>
      <c r="AX44" s="529" t="n">
        <v>57</v>
      </c>
      <c r="AY44" s="294"/>
      <c r="AZ44" s="250" t="n">
        <f aca="false">SUM(N44,P44:U44)</f>
        <v>10.9650698296208</v>
      </c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</row>
    <row r="45" customFormat="false" ht="12.95" hidden="false" customHeight="true" outlineLevel="0" collapsed="false">
      <c r="A45" s="527" t="n">
        <v>31</v>
      </c>
      <c r="B45" s="528" t="n">
        <v>6882.92</v>
      </c>
      <c r="C45" s="440" t="n">
        <v>225110</v>
      </c>
      <c r="D45" s="529" t="n">
        <f aca="false">C45-C44</f>
        <v>-1319</v>
      </c>
      <c r="E45" s="440" t="n">
        <f aca="false">C45-152000</f>
        <v>73110</v>
      </c>
      <c r="F45" s="530" t="n">
        <f aca="false">D45/$D$2</f>
        <v>-664.986135618856</v>
      </c>
      <c r="G45" s="526" t="n">
        <v>72</v>
      </c>
      <c r="H45" s="534" t="n">
        <v>0</v>
      </c>
      <c r="I45" s="526" t="n">
        <f aca="false">G45+H45</f>
        <v>72</v>
      </c>
      <c r="J45" s="531" t="n">
        <f aca="false">IF(L45&gt;0,L45,0)</f>
        <v>0</v>
      </c>
      <c r="K45" s="526" t="n">
        <f aca="false">I45+J45</f>
        <v>72</v>
      </c>
      <c r="L45" s="526" t="n">
        <f aca="false">F45-(I45-AK45)</f>
        <v>-21.9861356188555</v>
      </c>
      <c r="M45" s="532" t="n">
        <v>236</v>
      </c>
      <c r="N45" s="158" t="n">
        <f aca="false">(1.8299*1.03)/2+0.312</f>
        <v>1.2543985</v>
      </c>
      <c r="O45" s="526" t="n">
        <f aca="false">34*1.05</f>
        <v>35.7</v>
      </c>
      <c r="P45" s="158" t="n">
        <v>0</v>
      </c>
      <c r="Q45" s="336" t="n">
        <f aca="false">1816200/325851/1.9835*1.02</f>
        <v>2.86624018230592</v>
      </c>
      <c r="R45" s="158" t="n">
        <v>4.2</v>
      </c>
      <c r="S45" s="131" t="n">
        <f aca="false">((6.5*1.04)-T45)-4.2</f>
        <v>1.240552</v>
      </c>
      <c r="T45" s="131" t="n">
        <f aca="false">1.2687*1.04</f>
        <v>1.319448</v>
      </c>
      <c r="U45" s="355" t="n">
        <v>0</v>
      </c>
      <c r="V45" s="526" t="n">
        <v>122</v>
      </c>
      <c r="W45" s="526" t="n">
        <v>64</v>
      </c>
      <c r="X45" s="135" t="n">
        <f aca="false">M45-N45-O45-P45-Q45-R45-S45-T45-U45+V45+W45-AT45+AR45</f>
        <v>375.419361317694</v>
      </c>
      <c r="Y45" s="135" t="n">
        <f aca="false">X45-AO45</f>
        <v>368.419361317694</v>
      </c>
      <c r="Z45" s="107"/>
      <c r="AA45" s="135"/>
      <c r="AB45" s="107"/>
      <c r="AC45" s="107" t="n">
        <f aca="false">AS45-AS45</f>
        <v>0</v>
      </c>
      <c r="AD45" s="177" t="n">
        <f aca="false">AD44+AP45+AS45</f>
        <v>6848.7059941781</v>
      </c>
      <c r="AE45" s="526" t="n">
        <v>237</v>
      </c>
      <c r="AF45" s="248" t="n">
        <v>1.7</v>
      </c>
      <c r="AG45" s="249" t="n">
        <v>1.3</v>
      </c>
      <c r="AH45" s="185" t="n">
        <v>56</v>
      </c>
      <c r="AI45" s="177" t="n">
        <f aca="false">AI44-AH45</f>
        <v>6793.25787748929</v>
      </c>
      <c r="AJ45" s="177"/>
      <c r="AK45" s="11" t="n">
        <f aca="false">N45+O45+P45+Q45+R45+S45+T45+U45+X45+AE45+AH45-AR45</f>
        <v>715</v>
      </c>
      <c r="AL45" s="526" t="n">
        <f aca="false">IF(L45&lt;0,L45*-1,0)</f>
        <v>21.9861356188555</v>
      </c>
      <c r="AM45" s="526" t="n">
        <f aca="false">AK45+AL45</f>
        <v>736.986135618856</v>
      </c>
      <c r="AN45" s="220"/>
      <c r="AO45" s="183" t="n">
        <v>7</v>
      </c>
      <c r="AP45" s="97" t="n">
        <f aca="false">(I45-AO45)-Q45-R45-Y45-AF45</f>
        <v>-312.1856015</v>
      </c>
      <c r="AQ45" s="158" t="n">
        <f aca="false">47*(Z45*1.9835+AC45*1.9835)/E45</f>
        <v>0</v>
      </c>
      <c r="AR45" s="158"/>
      <c r="AS45" s="172" t="n">
        <v>6</v>
      </c>
      <c r="AT45" s="4"/>
      <c r="AU45" s="4" t="n">
        <f aca="false">O45</f>
        <v>35.7</v>
      </c>
      <c r="AV45" s="533" t="n">
        <v>0</v>
      </c>
      <c r="AW45" s="529" t="n">
        <v>90</v>
      </c>
      <c r="AX45" s="529" t="n">
        <v>57</v>
      </c>
      <c r="AY45" s="294"/>
      <c r="AZ45" s="250" t="n">
        <f aca="false">SUM(N45,P45:U45)</f>
        <v>10.8806386823059</v>
      </c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</row>
    <row r="46" customFormat="false" ht="3" hidden="false" customHeight="true" outlineLevel="0" collapsed="false">
      <c r="A46" s="231"/>
      <c r="B46" s="488"/>
      <c r="C46" s="489"/>
      <c r="D46" s="231"/>
      <c r="E46" s="489"/>
      <c r="F46" s="490"/>
      <c r="G46" s="231"/>
      <c r="H46" s="518"/>
      <c r="I46" s="231"/>
      <c r="J46" s="231"/>
      <c r="K46" s="231"/>
      <c r="L46" s="231"/>
      <c r="M46" s="492"/>
      <c r="N46" s="231"/>
      <c r="O46" s="231"/>
      <c r="P46" s="493"/>
      <c r="Q46" s="493"/>
      <c r="R46" s="493"/>
      <c r="S46" s="493"/>
      <c r="T46" s="493"/>
      <c r="U46" s="494"/>
      <c r="V46" s="231"/>
      <c r="W46" s="231"/>
      <c r="X46" s="231"/>
      <c r="Y46" s="231"/>
      <c r="Z46" s="489"/>
      <c r="AA46" s="231"/>
      <c r="AB46" s="489"/>
      <c r="AC46" s="489"/>
      <c r="AD46" s="489"/>
      <c r="AE46" s="231" t="n">
        <v>178</v>
      </c>
      <c r="AF46" s="237"/>
      <c r="AG46" s="241"/>
      <c r="AH46" s="231"/>
      <c r="AI46" s="231"/>
      <c r="AJ46" s="231"/>
      <c r="AK46" s="231"/>
      <c r="AL46" s="231"/>
      <c r="AM46" s="231"/>
      <c r="AN46" s="519"/>
      <c r="AO46" s="334"/>
      <c r="AP46" s="334"/>
      <c r="AQ46" s="124"/>
      <c r="AR46" s="124"/>
      <c r="AS46" s="520"/>
      <c r="AT46" s="520"/>
      <c r="AU46" s="520"/>
      <c r="AV46" s="521"/>
      <c r="AW46" s="495"/>
      <c r="AX46" s="495"/>
      <c r="AY46" s="522"/>
      <c r="AZ46" s="523"/>
    </row>
    <row r="47" customFormat="false" ht="12.95" hidden="false" customHeight="true" outlineLevel="0" collapsed="false">
      <c r="A47" s="185" t="s">
        <v>101</v>
      </c>
      <c r="B47" s="506"/>
      <c r="D47" s="177"/>
      <c r="F47" s="277" t="n">
        <f aca="false">SUM(F15:F45)</f>
        <v>-18052.9367280061</v>
      </c>
      <c r="G47" s="177" t="n">
        <f aca="false">SUM(G15:G45)</f>
        <v>3523</v>
      </c>
      <c r="H47" s="177" t="n">
        <f aca="false">SUM(H15:H45)</f>
        <v>0</v>
      </c>
      <c r="I47" s="177" t="n">
        <f aca="false">SUM(I15:I45)</f>
        <v>3523</v>
      </c>
      <c r="J47" s="177" t="n">
        <f aca="false">SUM(J15:J45)</f>
        <v>159.515754978573</v>
      </c>
      <c r="K47" s="177" t="n">
        <f aca="false">SUM(K15:K45)</f>
        <v>3682.51575497857</v>
      </c>
      <c r="L47" s="177" t="n">
        <f aca="false">SUM(L15:L45)</f>
        <v>-458.93672800605</v>
      </c>
      <c r="M47" s="509" t="n">
        <f aca="false">SUM(M15:M45)</f>
        <v>7054</v>
      </c>
      <c r="N47" s="177" t="n">
        <f aca="false">SUM(N15:N45)</f>
        <v>32.0223535</v>
      </c>
      <c r="O47" s="177" t="n">
        <f aca="false">SUM(O15:O45)</f>
        <v>2257.185</v>
      </c>
      <c r="P47" s="8" t="n">
        <f aca="false">SUM(P15:P45)</f>
        <v>0</v>
      </c>
      <c r="Q47" s="182" t="n">
        <f aca="false">SUM(Q15:Q45)</f>
        <v>89.6881303956867</v>
      </c>
      <c r="R47" s="182" t="n">
        <f aca="false">SUM(R15:R45)</f>
        <v>127.552696</v>
      </c>
      <c r="S47" s="182" t="n">
        <f aca="false">SUM(S15:S45)</f>
        <v>41.147992</v>
      </c>
      <c r="T47" s="182" t="n">
        <f aca="false">SUM(T15:T45)</f>
        <v>43.355312</v>
      </c>
      <c r="U47" s="508" t="n">
        <f aca="false">SUM(U15:U45)</f>
        <v>0</v>
      </c>
      <c r="V47" s="177" t="n">
        <f aca="false">SUM(V15:V45)</f>
        <v>3824</v>
      </c>
      <c r="W47" s="177" t="n">
        <f aca="false">SUM(W15:W45)</f>
        <v>2270</v>
      </c>
      <c r="X47" s="177" t="n">
        <f aca="false">SUM(X15:X45)</f>
        <v>10557.0485161043</v>
      </c>
      <c r="Y47" s="107" t="n">
        <f aca="false">SUM(Y15:Y45)</f>
        <v>10340.0485161043</v>
      </c>
      <c r="Z47" s="177"/>
      <c r="AA47" s="107"/>
      <c r="AB47" s="177"/>
      <c r="AE47" s="177" t="n">
        <f aca="false">SUM(AE15:AE45)</f>
        <v>5986</v>
      </c>
      <c r="AF47" s="509" t="n">
        <f aca="false">SUM(AF15:AF45)</f>
        <v>52.7</v>
      </c>
      <c r="AG47" s="507" t="n">
        <f aca="false">SUM(AG15:AG45)</f>
        <v>40.3</v>
      </c>
      <c r="AH47" s="177" t="n">
        <f aca="false">SUM(AH15:AH45)</f>
        <v>1983</v>
      </c>
      <c r="AI47" s="177"/>
      <c r="AJ47" s="177" t="n">
        <f aca="false">SUM(AJ15:AJ45)</f>
        <v>0</v>
      </c>
      <c r="AK47" s="177" t="n">
        <f aca="false">SUM(AK15:AK45)</f>
        <v>21117</v>
      </c>
      <c r="AL47" s="177" t="n">
        <f aca="false">SUM(AL15:AL45)</f>
        <v>618.452482984623</v>
      </c>
      <c r="AM47" s="177" t="n">
        <f aca="false">SUM(AM15:AM45)</f>
        <v>21735.4524829846</v>
      </c>
      <c r="AN47" s="510"/>
      <c r="AO47" s="177" t="n">
        <f aca="false">SUM(AO15:AO45)</f>
        <v>217</v>
      </c>
      <c r="AP47" s="183"/>
      <c r="AQ47" s="8"/>
      <c r="AR47" s="158" t="n">
        <f aca="false">SUM(AR15:AR45)</f>
        <v>0</v>
      </c>
      <c r="AS47" s="215" t="n">
        <f aca="false">SUM(AS15:AS45)</f>
        <v>186</v>
      </c>
      <c r="AT47" s="136" t="n">
        <f aca="false">SUM(AT15:AT45)</f>
        <v>0</v>
      </c>
      <c r="AU47" s="136" t="n">
        <f aca="false">SUM(AU15:AU45)</f>
        <v>381.125</v>
      </c>
      <c r="AV47" s="511" t="n">
        <f aca="false">SUM(AV15:AV45)</f>
        <v>0.35</v>
      </c>
      <c r="AW47" s="182" t="n">
        <f aca="false">AVERAGE(AW15:AW45)</f>
        <v>89.4838709677419</v>
      </c>
      <c r="AX47" s="182" t="n">
        <f aca="false">AVERAGE(AX15:AX45)</f>
        <v>56.9677419354839</v>
      </c>
      <c r="AY47" s="535" t="s">
        <v>125</v>
      </c>
      <c r="AZ47" s="516" t="n">
        <f aca="false">SUM(AZ15:AZ45)</f>
        <v>333.766483895687</v>
      </c>
    </row>
    <row r="48" customFormat="false" ht="12.95" hidden="false" customHeight="true" outlineLevel="0" collapsed="false">
      <c r="A48" s="185" t="s">
        <v>103</v>
      </c>
      <c r="B48" s="506"/>
      <c r="D48" s="177" t="n">
        <f aca="false">SUM(D15:D45)</f>
        <v>-35808</v>
      </c>
      <c r="F48" s="277" t="n">
        <f aca="false">F47*$D$2</f>
        <v>-35808</v>
      </c>
      <c r="G48" s="177" t="n">
        <f aca="false">G47*$D$2</f>
        <v>6987.8705</v>
      </c>
      <c r="H48" s="177" t="n">
        <f aca="false">H47*$D$2</f>
        <v>0</v>
      </c>
      <c r="I48" s="177" t="n">
        <f aca="false">I47*$D$2</f>
        <v>6987.8705</v>
      </c>
      <c r="J48" s="177" t="n">
        <f aca="false">J47*$D$2</f>
        <v>316.3995</v>
      </c>
      <c r="K48" s="177" t="n">
        <f aca="false">K47*$D$2</f>
        <v>7304.27</v>
      </c>
      <c r="L48" s="177" t="n">
        <f aca="false">L47*$D$2</f>
        <v>-910.300999999999</v>
      </c>
      <c r="M48" s="509" t="n">
        <f aca="false">M47*$D$2</f>
        <v>13991.609</v>
      </c>
      <c r="N48" s="177" t="n">
        <f aca="false">N47*$D$2</f>
        <v>63.51633816725</v>
      </c>
      <c r="O48" s="177" t="n">
        <f aca="false">O47*$D$2</f>
        <v>4477.1264475</v>
      </c>
      <c r="P48" s="8" t="n">
        <f aca="false">P47*$D$2</f>
        <v>0</v>
      </c>
      <c r="Q48" s="182" t="n">
        <f aca="false">Q47*$D$2</f>
        <v>177.896406639845</v>
      </c>
      <c r="R48" s="182" t="n">
        <f aca="false">R47*$D$2</f>
        <v>253.000772516</v>
      </c>
      <c r="S48" s="182" t="n">
        <f aca="false">S47*$D$2</f>
        <v>81.617042132</v>
      </c>
      <c r="T48" s="182" t="n">
        <f aca="false">T47*$D$2</f>
        <v>85.995261352</v>
      </c>
      <c r="U48" s="508" t="n">
        <f aca="false">U47*$D$2</f>
        <v>0</v>
      </c>
      <c r="V48" s="177" t="n">
        <f aca="false">V47*$D$2</f>
        <v>7584.904</v>
      </c>
      <c r="W48" s="177" t="n">
        <f aca="false">W47*$D$2</f>
        <v>4502.545</v>
      </c>
      <c r="X48" s="177" t="n">
        <f aca="false">X47*$D$2</f>
        <v>20939.9057316929</v>
      </c>
      <c r="Y48" s="107" t="n">
        <f aca="false">Y47*$D$2</f>
        <v>20509.4862316929</v>
      </c>
      <c r="Z48" s="177"/>
      <c r="AA48" s="107"/>
      <c r="AB48" s="177"/>
      <c r="AE48" s="177" t="n">
        <f aca="false">AE47*$D$2</f>
        <v>11873.231</v>
      </c>
      <c r="AF48" s="509" t="n">
        <f aca="false">AF47*$D$2</f>
        <v>104.53045</v>
      </c>
      <c r="AG48" s="507" t="n">
        <f aca="false">AG47*$D$2</f>
        <v>79.93505</v>
      </c>
      <c r="AH48" s="177" t="n">
        <f aca="false">AH47*$D$2</f>
        <v>3933.2805</v>
      </c>
      <c r="AI48" s="177"/>
      <c r="AJ48" s="177" t="n">
        <f aca="false">AJ47*$D$2</f>
        <v>0</v>
      </c>
      <c r="AK48" s="177" t="n">
        <f aca="false">AK47*$D$2</f>
        <v>41885.5695</v>
      </c>
      <c r="AL48" s="177" t="n">
        <f aca="false">AL47*$D$2</f>
        <v>1226.7005</v>
      </c>
      <c r="AM48" s="177" t="n">
        <f aca="false">AM47*$D$2</f>
        <v>43112.27</v>
      </c>
      <c r="AN48" s="510"/>
      <c r="AO48" s="177" t="n">
        <f aca="false">AO47*$D$2</f>
        <v>430.4195</v>
      </c>
      <c r="AP48" s="183"/>
      <c r="AQ48" s="8" t="n">
        <f aca="false">SUM(AQ15:AQ45)</f>
        <v>1.02591132970222</v>
      </c>
      <c r="AR48" s="136" t="n">
        <f aca="false">AR47*$D$2</f>
        <v>0</v>
      </c>
      <c r="AS48" s="215" t="n">
        <f aca="false">AS47*$D$2</f>
        <v>368.931</v>
      </c>
      <c r="AT48" s="136" t="n">
        <f aca="false">AT47*$D$2</f>
        <v>0</v>
      </c>
      <c r="AU48" s="136" t="n">
        <f aca="false">AU47*$D$2</f>
        <v>755.9614375</v>
      </c>
      <c r="AV48" s="511"/>
      <c r="AW48" s="182" t="n">
        <f aca="false">MAX(AW15:AW45)</f>
        <v>94</v>
      </c>
      <c r="AX48" s="182" t="n">
        <f aca="false">MAX(AX15:AX45)</f>
        <v>63</v>
      </c>
      <c r="AY48" s="535" t="s">
        <v>104</v>
      </c>
      <c r="AZ48" s="516" t="n">
        <f aca="false">AZ47*$D$2</f>
        <v>662.025820807095</v>
      </c>
    </row>
    <row r="49" customFormat="false" ht="3" hidden="false" customHeight="true" outlineLevel="0" collapsed="false">
      <c r="A49" s="231"/>
      <c r="B49" s="488"/>
      <c r="C49" s="489"/>
      <c r="D49" s="489"/>
      <c r="E49" s="489"/>
      <c r="F49" s="522"/>
      <c r="G49" s="489"/>
      <c r="H49" s="489"/>
      <c r="I49" s="489"/>
      <c r="J49" s="489"/>
      <c r="K49" s="489"/>
      <c r="L49" s="489"/>
      <c r="M49" s="536"/>
      <c r="N49" s="489"/>
      <c r="O49" s="489"/>
      <c r="P49" s="493"/>
      <c r="Q49" s="495"/>
      <c r="R49" s="495"/>
      <c r="S49" s="495"/>
      <c r="T49" s="495"/>
      <c r="U49" s="494"/>
      <c r="V49" s="489"/>
      <c r="W49" s="489"/>
      <c r="X49" s="489"/>
      <c r="Y49" s="233"/>
      <c r="Z49" s="489"/>
      <c r="AA49" s="233"/>
      <c r="AB49" s="489"/>
      <c r="AC49" s="489"/>
      <c r="AD49" s="489"/>
      <c r="AE49" s="489"/>
      <c r="AF49" s="536"/>
      <c r="AG49" s="537"/>
      <c r="AH49" s="489"/>
      <c r="AI49" s="231"/>
      <c r="AJ49" s="489"/>
      <c r="AK49" s="489"/>
      <c r="AL49" s="489"/>
      <c r="AM49" s="489"/>
      <c r="AN49" s="538"/>
      <c r="AO49" s="489"/>
      <c r="AP49" s="334"/>
      <c r="AQ49" s="493"/>
      <c r="AR49" s="238"/>
      <c r="AS49" s="243"/>
      <c r="AT49" s="240"/>
      <c r="AU49" s="520"/>
      <c r="AV49" s="538"/>
      <c r="AW49" s="489"/>
      <c r="AX49" s="489"/>
      <c r="AY49" s="522"/>
      <c r="AZ49" s="523"/>
    </row>
    <row r="50" customFormat="false" ht="12.95" hidden="false" customHeight="true" outlineLevel="0" collapsed="false">
      <c r="A50" s="185" t="s">
        <v>105</v>
      </c>
      <c r="B50" s="506"/>
      <c r="D50" s="177"/>
      <c r="F50" s="277" t="n">
        <f aca="false">F12+F47</f>
        <v>-39353.1635996975</v>
      </c>
      <c r="G50" s="177" t="n">
        <f aca="false">G12+G47</f>
        <v>61503</v>
      </c>
      <c r="H50" s="177" t="n">
        <f aca="false">H12+H47</f>
        <v>728.31</v>
      </c>
      <c r="I50" s="177" t="n">
        <f aca="false">I12+I47</f>
        <v>62231.31</v>
      </c>
      <c r="J50" s="177" t="n">
        <f aca="false">J12+J47</f>
        <v>2261.07938240484</v>
      </c>
      <c r="K50" s="177" t="n">
        <f aca="false">K12+K47</f>
        <v>64492.3793824048</v>
      </c>
      <c r="L50" s="177" t="n">
        <f aca="false">L12+L47</f>
        <v>-938.005998197504</v>
      </c>
      <c r="M50" s="509" t="n">
        <f aca="false">M12+M47</f>
        <v>37622.7</v>
      </c>
      <c r="N50" s="177" t="n">
        <f aca="false">N12+N47</f>
        <v>146.9949705</v>
      </c>
      <c r="O50" s="177" t="n">
        <f aca="false">O12+O47</f>
        <v>12541.9255</v>
      </c>
      <c r="P50" s="8" t="n">
        <f aca="false">P12+P47</f>
        <v>7.32</v>
      </c>
      <c r="Q50" s="182"/>
      <c r="R50" s="182"/>
      <c r="S50" s="182"/>
      <c r="T50" s="182"/>
      <c r="U50" s="508"/>
      <c r="V50" s="177" t="n">
        <f aca="false">V12+V47</f>
        <v>16531</v>
      </c>
      <c r="W50" s="177" t="n">
        <f aca="false">W12+W47</f>
        <v>9803.9</v>
      </c>
      <c r="X50" s="177" t="n">
        <f aca="false">X12+X47</f>
        <v>52938.2830355695</v>
      </c>
      <c r="Y50" s="107" t="n">
        <f aca="false">Y12+Y47</f>
        <v>51658.4530355695</v>
      </c>
      <c r="Z50" s="80" t="n">
        <f aca="false">Z45</f>
        <v>0</v>
      </c>
      <c r="AA50" s="107"/>
      <c r="AB50" s="440"/>
      <c r="AE50" s="177" t="n">
        <f aca="false">AE12+AE47</f>
        <v>27423</v>
      </c>
      <c r="AF50" s="509" t="n">
        <f aca="false">AF12+AF47</f>
        <v>260.1</v>
      </c>
      <c r="AG50" s="507" t="n">
        <f aca="false">AG12+AG47</f>
        <v>198.9</v>
      </c>
      <c r="AH50" s="177"/>
      <c r="AI50" s="440"/>
      <c r="AJ50" s="177" t="n">
        <f aca="false">AJ12+AJ47</f>
        <v>0</v>
      </c>
      <c r="AK50" s="177" t="n">
        <f aca="false">AK12+AK47</f>
        <v>100646.4576015</v>
      </c>
      <c r="AL50" s="177" t="n">
        <f aca="false">AL12+AL47</f>
        <v>3199.08538060234</v>
      </c>
      <c r="AM50" s="177" t="n">
        <f aca="false">AM12+AM47</f>
        <v>103845.542982102</v>
      </c>
      <c r="AN50" s="510"/>
      <c r="AO50" s="183"/>
      <c r="AP50" s="183"/>
      <c r="AQ50" s="8"/>
      <c r="AR50" s="136" t="n">
        <f aca="false">AR12+AR47</f>
        <v>3024.9425</v>
      </c>
      <c r="AS50" s="215" t="n">
        <f aca="false">AS12+AS47</f>
        <v>492</v>
      </c>
      <c r="AT50" s="136" t="n">
        <f aca="false">AT12+AT47</f>
        <v>0</v>
      </c>
      <c r="AU50" s="136" t="n">
        <f aca="false">AU12+AU47</f>
        <v>381.125</v>
      </c>
      <c r="AV50" s="511"/>
      <c r="AW50" s="182" t="n">
        <f aca="false">MIN(AW15:AW45)</f>
        <v>74</v>
      </c>
      <c r="AX50" s="182" t="n">
        <f aca="false">MIN(AX15:AX45)</f>
        <v>52</v>
      </c>
      <c r="AY50" s="535" t="s">
        <v>106</v>
      </c>
      <c r="AZ50" s="516" t="n">
        <f aca="false">AZ12+AZ47</f>
        <v>333.766483895687</v>
      </c>
    </row>
    <row r="51" customFormat="false" ht="12.95" hidden="false" customHeight="true" outlineLevel="0" collapsed="false">
      <c r="A51" s="185" t="s">
        <v>107</v>
      </c>
      <c r="B51" s="506"/>
      <c r="D51" s="177"/>
      <c r="F51" s="277" t="n">
        <f aca="false">F50*$D$2</f>
        <v>-78057</v>
      </c>
      <c r="G51" s="177" t="n">
        <f aca="false">G50*$D$2</f>
        <v>121991.2005</v>
      </c>
      <c r="H51" s="177" t="n">
        <f aca="false">H50*$D$2</f>
        <v>1444.602885</v>
      </c>
      <c r="I51" s="177" t="n">
        <f aca="false">I50*$D$2</f>
        <v>123435.803385</v>
      </c>
      <c r="J51" s="177" t="n">
        <f aca="false">J50*$D$2</f>
        <v>4484.850955</v>
      </c>
      <c r="K51" s="177" t="n">
        <f aca="false">K50*$D$2</f>
        <v>127920.634505</v>
      </c>
      <c r="L51" s="177" t="n">
        <f aca="false">L50*$D$2</f>
        <v>-1860.53489742475</v>
      </c>
      <c r="M51" s="509" t="n">
        <f aca="false">M50*$D$2</f>
        <v>74624.62545</v>
      </c>
      <c r="N51" s="177" t="n">
        <f aca="false">N50*$D$2</f>
        <v>291.56452398675</v>
      </c>
      <c r="O51" s="177" t="n">
        <f aca="false">O50*$D$2</f>
        <v>24876.90922925</v>
      </c>
      <c r="P51" s="8" t="n">
        <f aca="false">P50*$D$2</f>
        <v>14.51922</v>
      </c>
      <c r="Q51" s="182"/>
      <c r="R51" s="182"/>
      <c r="S51" s="182"/>
      <c r="T51" s="182"/>
      <c r="U51" s="508"/>
      <c r="V51" s="177" t="n">
        <f aca="false">V50*$D$2</f>
        <v>32789.2385</v>
      </c>
      <c r="W51" s="177" t="n">
        <f aca="false">W50*$D$2</f>
        <v>19446.03565</v>
      </c>
      <c r="X51" s="177" t="n">
        <f aca="false">X50*$D$2</f>
        <v>105003.084401052</v>
      </c>
      <c r="Y51" s="107" t="n">
        <f aca="false">Y50*$D$2</f>
        <v>102464.541596052</v>
      </c>
      <c r="Z51" s="80" t="n">
        <f aca="false">Z50*$D$2</f>
        <v>0</v>
      </c>
      <c r="AA51" s="107"/>
      <c r="AB51" s="177"/>
      <c r="AE51" s="507" t="n">
        <f aca="false">AE50*$D$2</f>
        <v>54393.5205</v>
      </c>
      <c r="AF51" s="177" t="n">
        <f aca="false">AF50*$D$2</f>
        <v>515.90835</v>
      </c>
      <c r="AG51" s="177" t="n">
        <f aca="false">AG50*$D$2</f>
        <v>394.51815</v>
      </c>
      <c r="AH51" s="509"/>
      <c r="AI51" s="177"/>
      <c r="AJ51" s="177" t="n">
        <f aca="false">AJ50*$D$2</f>
        <v>0</v>
      </c>
      <c r="AK51" s="177" t="n">
        <f aca="false">AK50*$D$2</f>
        <v>199632.248652575</v>
      </c>
      <c r="AL51" s="177" t="n">
        <f aca="false">AL50*$D$2</f>
        <v>6345.38585242475</v>
      </c>
      <c r="AM51" s="177" t="n">
        <f aca="false">AM50*$D$2</f>
        <v>205977.634505</v>
      </c>
      <c r="AN51" s="510"/>
      <c r="AO51" s="183"/>
      <c r="AP51" s="183"/>
      <c r="AQ51" s="179" t="n">
        <f aca="false">AQ12+AQ48</f>
        <v>945.374503875825</v>
      </c>
      <c r="AR51" s="136" t="n">
        <f aca="false">AR50*$D$2</f>
        <v>5999.97344875</v>
      </c>
      <c r="AS51" s="215" t="n">
        <f aca="false">AS50*$D$2</f>
        <v>975.882</v>
      </c>
      <c r="AT51" s="136" t="n">
        <f aca="false">AT50*$D$2</f>
        <v>0</v>
      </c>
      <c r="AU51" s="158" t="n">
        <f aca="false">AU50*$D$2</f>
        <v>755.9614375</v>
      </c>
      <c r="AV51" s="511"/>
      <c r="AW51" s="182"/>
      <c r="AX51" s="182"/>
      <c r="AY51" s="299"/>
      <c r="AZ51" s="516" t="n">
        <f aca="false">AZ50*$D$2</f>
        <v>662.025820807095</v>
      </c>
    </row>
    <row r="52" customFormat="false" ht="3" hidden="false" customHeight="true" outlineLevel="0" collapsed="false">
      <c r="A52" s="231"/>
      <c r="B52" s="488"/>
      <c r="C52" s="489"/>
      <c r="D52" s="489"/>
      <c r="E52" s="489"/>
      <c r="F52" s="522"/>
      <c r="G52" s="489"/>
      <c r="H52" s="495"/>
      <c r="I52" s="489"/>
      <c r="J52" s="489"/>
      <c r="K52" s="489"/>
      <c r="L52" s="489"/>
      <c r="M52" s="536"/>
      <c r="N52" s="489"/>
      <c r="O52" s="489"/>
      <c r="P52" s="493"/>
      <c r="Q52" s="495"/>
      <c r="R52" s="495"/>
      <c r="S52" s="495"/>
      <c r="T52" s="495"/>
      <c r="U52" s="494"/>
      <c r="V52" s="489"/>
      <c r="W52" s="489"/>
      <c r="X52" s="489"/>
      <c r="Y52" s="233"/>
      <c r="Z52" s="489"/>
      <c r="AA52" s="233"/>
      <c r="AB52" s="489"/>
      <c r="AC52" s="489"/>
      <c r="AD52" s="489"/>
      <c r="AE52" s="537"/>
      <c r="AF52" s="233"/>
      <c r="AG52" s="233"/>
      <c r="AH52" s="536"/>
      <c r="AI52" s="489"/>
      <c r="AJ52" s="489"/>
      <c r="AK52" s="489"/>
      <c r="AL52" s="489"/>
      <c r="AM52" s="489"/>
      <c r="AN52" s="521"/>
      <c r="AO52" s="539"/>
      <c r="AP52" s="334"/>
      <c r="AQ52" s="493"/>
      <c r="AR52" s="493"/>
      <c r="AS52" s="334"/>
      <c r="AT52" s="520"/>
      <c r="AU52" s="520"/>
      <c r="AV52" s="521"/>
      <c r="AW52" s="539"/>
      <c r="AX52" s="539"/>
      <c r="AY52" s="522"/>
      <c r="AZ52" s="523"/>
    </row>
    <row r="53" customFormat="false" ht="12.95" hidden="false" customHeight="true" outlineLevel="0" collapsed="false">
      <c r="A53" s="185" t="s">
        <v>108</v>
      </c>
      <c r="B53" s="506"/>
      <c r="D53" s="177"/>
      <c r="F53" s="277" t="n">
        <f aca="false">F13+F47</f>
        <v>-34535.4171918326</v>
      </c>
      <c r="G53" s="177" t="n">
        <f aca="false">G13+G47</f>
        <v>73567</v>
      </c>
      <c r="H53" s="182" t="n">
        <f aca="false">H13+H47</f>
        <v>1210.39</v>
      </c>
      <c r="I53" s="177" t="n">
        <f aca="false">I13+I47</f>
        <v>74776.77</v>
      </c>
      <c r="J53" s="177" t="n">
        <f aca="false">J13+J47</f>
        <v>7155.26722460297</v>
      </c>
      <c r="K53" s="177" t="n">
        <f aca="false">K13+K47</f>
        <v>81932.027224603</v>
      </c>
      <c r="L53" s="177" t="n">
        <f aca="false">L13+L47</f>
        <v>3359.48040966738</v>
      </c>
      <c r="M53" s="509" t="n">
        <f aca="false">M13+M47</f>
        <v>38411.4</v>
      </c>
      <c r="N53" s="177" t="n">
        <f aca="false">N13+N47</f>
        <v>146.9949705</v>
      </c>
      <c r="O53" s="177" t="n">
        <f aca="false">O13+O47</f>
        <v>12541.9255</v>
      </c>
      <c r="Q53" s="182" t="n">
        <f aca="false">Q13+Q47</f>
        <v>654.982102952394</v>
      </c>
      <c r="R53" s="182" t="n">
        <f aca="false">R13+R47</f>
        <v>832.95427952</v>
      </c>
      <c r="S53" s="182" t="n">
        <f aca="false">S13+S47</f>
        <v>189.45273936</v>
      </c>
      <c r="T53" s="182" t="n">
        <f aca="false">T13+T47</f>
        <v>266.40258112</v>
      </c>
      <c r="U53" s="540" t="n">
        <f aca="false">U13+U47</f>
        <v>27.7983443318626</v>
      </c>
      <c r="V53" s="177" t="n">
        <f aca="false">V13+V47</f>
        <v>22378</v>
      </c>
      <c r="W53" s="177" t="n">
        <f aca="false">W13+W47</f>
        <v>9863.4</v>
      </c>
      <c r="X53" s="177" t="n">
        <f aca="false">X13+X47</f>
        <v>59009.9119822157</v>
      </c>
      <c r="Y53" s="107" t="n">
        <f aca="false">Y13+Y47</f>
        <v>57527.2849100972</v>
      </c>
      <c r="Z53" s="177"/>
      <c r="AA53" s="107"/>
      <c r="AB53" s="177"/>
      <c r="AE53" s="507"/>
      <c r="AF53" s="107" t="n">
        <f aca="false">AF13+AF47</f>
        <v>52.7</v>
      </c>
      <c r="AG53" s="107" t="n">
        <f aca="false">AG13+AG47</f>
        <v>40.3</v>
      </c>
      <c r="AH53" s="509" t="n">
        <f aca="false">AH13+AH47</f>
        <v>14601</v>
      </c>
      <c r="AI53" s="177" t="n">
        <f aca="false">AI45</f>
        <v>6793.25787748929</v>
      </c>
      <c r="AJ53" s="177" t="n">
        <f aca="false">AJ13+AJ47</f>
        <v>33</v>
      </c>
      <c r="AK53" s="177" t="n">
        <f aca="false">AK13+AK47</f>
        <v>112671.6576015</v>
      </c>
      <c r="AL53" s="177" t="n">
        <f aca="false">AL13+AL47</f>
        <v>3795.78681493559</v>
      </c>
      <c r="AM53" s="177" t="n">
        <f aca="false">AM13+AM47</f>
        <v>116467.444416436</v>
      </c>
      <c r="AN53" s="510"/>
      <c r="AO53" s="177" t="n">
        <f aca="false">AO13+AO47</f>
        <v>1482.62707211854</v>
      </c>
      <c r="AP53" s="183"/>
      <c r="AQ53" s="8"/>
      <c r="AR53" s="8"/>
      <c r="AS53" s="182"/>
      <c r="AT53" s="179" t="n">
        <f aca="false">AT12+AT47</f>
        <v>0</v>
      </c>
      <c r="AU53" s="179"/>
      <c r="AV53" s="511" t="n">
        <f aca="false">AV13+AV47</f>
        <v>3.78</v>
      </c>
      <c r="AW53" s="182"/>
      <c r="AX53" s="182"/>
      <c r="AY53" s="299"/>
      <c r="AZ53" s="516" t="n">
        <f aca="false">AZ13+AZ47</f>
        <v>2125.90501778426</v>
      </c>
    </row>
    <row r="54" customFormat="false" ht="12.95" hidden="false" customHeight="true" outlineLevel="0" collapsed="false">
      <c r="A54" s="185" t="s">
        <v>109</v>
      </c>
      <c r="B54" s="506"/>
      <c r="D54" s="177" t="n">
        <f aca="false">D13+D48</f>
        <v>-68575</v>
      </c>
      <c r="E54" s="177" t="n">
        <f aca="false">E45</f>
        <v>73110</v>
      </c>
      <c r="F54" s="277" t="n">
        <f aca="false">F53*$D$2</f>
        <v>-68501</v>
      </c>
      <c r="G54" s="177" t="n">
        <f aca="false">G53*$D$2</f>
        <v>145920.1445</v>
      </c>
      <c r="H54" s="182" t="n">
        <f aca="false">H53*$D$2</f>
        <v>2400.808565</v>
      </c>
      <c r="I54" s="177" t="n">
        <f aca="false">I53*$D$2</f>
        <v>148319.723295</v>
      </c>
      <c r="J54" s="177" t="n">
        <f aca="false">J53*$D$2</f>
        <v>14192.47254</v>
      </c>
      <c r="K54" s="177" t="n">
        <f aca="false">K53*$D$2</f>
        <v>162512.176</v>
      </c>
      <c r="L54" s="177" t="n">
        <f aca="false">L53*$D$2</f>
        <v>6663.52939257525</v>
      </c>
      <c r="M54" s="509" t="n">
        <f aca="false">M53*$D$2</f>
        <v>76189.0119</v>
      </c>
      <c r="N54" s="177" t="n">
        <f aca="false">N53*$D$2</f>
        <v>291.56452398675</v>
      </c>
      <c r="O54" s="177" t="n">
        <f aca="false">O53*$D$2</f>
        <v>24876.90922925</v>
      </c>
      <c r="Q54" s="182" t="n">
        <f aca="false">Q53*$D$2</f>
        <v>1299.15700120607</v>
      </c>
      <c r="R54" s="182" t="n">
        <f aca="false">R53*$D$2</f>
        <v>1652.16481342792</v>
      </c>
      <c r="S54" s="541" t="n">
        <f aca="false">S53*$D$2</f>
        <v>375.77950852056</v>
      </c>
      <c r="T54" s="541" t="n">
        <f aca="false">T53*$D$2</f>
        <v>528.40951965152</v>
      </c>
      <c r="U54" s="514" t="n">
        <f aca="false">U53*$D$2</f>
        <v>55.1380159822495</v>
      </c>
      <c r="V54" s="177" t="n">
        <f aca="false">V53*$D$2</f>
        <v>44386.763</v>
      </c>
      <c r="W54" s="177" t="n">
        <f aca="false">W53*$D$2</f>
        <v>19564.0539</v>
      </c>
      <c r="X54" s="177" t="n">
        <f aca="false">X53*$D$2</f>
        <v>117046.160416725</v>
      </c>
      <c r="Y54" s="107" t="n">
        <f aca="false">Y53*$D$2</f>
        <v>114105.369619178</v>
      </c>
      <c r="Z54" s="177"/>
      <c r="AA54" s="107"/>
      <c r="AB54" s="177"/>
      <c r="AE54" s="507"/>
      <c r="AF54" s="107" t="n">
        <f aca="false">AF53*$D$2</f>
        <v>104.53045</v>
      </c>
      <c r="AG54" s="107" t="n">
        <f aca="false">AG53*$D$2</f>
        <v>79.93505</v>
      </c>
      <c r="AH54" s="509" t="n">
        <f aca="false">AH53*$D$2</f>
        <v>28961.0835</v>
      </c>
      <c r="AI54" s="177" t="n">
        <f aca="false">AI53*$D$2</f>
        <v>13474.427</v>
      </c>
      <c r="AJ54" s="177" t="n">
        <f aca="false">AJ53*$D$2</f>
        <v>65.4555</v>
      </c>
      <c r="AK54" s="177" t="n">
        <f aca="false">AK53*$D$2</f>
        <v>223484.232852575</v>
      </c>
      <c r="AL54" s="177" t="n">
        <f aca="false">AL53*$D$2</f>
        <v>7528.94314742475</v>
      </c>
      <c r="AM54" s="177" t="n">
        <f aca="false">AM53*$D$2</f>
        <v>231013.176</v>
      </c>
      <c r="AN54" s="510" t="n">
        <f aca="false">AN13+AN48</f>
        <v>11712.1708</v>
      </c>
      <c r="AO54" s="177" t="n">
        <f aca="false">AO53*$D$2</f>
        <v>2940.79079754712</v>
      </c>
      <c r="AP54" s="183"/>
      <c r="AQ54" s="179" t="n">
        <f aca="false">AQ13+AQ48</f>
        <v>945.374503875825</v>
      </c>
      <c r="AR54" s="8"/>
      <c r="AS54" s="182"/>
      <c r="AT54" s="179" t="n">
        <f aca="false">AT53*$D$2</f>
        <v>0</v>
      </c>
      <c r="AU54" s="179"/>
      <c r="AV54" s="511"/>
      <c r="AW54" s="182"/>
      <c r="AX54" s="182"/>
      <c r="AY54" s="299"/>
      <c r="AZ54" s="516" t="n">
        <f aca="false">AZ53*$D$2</f>
        <v>4216.73260277507</v>
      </c>
    </row>
    <row r="55" customFormat="false" ht="3" hidden="false" customHeight="true" outlineLevel="0" collapsed="false">
      <c r="A55" s="231"/>
      <c r="B55" s="488"/>
      <c r="C55" s="489"/>
      <c r="D55" s="231"/>
      <c r="E55" s="489"/>
      <c r="F55" s="490"/>
      <c r="G55" s="231"/>
      <c r="H55" s="518"/>
      <c r="I55" s="231"/>
      <c r="J55" s="231"/>
      <c r="K55" s="542"/>
      <c r="L55" s="231"/>
      <c r="M55" s="492"/>
      <c r="N55" s="231"/>
      <c r="O55" s="231"/>
      <c r="P55" s="493"/>
      <c r="Q55" s="493"/>
      <c r="R55" s="543"/>
      <c r="S55" s="493"/>
      <c r="T55" s="493"/>
      <c r="U55" s="494"/>
      <c r="V55" s="231"/>
      <c r="W55" s="231"/>
      <c r="X55" s="231"/>
      <c r="Y55" s="231"/>
      <c r="Z55" s="489"/>
      <c r="AA55" s="231"/>
      <c r="AB55" s="489"/>
      <c r="AC55" s="489"/>
      <c r="AD55" s="489"/>
      <c r="AE55" s="544"/>
      <c r="AF55" s="234"/>
      <c r="AG55" s="234"/>
      <c r="AH55" s="492"/>
      <c r="AI55" s="489"/>
      <c r="AJ55" s="489"/>
      <c r="AK55" s="231"/>
      <c r="AL55" s="231"/>
      <c r="AM55" s="231"/>
      <c r="AN55" s="488"/>
      <c r="AO55" s="231"/>
      <c r="AP55" s="334"/>
      <c r="AQ55" s="493"/>
      <c r="AR55" s="493"/>
      <c r="AS55" s="520"/>
      <c r="AT55" s="520"/>
      <c r="AU55" s="520"/>
      <c r="AV55" s="488"/>
      <c r="AW55" s="231"/>
      <c r="AX55" s="231"/>
      <c r="AY55" s="522"/>
      <c r="AZ55" s="523"/>
    </row>
    <row r="56" customFormat="false" ht="11.1" hidden="false" customHeight="true" outlineLevel="0" collapsed="false">
      <c r="A56" s="499"/>
      <c r="B56" s="173"/>
      <c r="C56" s="2"/>
      <c r="D56" s="11"/>
      <c r="E56" s="465"/>
      <c r="F56" s="1"/>
      <c r="G56" s="1"/>
      <c r="H56" s="3"/>
      <c r="I56" s="11"/>
      <c r="J56" s="11"/>
      <c r="K56" s="466"/>
      <c r="L56" s="177"/>
      <c r="M56" s="11"/>
      <c r="N56" s="11"/>
      <c r="O56" s="11"/>
      <c r="P56" s="5"/>
      <c r="Q56" s="5"/>
      <c r="R56" s="5"/>
      <c r="S56" s="5"/>
      <c r="T56" s="5"/>
      <c r="U56" s="5"/>
      <c r="V56" s="11"/>
      <c r="W56" s="11"/>
      <c r="X56" s="11"/>
      <c r="Y56" s="11"/>
      <c r="Z56" s="1"/>
      <c r="AA56" s="11"/>
      <c r="AB56" s="1"/>
      <c r="AC56" s="1"/>
      <c r="AD56" s="2"/>
      <c r="AE56" s="11"/>
      <c r="AF56" s="11"/>
      <c r="AG56" s="11"/>
      <c r="AH56" s="11"/>
      <c r="AI56" s="465"/>
      <c r="AJ56" s="468"/>
      <c r="AK56" s="465"/>
      <c r="AL56" s="185"/>
      <c r="AM56" s="185"/>
      <c r="AN56" s="411"/>
      <c r="AO56" s="411"/>
      <c r="AQ56" s="384"/>
      <c r="AR56" s="384"/>
      <c r="AS56" s="407"/>
      <c r="AV56" s="8"/>
      <c r="AW56" s="182"/>
      <c r="AX56" s="182"/>
    </row>
    <row r="57" customFormat="false" ht="11.1" hidden="false" customHeight="true" outlineLevel="0" collapsed="false">
      <c r="A57" s="185"/>
      <c r="B57" s="545"/>
      <c r="C57" s="2"/>
      <c r="D57" s="1"/>
      <c r="E57" s="382"/>
      <c r="F57" s="188"/>
      <c r="G57" s="1"/>
      <c r="H57" s="3"/>
      <c r="I57" s="12"/>
      <c r="J57" s="11"/>
      <c r="K57" s="174"/>
      <c r="L57" s="179"/>
      <c r="M57" s="11"/>
      <c r="N57" s="11"/>
      <c r="O57" s="2"/>
      <c r="P57" s="5"/>
      <c r="Q57" s="5"/>
      <c r="R57" s="93"/>
      <c r="S57" s="93"/>
      <c r="T57" s="93"/>
      <c r="U57" s="93"/>
      <c r="V57" s="26"/>
      <c r="W57" s="130"/>
      <c r="X57" s="469"/>
      <c r="Y57" s="469"/>
      <c r="Z57" s="177"/>
      <c r="AA57" s="469"/>
      <c r="AB57" s="177"/>
      <c r="AC57" s="84"/>
      <c r="AD57" s="84"/>
      <c r="AE57" s="2"/>
      <c r="AF57" s="2"/>
      <c r="AG57" s="2"/>
      <c r="AH57" s="11"/>
      <c r="AI57" s="2"/>
      <c r="AJ57" s="105"/>
      <c r="AK57" s="2"/>
      <c r="AL57" s="185"/>
      <c r="AM57" s="8"/>
      <c r="AN57" s="546"/>
      <c r="AO57" s="546"/>
      <c r="AQ57" s="384"/>
      <c r="AR57" s="384"/>
      <c r="AS57" s="407"/>
      <c r="AV57" s="182"/>
      <c r="AW57" s="182"/>
      <c r="AX57" s="182"/>
    </row>
    <row r="58" customFormat="false" ht="11.1" hidden="false" customHeight="true" outlineLevel="0" collapsed="false">
      <c r="B58" s="177"/>
      <c r="E58" s="382"/>
      <c r="F58" s="225"/>
      <c r="G58" s="1"/>
      <c r="H58" s="3"/>
      <c r="I58" s="1"/>
      <c r="J58" s="1"/>
      <c r="K58" s="383"/>
      <c r="L58" s="440"/>
      <c r="M58" s="4"/>
      <c r="N58" s="4"/>
      <c r="O58" s="382"/>
      <c r="P58" s="472"/>
      <c r="Q58" s="472"/>
      <c r="R58" s="93"/>
      <c r="S58" s="93"/>
      <c r="T58" s="93"/>
      <c r="U58" s="93"/>
      <c r="V58" s="26"/>
      <c r="W58" s="130"/>
      <c r="X58" s="90"/>
      <c r="Y58" s="90"/>
      <c r="Z58" s="177"/>
      <c r="AA58" s="90"/>
      <c r="AB58" s="177"/>
      <c r="AE58" s="177"/>
      <c r="AF58" s="177"/>
      <c r="AG58" s="177"/>
      <c r="AH58" s="2"/>
      <c r="AI58" s="26"/>
      <c r="AJ58" s="473"/>
      <c r="AK58" s="26"/>
      <c r="AL58" s="176"/>
      <c r="AM58" s="8"/>
      <c r="AN58" s="180"/>
      <c r="AO58" s="180"/>
      <c r="AQ58" s="384"/>
      <c r="AR58" s="384"/>
      <c r="AS58" s="407"/>
      <c r="AV58" s="182"/>
      <c r="AW58" s="182"/>
      <c r="AX58" s="183"/>
    </row>
    <row r="59" customFormat="false" ht="11.1" hidden="false" customHeight="true" outlineLevel="0" collapsed="false">
      <c r="D59" s="177"/>
      <c r="E59" s="382"/>
      <c r="F59" s="1"/>
      <c r="G59" s="1"/>
      <c r="H59" s="177"/>
      <c r="I59" s="1"/>
      <c r="J59" s="1"/>
      <c r="K59" s="383"/>
      <c r="L59" s="182"/>
      <c r="M59" s="4"/>
      <c r="N59" s="4"/>
      <c r="O59" s="182"/>
      <c r="Q59" s="8"/>
      <c r="R59" s="93"/>
      <c r="S59" s="93"/>
      <c r="T59" s="93"/>
      <c r="U59" s="93"/>
      <c r="V59" s="26"/>
      <c r="W59" s="26"/>
      <c r="X59" s="90"/>
      <c r="Y59" s="90"/>
      <c r="Z59" s="182"/>
      <c r="AA59" s="90"/>
      <c r="AB59" s="182"/>
      <c r="AC59" s="182"/>
      <c r="AE59" s="177"/>
      <c r="AF59" s="177"/>
      <c r="AG59" s="177"/>
      <c r="AH59" s="2"/>
      <c r="AI59" s="177"/>
      <c r="AJ59" s="225"/>
      <c r="AK59" s="177"/>
      <c r="AL59" s="176"/>
      <c r="AM59" s="382"/>
      <c r="AN59" s="180"/>
      <c r="AO59" s="180"/>
      <c r="AQ59" s="384"/>
      <c r="AR59" s="384"/>
      <c r="AS59" s="407"/>
      <c r="AV59" s="182"/>
      <c r="AW59" s="182"/>
      <c r="AX59" s="183"/>
    </row>
    <row r="60" customFormat="false" ht="11.1" hidden="false" customHeight="true" outlineLevel="0" collapsed="false">
      <c r="G60" s="273"/>
      <c r="Q60" s="8"/>
      <c r="R60" s="8"/>
      <c r="S60" s="8"/>
      <c r="T60" s="8"/>
      <c r="W60" s="176"/>
      <c r="X60" s="1"/>
      <c r="Y60" s="1"/>
      <c r="Z60" s="177"/>
      <c r="AA60" s="1"/>
      <c r="AB60" s="177"/>
      <c r="AH60" s="177"/>
      <c r="AK60" s="176"/>
      <c r="AL60" s="176"/>
      <c r="AM60" s="8"/>
      <c r="AN60" s="180"/>
      <c r="AO60" s="180"/>
      <c r="AQ60" s="384"/>
      <c r="AR60" s="384"/>
      <c r="AS60" s="407"/>
      <c r="AV60" s="178"/>
      <c r="AW60" s="182"/>
      <c r="AX60" s="183"/>
    </row>
    <row r="61" customFormat="false" ht="11.1" hidden="false" customHeight="true" outlineLevel="0" collapsed="false">
      <c r="Q61" s="8"/>
      <c r="R61" s="8"/>
      <c r="S61" s="8"/>
      <c r="T61" s="8"/>
      <c r="W61" s="176"/>
      <c r="X61" s="177"/>
      <c r="Y61" s="177"/>
      <c r="Z61" s="177"/>
      <c r="AA61" s="177"/>
      <c r="AB61" s="177"/>
      <c r="AH61" s="177"/>
      <c r="AK61" s="176"/>
      <c r="AL61" s="176"/>
      <c r="AM61" s="8"/>
      <c r="AN61" s="180"/>
      <c r="AO61" s="180"/>
      <c r="AQ61" s="384"/>
      <c r="AR61" s="384"/>
      <c r="AS61" s="407"/>
      <c r="AV61" s="178"/>
      <c r="AW61" s="182"/>
      <c r="AX61" s="183"/>
    </row>
    <row r="62" customFormat="false" ht="11.1" hidden="false" customHeight="true" outlineLevel="0" collapsed="false">
      <c r="Q62" s="8"/>
      <c r="R62" s="8"/>
      <c r="S62" s="8"/>
      <c r="T62" s="8"/>
      <c r="W62" s="176"/>
      <c r="X62" s="177"/>
      <c r="Y62" s="177"/>
      <c r="Z62" s="177"/>
      <c r="AA62" s="177"/>
      <c r="AB62" s="177"/>
      <c r="AH62" s="177"/>
      <c r="AK62" s="176"/>
      <c r="AL62" s="176"/>
      <c r="AM62" s="8"/>
      <c r="AN62" s="180"/>
      <c r="AO62" s="180"/>
      <c r="AQ62" s="384"/>
      <c r="AR62" s="384"/>
      <c r="AS62" s="407"/>
      <c r="AV62" s="178"/>
      <c r="AW62" s="182"/>
      <c r="AX62" s="183"/>
    </row>
    <row r="63" customFormat="false" ht="11.1" hidden="false" customHeight="true" outlineLevel="0" collapsed="false">
      <c r="X63" s="177"/>
      <c r="Y63" s="177"/>
      <c r="AA63" s="177"/>
    </row>
  </sheetData>
  <mergeCells count="3">
    <mergeCell ref="K2:Y2"/>
    <mergeCell ref="Z2:AD2"/>
    <mergeCell ref="M5:U5"/>
  </mergeCells>
  <printOptions headings="true" gridLines="true" gridLinesSet="true" horizontalCentered="false" verticalCentered="true"/>
  <pageMargins left="0.25" right="0.25" top="0.5" bottom="0" header="0.5" footer="0.511811023622047"/>
  <pageSetup paperSize="3" scale="90" fitToWidth="1" fitToHeight="1" pageOrder="downThenOver" orientation="landscape" blackAndWhite="false" draft="false" cellComments="atEnd" horizontalDpi="300" verticalDpi="300" copies="1"/>
  <headerFooter differentFirst="false" differentOddEven="false">
    <oddHeader>&amp;C2012 Approvedl</oddHeader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Z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O30" activePane="bottomRight" state="frozen"/>
      <selection pane="topLeft" activeCell="A1" activeCellId="0" sqref="A1"/>
      <selection pane="topRight" activeCell="O1" activeCellId="0" sqref="O1"/>
      <selection pane="bottomLeft" activeCell="A30" activeCellId="0" sqref="A30"/>
      <selection pane="bottomRight" activeCell="AG43" activeCellId="0" sqref="AG43"/>
    </sheetView>
  </sheetViews>
  <sheetFormatPr defaultColWidth="9.328125" defaultRowHeight="11.1" zeroHeight="false" outlineLevelRow="0" outlineLevelCol="0"/>
  <cols>
    <col collapsed="false" customWidth="true" hidden="false" outlineLevel="0" max="1" min="1" style="176" width="4.66"/>
    <col collapsed="false" customWidth="true" hidden="false" outlineLevel="0" max="2" min="2" style="176" width="6.99"/>
    <col collapsed="false" customWidth="true" hidden="false" outlineLevel="0" max="3" min="3" style="177" width="6.32"/>
    <col collapsed="false" customWidth="true" hidden="false" outlineLevel="0" max="4" min="4" style="176" width="6.32"/>
    <col collapsed="false" customWidth="true" hidden="false" outlineLevel="0" max="5" min="5" style="177" width="6.99"/>
    <col collapsed="false" customWidth="true" hidden="false" outlineLevel="0" max="6" min="6" style="176" width="7.32"/>
    <col collapsed="false" customWidth="true" hidden="false" outlineLevel="0" max="7" min="7" style="176" width="6.82"/>
    <col collapsed="false" customWidth="true" hidden="false" outlineLevel="0" max="8" min="8" style="186" width="5.66"/>
    <col collapsed="false" customWidth="true" hidden="false" outlineLevel="0" max="11" min="9" style="176" width="6.32"/>
    <col collapsed="false" customWidth="true" hidden="false" outlineLevel="0" max="12" min="12" style="176" width="6.82"/>
    <col collapsed="false" customWidth="true" hidden="false" outlineLevel="0" max="13" min="13" style="179" width="5.49"/>
    <col collapsed="false" customWidth="true" hidden="false" outlineLevel="0" max="14" min="14" style="179" width="4.49"/>
    <col collapsed="false" customWidth="true" hidden="false" outlineLevel="0" max="15" min="15" style="179" width="5.49"/>
    <col collapsed="false" customWidth="true" hidden="false" outlineLevel="0" max="16" min="16" style="8" width="4.82"/>
    <col collapsed="false" customWidth="true" hidden="false" outlineLevel="0" max="20" min="17" style="8" width="4.32"/>
    <col collapsed="false" customWidth="true" hidden="false" outlineLevel="0" max="21" min="21" style="8" width="5.16"/>
    <col collapsed="false" customWidth="true" hidden="false" outlineLevel="0" max="22" min="22" style="176" width="5.49"/>
    <col collapsed="false" customWidth="true" hidden="false" outlineLevel="0" max="23" min="23" style="177" width="5.49"/>
    <col collapsed="false" customWidth="true" hidden="false" outlineLevel="0" max="25" min="24" style="176" width="6.32"/>
    <col collapsed="false" customWidth="true" hidden="false" outlineLevel="0" max="26" min="26" style="176" width="5.49"/>
    <col collapsed="false" customWidth="true" hidden="false" outlineLevel="0" max="27" min="27" style="176" width="6.32"/>
    <col collapsed="false" customWidth="true" hidden="false" outlineLevel="0" max="28" min="28" style="176" width="5.49"/>
    <col collapsed="false" customWidth="true" hidden="false" outlineLevel="0" max="29" min="29" style="177" width="5.82"/>
    <col collapsed="false" customWidth="true" hidden="false" outlineLevel="0" max="30" min="30" style="177" width="5.49"/>
    <col collapsed="false" customWidth="true" hidden="false" outlineLevel="0" max="33" min="31" style="176" width="5.49"/>
    <col collapsed="false" customWidth="true" hidden="false" outlineLevel="0" max="34" min="34" style="176" width="6.32"/>
    <col collapsed="false" customWidth="true" hidden="false" outlineLevel="0" max="35" min="35" style="176" width="5.49"/>
    <col collapsed="false" customWidth="true" hidden="false" outlineLevel="0" max="36" min="36" style="180" width="6.32"/>
    <col collapsed="false" customWidth="true" hidden="false" outlineLevel="0" max="37" min="37" style="8" width="6.32"/>
    <col collapsed="false" customWidth="true" hidden="false" outlineLevel="0" max="38" min="38" style="178" width="6.82"/>
    <col collapsed="false" customWidth="true" hidden="false" outlineLevel="0" max="39" min="39" style="182" width="6.82"/>
    <col collapsed="false" customWidth="true" hidden="false" outlineLevel="0" max="41" min="40" style="176" width="5.49"/>
    <col collapsed="false" customWidth="true" hidden="false" outlineLevel="0" max="42" min="42" style="179" width="6.32"/>
    <col collapsed="false" customWidth="true" hidden="false" outlineLevel="0" max="43" min="43" style="8" width="6.32"/>
    <col collapsed="false" customWidth="true" hidden="false" outlineLevel="0" max="44" min="44" style="8" width="5.49"/>
    <col collapsed="false" customWidth="true" hidden="false" outlineLevel="0" max="45" min="45" style="176" width="5.32"/>
    <col collapsed="false" customWidth="true" hidden="false" outlineLevel="0" max="46" min="46" style="176" width="5.82"/>
    <col collapsed="false" customWidth="true" hidden="false" outlineLevel="0" max="47" min="47" style="179" width="4.99"/>
    <col collapsed="false" customWidth="true" hidden="false" outlineLevel="0" max="48" min="48" style="183" width="5.32"/>
    <col collapsed="false" customWidth="true" hidden="false" outlineLevel="0" max="49" min="49" style="176" width="3.82"/>
    <col collapsed="false" customWidth="true" hidden="false" outlineLevel="0" max="50" min="50" style="8" width="3.82"/>
    <col collapsed="false" customWidth="true" hidden="false" outlineLevel="0" max="51" min="51" style="184" width="3.82"/>
    <col collapsed="false" customWidth="true" hidden="false" outlineLevel="0" max="52" min="52" style="184" width="5.49"/>
    <col collapsed="false" customWidth="false" hidden="false" outlineLevel="0" max="257" min="53" style="184" width="9.32"/>
  </cols>
  <sheetData>
    <row r="1" customFormat="false" ht="14.1" hidden="false" customHeight="true" outlineLevel="0" collapsed="false">
      <c r="A1" s="185"/>
      <c r="B1" s="185"/>
      <c r="D1" s="185"/>
      <c r="F1" s="185"/>
      <c r="G1" s="185"/>
      <c r="I1" s="185"/>
      <c r="J1" s="185"/>
      <c r="K1" s="187" t="s">
        <v>0</v>
      </c>
      <c r="L1" s="185"/>
      <c r="M1" s="185"/>
      <c r="N1" s="185"/>
      <c r="O1" s="185"/>
      <c r="V1" s="185"/>
      <c r="W1" s="185"/>
      <c r="X1" s="177"/>
      <c r="Y1" s="177"/>
      <c r="Z1" s="185"/>
      <c r="AA1" s="177"/>
      <c r="AB1" s="185"/>
      <c r="AC1" s="185"/>
      <c r="AD1" s="185"/>
      <c r="AE1" s="185"/>
      <c r="AF1" s="185"/>
      <c r="AG1" s="185"/>
      <c r="AH1" s="177"/>
      <c r="AI1" s="185"/>
      <c r="AJ1" s="188"/>
      <c r="AK1" s="185"/>
      <c r="AL1" s="185"/>
      <c r="AM1" s="8"/>
      <c r="AN1" s="188"/>
      <c r="AO1" s="188"/>
      <c r="AP1" s="325"/>
      <c r="AQ1" s="193"/>
      <c r="AR1" s="193"/>
      <c r="AV1" s="178"/>
      <c r="AW1" s="182"/>
      <c r="AX1" s="183"/>
    </row>
    <row r="2" customFormat="false" ht="14.1" hidden="false" customHeight="true" outlineLevel="0" collapsed="false">
      <c r="A2" s="188" t="s">
        <v>1</v>
      </c>
      <c r="B2" s="185"/>
      <c r="D2" s="189" t="n">
        <v>1.9835</v>
      </c>
      <c r="F2" s="185"/>
      <c r="G2" s="185"/>
      <c r="I2" s="185"/>
      <c r="J2" s="185"/>
      <c r="K2" s="190" t="s">
        <v>138</v>
      </c>
      <c r="L2" s="191"/>
      <c r="M2" s="192"/>
      <c r="N2" s="192"/>
      <c r="O2" s="192"/>
      <c r="P2" s="193"/>
      <c r="Q2" s="193"/>
      <c r="R2" s="193"/>
      <c r="S2" s="193"/>
      <c r="T2" s="193"/>
      <c r="U2" s="193"/>
      <c r="V2" s="192"/>
      <c r="W2" s="192"/>
      <c r="X2" s="84"/>
      <c r="Y2" s="84"/>
      <c r="Z2" s="192"/>
      <c r="AA2" s="84"/>
      <c r="AB2" s="192"/>
      <c r="AC2" s="192"/>
      <c r="AD2" s="192"/>
      <c r="AE2" s="185"/>
      <c r="AF2" s="185"/>
      <c r="AG2" s="185"/>
      <c r="AH2" s="177"/>
      <c r="AI2" s="185"/>
      <c r="AJ2" s="188"/>
      <c r="AK2" s="185"/>
      <c r="AL2" s="185"/>
      <c r="AM2" s="8"/>
      <c r="AN2" s="188"/>
      <c r="AO2" s="188"/>
      <c r="AP2" s="325"/>
      <c r="AQ2" s="193"/>
      <c r="AR2" s="193"/>
      <c r="AV2" s="178"/>
      <c r="AW2" s="182"/>
      <c r="AX2" s="183"/>
    </row>
    <row r="3" customFormat="false" ht="14.1" hidden="false" customHeight="true" outlineLevel="0" collapsed="false">
      <c r="A3" s="195"/>
      <c r="B3" s="195"/>
      <c r="C3" s="196"/>
      <c r="D3" s="197"/>
      <c r="E3" s="196"/>
      <c r="F3" s="195"/>
      <c r="G3" s="195"/>
      <c r="H3" s="198"/>
      <c r="I3" s="195"/>
      <c r="J3" s="195"/>
      <c r="K3" s="195"/>
      <c r="L3" s="195"/>
      <c r="M3" s="195"/>
      <c r="N3" s="195"/>
      <c r="O3" s="195"/>
      <c r="P3" s="199"/>
      <c r="Q3" s="199"/>
      <c r="R3" s="199"/>
      <c r="S3" s="199"/>
      <c r="T3" s="199"/>
      <c r="U3" s="199"/>
      <c r="V3" s="195"/>
      <c r="W3" s="195"/>
      <c r="X3" s="196"/>
      <c r="Y3" s="196"/>
      <c r="Z3" s="195"/>
      <c r="AA3" s="196"/>
      <c r="AB3" s="195"/>
      <c r="AC3" s="195"/>
      <c r="AD3" s="195"/>
      <c r="AE3" s="195"/>
      <c r="AF3" s="195"/>
      <c r="AG3" s="195"/>
      <c r="AH3" s="196"/>
      <c r="AI3" s="195"/>
      <c r="AJ3" s="201"/>
      <c r="AK3" s="195"/>
      <c r="AL3" s="195"/>
      <c r="AM3" s="199"/>
      <c r="AN3" s="201"/>
      <c r="AO3" s="201"/>
      <c r="AP3" s="327"/>
      <c r="AQ3" s="326"/>
      <c r="AR3" s="193"/>
      <c r="AS3" s="286"/>
      <c r="AV3" s="204"/>
      <c r="AW3" s="205"/>
      <c r="AX3" s="206"/>
    </row>
    <row r="4" s="176" customFormat="true" ht="14.1" hidden="false" customHeight="true" outlineLevel="0" collapsed="false">
      <c r="A4" s="185"/>
      <c r="B4" s="388"/>
      <c r="C4" s="389"/>
      <c r="D4" s="390" t="s">
        <v>3</v>
      </c>
      <c r="E4" s="389"/>
      <c r="F4" s="498"/>
      <c r="G4" s="185"/>
      <c r="H4" s="186"/>
      <c r="I4" s="499" t="s">
        <v>4</v>
      </c>
      <c r="J4" s="499"/>
      <c r="K4" s="185"/>
      <c r="L4" s="393"/>
      <c r="M4" s="185"/>
      <c r="N4" s="185"/>
      <c r="O4" s="185"/>
      <c r="P4" s="8"/>
      <c r="Q4" s="8"/>
      <c r="R4" s="8"/>
      <c r="S4" s="8"/>
      <c r="T4" s="8"/>
      <c r="U4" s="8"/>
      <c r="V4" s="398"/>
      <c r="W4" s="185"/>
      <c r="X4" s="398" t="s">
        <v>5</v>
      </c>
      <c r="Y4" s="177"/>
      <c r="Z4" s="185"/>
      <c r="AA4" s="177"/>
      <c r="AB4" s="185"/>
      <c r="AC4" s="185"/>
      <c r="AD4" s="185"/>
      <c r="AE4" s="185"/>
      <c r="AF4" s="185"/>
      <c r="AG4" s="185"/>
      <c r="AH4" s="177"/>
      <c r="AI4" s="185"/>
      <c r="AJ4" s="188"/>
      <c r="AK4" s="185"/>
      <c r="AL4" s="185"/>
      <c r="AM4" s="8"/>
      <c r="AN4" s="388"/>
      <c r="AO4" s="185"/>
      <c r="AP4" s="547" t="s">
        <v>6</v>
      </c>
      <c r="AQ4" s="547"/>
      <c r="AR4" s="548"/>
      <c r="AS4" s="549"/>
      <c r="AT4" s="550"/>
      <c r="AU4" s="391"/>
      <c r="AV4" s="400"/>
      <c r="AW4" s="401" t="s">
        <v>7</v>
      </c>
      <c r="AX4" s="402"/>
      <c r="AY4" s="403"/>
      <c r="AZ4" s="404"/>
    </row>
    <row r="5" customFormat="false" ht="12.95" hidden="false" customHeight="true" outlineLevel="0" collapsed="false">
      <c r="A5" s="323" t="s">
        <v>8</v>
      </c>
      <c r="B5" s="405" t="s">
        <v>9</v>
      </c>
      <c r="C5" s="406" t="s">
        <v>9</v>
      </c>
      <c r="D5" s="323" t="s">
        <v>10</v>
      </c>
      <c r="E5" s="406" t="s">
        <v>11</v>
      </c>
      <c r="F5" s="323" t="s">
        <v>12</v>
      </c>
      <c r="G5" s="405" t="s">
        <v>13</v>
      </c>
      <c r="H5" s="407" t="s">
        <v>14</v>
      </c>
      <c r="I5" s="323" t="s">
        <v>15</v>
      </c>
      <c r="J5" s="323" t="s">
        <v>16</v>
      </c>
      <c r="K5" s="323" t="s">
        <v>17</v>
      </c>
      <c r="L5" s="323" t="s">
        <v>16</v>
      </c>
      <c r="M5" s="408" t="s">
        <v>18</v>
      </c>
      <c r="N5" s="408"/>
      <c r="O5" s="408"/>
      <c r="P5" s="408"/>
      <c r="Q5" s="408"/>
      <c r="R5" s="408"/>
      <c r="S5" s="408"/>
      <c r="T5" s="408"/>
      <c r="U5" s="408"/>
      <c r="V5" s="323" t="s">
        <v>19</v>
      </c>
      <c r="W5" s="323" t="s">
        <v>20</v>
      </c>
      <c r="X5" s="55" t="s">
        <v>17</v>
      </c>
      <c r="Y5" s="55" t="s">
        <v>17</v>
      </c>
      <c r="Z5" s="61" t="s">
        <v>21</v>
      </c>
      <c r="AA5" s="55" t="s">
        <v>21</v>
      </c>
      <c r="AB5" s="61" t="s">
        <v>21</v>
      </c>
      <c r="AC5" s="406" t="s">
        <v>22</v>
      </c>
      <c r="AD5" s="406" t="s">
        <v>21</v>
      </c>
      <c r="AE5" s="323" t="s">
        <v>23</v>
      </c>
      <c r="AF5" s="409" t="s">
        <v>127</v>
      </c>
      <c r="AG5" s="410"/>
      <c r="AH5" s="411" t="s">
        <v>25</v>
      </c>
      <c r="AI5" s="406" t="s">
        <v>128</v>
      </c>
      <c r="AJ5" s="406" t="s">
        <v>27</v>
      </c>
      <c r="AK5" s="323" t="s">
        <v>15</v>
      </c>
      <c r="AL5" s="323" t="s">
        <v>16</v>
      </c>
      <c r="AM5" s="323" t="s">
        <v>17</v>
      </c>
      <c r="AN5" s="448" t="s">
        <v>28</v>
      </c>
      <c r="AO5" s="61" t="s">
        <v>21</v>
      </c>
      <c r="AP5" s="67" t="s">
        <v>29</v>
      </c>
      <c r="AQ5" s="67" t="s">
        <v>29</v>
      </c>
      <c r="AR5" s="62" t="s">
        <v>30</v>
      </c>
      <c r="AS5" s="68" t="s">
        <v>31</v>
      </c>
      <c r="AT5" s="407" t="s">
        <v>32</v>
      </c>
      <c r="AU5" s="210" t="s">
        <v>33</v>
      </c>
      <c r="AV5" s="412" t="s">
        <v>34</v>
      </c>
      <c r="AW5" s="411" t="s">
        <v>35</v>
      </c>
      <c r="AX5" s="411" t="s">
        <v>36</v>
      </c>
      <c r="AY5" s="299"/>
      <c r="AZ5" s="295" t="s">
        <v>17</v>
      </c>
    </row>
    <row r="6" customFormat="false" ht="12.95" hidden="false" customHeight="true" outlineLevel="0" collapsed="false">
      <c r="A6" s="413" t="s">
        <v>139</v>
      </c>
      <c r="B6" s="405" t="s">
        <v>38</v>
      </c>
      <c r="C6" s="406"/>
      <c r="D6" s="323" t="s">
        <v>39</v>
      </c>
      <c r="E6" s="406" t="s">
        <v>40</v>
      </c>
      <c r="F6" s="323" t="s">
        <v>41</v>
      </c>
      <c r="G6" s="405" t="s">
        <v>42</v>
      </c>
      <c r="H6" s="407" t="s">
        <v>43</v>
      </c>
      <c r="I6" s="323" t="s">
        <v>44</v>
      </c>
      <c r="J6" s="323" t="s">
        <v>44</v>
      </c>
      <c r="K6" s="323" t="s">
        <v>44</v>
      </c>
      <c r="L6" s="323" t="s">
        <v>45</v>
      </c>
      <c r="M6" s="414" t="s">
        <v>46</v>
      </c>
      <c r="N6" s="69" t="s">
        <v>47</v>
      </c>
      <c r="O6" s="323" t="s">
        <v>48</v>
      </c>
      <c r="P6" s="69" t="s">
        <v>49</v>
      </c>
      <c r="Q6" s="58" t="s">
        <v>50</v>
      </c>
      <c r="R6" s="58" t="s">
        <v>51</v>
      </c>
      <c r="S6" s="58"/>
      <c r="T6" s="58" t="s">
        <v>48</v>
      </c>
      <c r="U6" s="415" t="s">
        <v>52</v>
      </c>
      <c r="V6" s="323" t="s">
        <v>53</v>
      </c>
      <c r="W6" s="323" t="s">
        <v>54</v>
      </c>
      <c r="X6" s="55" t="s">
        <v>21</v>
      </c>
      <c r="Y6" s="55" t="s">
        <v>21</v>
      </c>
      <c r="Z6" s="61" t="s">
        <v>55</v>
      </c>
      <c r="AA6" s="55" t="s">
        <v>55</v>
      </c>
      <c r="AB6" s="61" t="s">
        <v>56</v>
      </c>
      <c r="AC6" s="406" t="s">
        <v>57</v>
      </c>
      <c r="AD6" s="406" t="s">
        <v>58</v>
      </c>
      <c r="AE6" s="417" t="s">
        <v>59</v>
      </c>
      <c r="AF6" s="58" t="s">
        <v>60</v>
      </c>
      <c r="AG6" s="58" t="s">
        <v>61</v>
      </c>
      <c r="AH6" s="505" t="s">
        <v>62</v>
      </c>
      <c r="AI6" s="406" t="s">
        <v>63</v>
      </c>
      <c r="AJ6" s="406"/>
      <c r="AK6" s="323" t="s">
        <v>64</v>
      </c>
      <c r="AL6" s="323" t="s">
        <v>64</v>
      </c>
      <c r="AM6" s="323" t="s">
        <v>64</v>
      </c>
      <c r="AN6" s="448" t="s">
        <v>65</v>
      </c>
      <c r="AO6" s="61" t="s">
        <v>66</v>
      </c>
      <c r="AP6" s="67" t="s">
        <v>67</v>
      </c>
      <c r="AQ6" s="67" t="s">
        <v>67</v>
      </c>
      <c r="AR6" s="62" t="s">
        <v>68</v>
      </c>
      <c r="AS6" s="68" t="s">
        <v>69</v>
      </c>
      <c r="AT6" s="407" t="s">
        <v>70</v>
      </c>
      <c r="AU6" s="210" t="s">
        <v>71</v>
      </c>
      <c r="AV6" s="416"/>
      <c r="AW6" s="411" t="s">
        <v>72</v>
      </c>
      <c r="AX6" s="411" t="s">
        <v>72</v>
      </c>
      <c r="AY6" s="299"/>
      <c r="AZ6" s="295" t="s">
        <v>73</v>
      </c>
    </row>
    <row r="7" customFormat="false" ht="12.95" hidden="false" customHeight="true" outlineLevel="0" collapsed="false">
      <c r="A7" s="323"/>
      <c r="B7" s="405"/>
      <c r="C7" s="406"/>
      <c r="D7" s="323"/>
      <c r="E7" s="406"/>
      <c r="F7" s="323"/>
      <c r="G7" s="405"/>
      <c r="H7" s="407"/>
      <c r="I7" s="323"/>
      <c r="J7" s="323"/>
      <c r="K7" s="323"/>
      <c r="L7" s="323"/>
      <c r="M7" s="414"/>
      <c r="N7" s="69" t="s">
        <v>74</v>
      </c>
      <c r="O7" s="323" t="s">
        <v>75</v>
      </c>
      <c r="P7" s="69"/>
      <c r="Q7" s="58" t="s">
        <v>76</v>
      </c>
      <c r="R7" s="58" t="s">
        <v>76</v>
      </c>
      <c r="S7" s="58" t="s">
        <v>61</v>
      </c>
      <c r="T7" s="58" t="s">
        <v>61</v>
      </c>
      <c r="U7" s="415" t="s">
        <v>77</v>
      </c>
      <c r="V7" s="323"/>
      <c r="W7" s="323"/>
      <c r="X7" s="65" t="s">
        <v>78</v>
      </c>
      <c r="Y7" s="57" t="s">
        <v>79</v>
      </c>
      <c r="Z7" s="61" t="s">
        <v>80</v>
      </c>
      <c r="AA7" s="55" t="s">
        <v>81</v>
      </c>
      <c r="AB7" s="61" t="s">
        <v>82</v>
      </c>
      <c r="AC7" s="406"/>
      <c r="AD7" s="406"/>
      <c r="AE7" s="417"/>
      <c r="AF7" s="79" t="n">
        <v>1.7</v>
      </c>
      <c r="AG7" s="79" t="n">
        <v>1.3</v>
      </c>
      <c r="AH7" s="505"/>
      <c r="AI7" s="406"/>
      <c r="AJ7" s="406"/>
      <c r="AK7" s="323"/>
      <c r="AL7" s="323"/>
      <c r="AM7" s="323"/>
      <c r="AN7" s="448"/>
      <c r="AO7" s="61" t="s">
        <v>41</v>
      </c>
      <c r="AP7" s="67" t="s">
        <v>83</v>
      </c>
      <c r="AQ7" s="67" t="s">
        <v>84</v>
      </c>
      <c r="AR7" s="62" t="s">
        <v>85</v>
      </c>
      <c r="AS7" s="68" t="s">
        <v>86</v>
      </c>
      <c r="AT7" s="407" t="s">
        <v>87</v>
      </c>
      <c r="AU7" s="210" t="s">
        <v>88</v>
      </c>
      <c r="AV7" s="416"/>
      <c r="AW7" s="411"/>
      <c r="AX7" s="411"/>
      <c r="AY7" s="299"/>
      <c r="AZ7" s="295" t="s">
        <v>89</v>
      </c>
    </row>
    <row r="8" customFormat="false" ht="12.95" hidden="false" customHeight="true" outlineLevel="0" collapsed="false">
      <c r="A8" s="323"/>
      <c r="B8" s="405"/>
      <c r="C8" s="406"/>
      <c r="D8" s="323"/>
      <c r="E8" s="406"/>
      <c r="F8" s="323"/>
      <c r="G8" s="405"/>
      <c r="H8" s="407"/>
      <c r="I8" s="323"/>
      <c r="J8" s="323"/>
      <c r="K8" s="323"/>
      <c r="L8" s="323"/>
      <c r="M8" s="414"/>
      <c r="N8" s="69"/>
      <c r="O8" s="406" t="n">
        <f aca="false">24517</f>
        <v>24517</v>
      </c>
      <c r="P8" s="69"/>
      <c r="Q8" s="58" t="s">
        <v>61</v>
      </c>
      <c r="R8" s="58" t="s">
        <v>61</v>
      </c>
      <c r="S8" s="58"/>
      <c r="T8" s="58"/>
      <c r="U8" s="415"/>
      <c r="V8" s="323"/>
      <c r="W8" s="323"/>
      <c r="X8" s="65" t="s">
        <v>90</v>
      </c>
      <c r="Y8" s="57" t="s">
        <v>78</v>
      </c>
      <c r="Z8" s="61"/>
      <c r="AA8" s="57" t="s">
        <v>91</v>
      </c>
      <c r="AB8" s="61" t="s">
        <v>92</v>
      </c>
      <c r="AC8" s="406"/>
      <c r="AD8" s="406"/>
      <c r="AE8" s="417"/>
      <c r="AF8" s="192"/>
      <c r="AG8" s="192"/>
      <c r="AH8" s="505"/>
      <c r="AI8" s="406"/>
      <c r="AJ8" s="406"/>
      <c r="AK8" s="323"/>
      <c r="AL8" s="323"/>
      <c r="AM8" s="323"/>
      <c r="AN8" s="448"/>
      <c r="AO8" s="61" t="n">
        <v>3000</v>
      </c>
      <c r="AP8" s="67"/>
      <c r="AQ8" s="67"/>
      <c r="AR8" s="62"/>
      <c r="AS8" s="68" t="n">
        <v>1487.6</v>
      </c>
      <c r="AT8" s="407"/>
      <c r="AU8" s="210" t="n">
        <v>4000</v>
      </c>
      <c r="AV8" s="416"/>
      <c r="AW8" s="411"/>
      <c r="AX8" s="411"/>
      <c r="AY8" s="299"/>
      <c r="AZ8" s="295"/>
    </row>
    <row r="9" customFormat="false" ht="12.95" hidden="false" customHeight="true" outlineLevel="0" collapsed="false">
      <c r="A9" s="323"/>
      <c r="B9" s="405"/>
      <c r="C9" s="406"/>
      <c r="D9" s="323"/>
      <c r="E9" s="406"/>
      <c r="F9" s="323"/>
      <c r="G9" s="405"/>
      <c r="H9" s="407"/>
      <c r="I9" s="323"/>
      <c r="J9" s="323"/>
      <c r="K9" s="323"/>
      <c r="L9" s="323"/>
      <c r="M9" s="414"/>
      <c r="N9" s="69"/>
      <c r="O9" s="406" t="n">
        <v>28517</v>
      </c>
      <c r="P9" s="69"/>
      <c r="Q9" s="58"/>
      <c r="R9" s="81" t="n">
        <v>4.2</v>
      </c>
      <c r="S9" s="58"/>
      <c r="T9" s="58"/>
      <c r="U9" s="415"/>
      <c r="V9" s="323"/>
      <c r="W9" s="323"/>
      <c r="X9" s="65"/>
      <c r="Y9" s="57" t="s">
        <v>90</v>
      </c>
      <c r="Z9" s="61"/>
      <c r="AA9" s="57" t="s">
        <v>90</v>
      </c>
      <c r="AB9" s="61" t="s">
        <v>93</v>
      </c>
      <c r="AC9" s="406"/>
      <c r="AD9" s="406"/>
      <c r="AE9" s="323"/>
      <c r="AF9" s="418"/>
      <c r="AG9" s="419"/>
      <c r="AH9" s="411"/>
      <c r="AI9" s="406"/>
      <c r="AJ9" s="406"/>
      <c r="AK9" s="323"/>
      <c r="AL9" s="323"/>
      <c r="AM9" s="323"/>
      <c r="AN9" s="448"/>
      <c r="AO9" s="61"/>
      <c r="AP9" s="67"/>
      <c r="AQ9" s="67"/>
      <c r="AR9" s="62"/>
      <c r="AS9" s="68"/>
      <c r="AT9" s="407"/>
      <c r="AU9" s="210"/>
      <c r="AV9" s="416"/>
      <c r="AW9" s="411"/>
      <c r="AX9" s="411"/>
      <c r="AY9" s="299"/>
      <c r="AZ9" s="295"/>
    </row>
    <row r="10" customFormat="false" ht="12.95" hidden="false" customHeight="true" outlineLevel="0" collapsed="false">
      <c r="A10" s="323"/>
      <c r="B10" s="405"/>
      <c r="C10" s="406" t="s">
        <v>10</v>
      </c>
      <c r="D10" s="323"/>
      <c r="E10" s="406" t="s">
        <v>95</v>
      </c>
      <c r="F10" s="323"/>
      <c r="G10" s="405" t="s">
        <v>41</v>
      </c>
      <c r="H10" s="407" t="s">
        <v>41</v>
      </c>
      <c r="I10" s="407" t="s">
        <v>41</v>
      </c>
      <c r="J10" s="407" t="s">
        <v>41</v>
      </c>
      <c r="K10" s="407" t="s">
        <v>41</v>
      </c>
      <c r="L10" s="407" t="s">
        <v>41</v>
      </c>
      <c r="M10" s="421" t="s">
        <v>41</v>
      </c>
      <c r="N10" s="407" t="s">
        <v>41</v>
      </c>
      <c r="O10" s="407" t="s">
        <v>41</v>
      </c>
      <c r="P10" s="407" t="s">
        <v>41</v>
      </c>
      <c r="Q10" s="58" t="s">
        <v>41</v>
      </c>
      <c r="R10" s="58" t="s">
        <v>41</v>
      </c>
      <c r="S10" s="58" t="s">
        <v>41</v>
      </c>
      <c r="T10" s="58" t="s">
        <v>41</v>
      </c>
      <c r="U10" s="420" t="s">
        <v>41</v>
      </c>
      <c r="V10" s="407" t="s">
        <v>41</v>
      </c>
      <c r="W10" s="407" t="s">
        <v>41</v>
      </c>
      <c r="X10" s="57" t="n">
        <v>153400</v>
      </c>
      <c r="Y10" s="57" t="n">
        <v>150400</v>
      </c>
      <c r="Z10" s="58" t="s">
        <v>41</v>
      </c>
      <c r="AA10" s="57"/>
      <c r="AB10" s="57" t="n">
        <v>72000</v>
      </c>
      <c r="AC10" s="407" t="s">
        <v>41</v>
      </c>
      <c r="AD10" s="407" t="s">
        <v>41</v>
      </c>
      <c r="AE10" s="407" t="s">
        <v>41</v>
      </c>
      <c r="AF10" s="421" t="s">
        <v>41</v>
      </c>
      <c r="AG10" s="420" t="s">
        <v>41</v>
      </c>
      <c r="AH10" s="407" t="s">
        <v>41</v>
      </c>
      <c r="AI10" s="407" t="s">
        <v>41</v>
      </c>
      <c r="AJ10" s="407" t="s">
        <v>41</v>
      </c>
      <c r="AK10" s="407" t="s">
        <v>41</v>
      </c>
      <c r="AL10" s="407" t="s">
        <v>41</v>
      </c>
      <c r="AM10" s="407" t="s">
        <v>41</v>
      </c>
      <c r="AN10" s="448" t="s">
        <v>95</v>
      </c>
      <c r="AO10" s="61" t="s">
        <v>41</v>
      </c>
      <c r="AP10" s="61" t="s">
        <v>41</v>
      </c>
      <c r="AQ10" s="67" t="s">
        <v>96</v>
      </c>
      <c r="AR10" s="62" t="s">
        <v>41</v>
      </c>
      <c r="AS10" s="61" t="s">
        <v>41</v>
      </c>
      <c r="AT10" s="61" t="s">
        <v>41</v>
      </c>
      <c r="AU10" s="61" t="s">
        <v>41</v>
      </c>
      <c r="AV10" s="416"/>
      <c r="AW10" s="411"/>
      <c r="AX10" s="411"/>
      <c r="AY10" s="299"/>
      <c r="AZ10" s="295" t="s">
        <v>97</v>
      </c>
    </row>
    <row r="11" customFormat="false" ht="12.95" hidden="false" customHeight="true" outlineLevel="0" collapsed="false">
      <c r="A11" s="323"/>
      <c r="B11" s="405"/>
      <c r="C11" s="406"/>
      <c r="D11" s="323"/>
      <c r="E11" s="406"/>
      <c r="F11" s="323"/>
      <c r="G11" s="405"/>
      <c r="H11" s="407"/>
      <c r="I11" s="323"/>
      <c r="J11" s="323"/>
      <c r="K11" s="323"/>
      <c r="L11" s="323"/>
      <c r="M11" s="414"/>
      <c r="N11" s="69" t="n">
        <v>1.03</v>
      </c>
      <c r="O11" s="422" t="n">
        <v>1.05</v>
      </c>
      <c r="P11" s="69" t="n">
        <v>1.02</v>
      </c>
      <c r="Q11" s="82" t="n">
        <v>1.02</v>
      </c>
      <c r="R11" s="83" t="n">
        <v>1.04</v>
      </c>
      <c r="S11" s="58"/>
      <c r="T11" s="82" t="n">
        <v>1.04</v>
      </c>
      <c r="U11" s="415"/>
      <c r="V11" s="323"/>
      <c r="W11" s="323"/>
      <c r="X11" s="58" t="s">
        <v>41</v>
      </c>
      <c r="Y11" s="58" t="s">
        <v>41</v>
      </c>
      <c r="Z11" s="58" t="s">
        <v>41</v>
      </c>
      <c r="AA11" s="57" t="s">
        <v>41</v>
      </c>
      <c r="AB11" s="84" t="s">
        <v>98</v>
      </c>
      <c r="AC11" s="406"/>
      <c r="AD11" s="406"/>
      <c r="AE11" s="323"/>
      <c r="AF11" s="418"/>
      <c r="AG11" s="419"/>
      <c r="AH11" s="411"/>
      <c r="AI11" s="406"/>
      <c r="AJ11" s="406"/>
      <c r="AK11" s="323"/>
      <c r="AL11" s="323"/>
      <c r="AM11" s="323"/>
      <c r="AN11" s="448"/>
      <c r="AO11" s="61"/>
      <c r="AP11" s="67"/>
      <c r="AQ11" s="67"/>
      <c r="AR11" s="62"/>
      <c r="AS11" s="87"/>
      <c r="AT11" s="325"/>
      <c r="AU11" s="180"/>
      <c r="AV11" s="416"/>
      <c r="AW11" s="411"/>
      <c r="AX11" s="411"/>
      <c r="AY11" s="299"/>
      <c r="AZ11" s="295" t="s">
        <v>41</v>
      </c>
    </row>
    <row r="12" customFormat="false" ht="12.95" hidden="false" customHeight="true" outlineLevel="0" collapsed="false">
      <c r="A12" s="188" t="s">
        <v>99</v>
      </c>
      <c r="B12" s="213"/>
      <c r="C12" s="551"/>
      <c r="D12" s="107"/>
      <c r="E12" s="107"/>
      <c r="F12" s="214" t="n">
        <f aca="false">AUG!F50</f>
        <v>-39353.1635996975</v>
      </c>
      <c r="G12" s="107" t="n">
        <f aca="false">AUG!G50</f>
        <v>61503</v>
      </c>
      <c r="H12" s="107" t="n">
        <f aca="false">AUG!H50</f>
        <v>728.31</v>
      </c>
      <c r="I12" s="107" t="n">
        <f aca="false">AUG!I50</f>
        <v>62231.31</v>
      </c>
      <c r="J12" s="107" t="n">
        <f aca="false">AUG!J50</f>
        <v>2261.07938240484</v>
      </c>
      <c r="K12" s="107" t="n">
        <f aca="false">AUG!K50</f>
        <v>64492.3793824048</v>
      </c>
      <c r="L12" s="107" t="n">
        <f aca="false">AUG!L50</f>
        <v>-938.005998197504</v>
      </c>
      <c r="M12" s="216" t="n">
        <f aca="false">AUG!M50</f>
        <v>37622.7</v>
      </c>
      <c r="N12" s="107" t="n">
        <f aca="false">AUG!N50</f>
        <v>146.9949705</v>
      </c>
      <c r="O12" s="107" t="n">
        <f aca="false">AUG!O50</f>
        <v>12541.9255</v>
      </c>
      <c r="P12" s="158" t="n">
        <f aca="false">AUG!P50</f>
        <v>7.32</v>
      </c>
      <c r="Q12" s="158"/>
      <c r="R12" s="158"/>
      <c r="S12" s="158"/>
      <c r="T12" s="158"/>
      <c r="U12" s="217"/>
      <c r="V12" s="107" t="n">
        <f aca="false">AUG!V50</f>
        <v>16531</v>
      </c>
      <c r="W12" s="107" t="n">
        <f aca="false">AUG!W50</f>
        <v>9803.9</v>
      </c>
      <c r="X12" s="107" t="n">
        <f aca="false">AUG!X50</f>
        <v>52938.2830355695</v>
      </c>
      <c r="Y12" s="177" t="n">
        <f aca="false">AUG!Y50</f>
        <v>51658.4530355695</v>
      </c>
      <c r="Z12" s="107" t="n">
        <f aca="false">AUG!Z45</f>
        <v>0</v>
      </c>
      <c r="AA12" s="177"/>
      <c r="AB12" s="177"/>
      <c r="AC12" s="107" t="n">
        <f aca="false">AUG!AC45</f>
        <v>0</v>
      </c>
      <c r="AD12" s="107" t="n">
        <f aca="false">AUG!AD45</f>
        <v>6848.7059941781</v>
      </c>
      <c r="AE12" s="107" t="n">
        <f aca="false">AUG!AE50</f>
        <v>27423</v>
      </c>
      <c r="AF12" s="216" t="n">
        <f aca="false">AUG!AF50</f>
        <v>260.1</v>
      </c>
      <c r="AG12" s="218" t="n">
        <f aca="false">AUG!AG50</f>
        <v>198.9</v>
      </c>
      <c r="AH12" s="107"/>
      <c r="AI12" s="107"/>
      <c r="AJ12" s="107"/>
      <c r="AK12" s="107" t="n">
        <f aca="false">AUG!AK50</f>
        <v>100646.4576015</v>
      </c>
      <c r="AL12" s="107" t="n">
        <f aca="false">AUG!AL50</f>
        <v>3199.08538060234</v>
      </c>
      <c r="AM12" s="107" t="n">
        <f aca="false">AUG!AM50</f>
        <v>103845.542982102</v>
      </c>
      <c r="AN12" s="220"/>
      <c r="AO12" s="215"/>
      <c r="AP12" s="136"/>
      <c r="AQ12" s="136" t="n">
        <f aca="false">AUG!AQ51</f>
        <v>945.374503875825</v>
      </c>
      <c r="AR12" s="136" t="n">
        <f aca="false">AUG!AR50</f>
        <v>3024.9425</v>
      </c>
      <c r="AS12" s="215" t="n">
        <f aca="false">AUG!AS50</f>
        <v>492</v>
      </c>
      <c r="AT12" s="215" t="n">
        <f aca="false">AUG!AT50</f>
        <v>0</v>
      </c>
      <c r="AU12" s="136" t="n">
        <f aca="false">AUG!AU50</f>
        <v>381.125</v>
      </c>
      <c r="AV12" s="222"/>
      <c r="AW12" s="215"/>
      <c r="AX12" s="215"/>
      <c r="AY12" s="299"/>
      <c r="AZ12" s="331"/>
    </row>
    <row r="13" s="230" customFormat="true" ht="12.95" hidden="false" customHeight="true" outlineLevel="0" collapsed="false">
      <c r="A13" s="225" t="s">
        <v>100</v>
      </c>
      <c r="B13" s="106" t="n">
        <f aca="false">AUG!B45</f>
        <v>6882.92</v>
      </c>
      <c r="C13" s="107" t="n">
        <f aca="false">AUG!C45</f>
        <v>225110</v>
      </c>
      <c r="D13" s="107" t="n">
        <f aca="false">AUG!D54</f>
        <v>-68575</v>
      </c>
      <c r="E13" s="107" t="n">
        <f aca="false">AUG!E54</f>
        <v>73110</v>
      </c>
      <c r="F13" s="214" t="n">
        <f aca="false">AUG!F53</f>
        <v>-34535.4171918326</v>
      </c>
      <c r="G13" s="107" t="n">
        <f aca="false">AUG!G53</f>
        <v>73567</v>
      </c>
      <c r="H13" s="107" t="n">
        <f aca="false">AUG!H53</f>
        <v>1210.39</v>
      </c>
      <c r="I13" s="107" t="n">
        <f aca="false">AUG!I53</f>
        <v>74776.77</v>
      </c>
      <c r="J13" s="107" t="n">
        <f aca="false">AUG!J53</f>
        <v>7155.26722460297</v>
      </c>
      <c r="K13" s="107" t="n">
        <f aca="false">AUG!K53</f>
        <v>81932.027224603</v>
      </c>
      <c r="L13" s="107" t="n">
        <f aca="false">AUG!L53</f>
        <v>3359.48040966738</v>
      </c>
      <c r="M13" s="216" t="n">
        <f aca="false">AUG!M53</f>
        <v>38411.4</v>
      </c>
      <c r="N13" s="107" t="n">
        <f aca="false">AUG!N53</f>
        <v>146.9949705</v>
      </c>
      <c r="O13" s="107" t="n">
        <f aca="false">AUG!O53</f>
        <v>12541.9255</v>
      </c>
      <c r="P13" s="158"/>
      <c r="Q13" s="215" t="n">
        <f aca="false">AUG!Q53</f>
        <v>654.982102952394</v>
      </c>
      <c r="R13" s="215" t="n">
        <f aca="false">AUG!R53</f>
        <v>832.95427952</v>
      </c>
      <c r="S13" s="215" t="n">
        <f aca="false">AUG!S53</f>
        <v>189.45273936</v>
      </c>
      <c r="T13" s="215" t="n">
        <f aca="false">AUG!T53</f>
        <v>266.40258112</v>
      </c>
      <c r="U13" s="316" t="n">
        <f aca="false">AUG!U53</f>
        <v>27.7983443318626</v>
      </c>
      <c r="V13" s="107" t="n">
        <f aca="false">AUG!V53</f>
        <v>22378</v>
      </c>
      <c r="W13" s="107" t="n">
        <f aca="false">AUG!W53</f>
        <v>9863.4</v>
      </c>
      <c r="X13" s="107" t="n">
        <f aca="false">AUG!X53</f>
        <v>59009.9119822157</v>
      </c>
      <c r="Y13" s="177" t="n">
        <f aca="false">AUG!Y53</f>
        <v>57527.2849100972</v>
      </c>
      <c r="Z13" s="107"/>
      <c r="AA13" s="177"/>
      <c r="AB13" s="107"/>
      <c r="AC13" s="107"/>
      <c r="AD13" s="107"/>
      <c r="AE13" s="107" t="n">
        <f aca="false">AUG!AE53</f>
        <v>0</v>
      </c>
      <c r="AF13" s="98"/>
      <c r="AG13" s="99"/>
      <c r="AH13" s="107" t="n">
        <f aca="false">AUG!AH53</f>
        <v>14601</v>
      </c>
      <c r="AI13" s="107" t="n">
        <f aca="false">AUG!AI53</f>
        <v>6793.25787748929</v>
      </c>
      <c r="AJ13" s="107" t="n">
        <f aca="false">AUG!AJ53</f>
        <v>33</v>
      </c>
      <c r="AK13" s="107" t="n">
        <f aca="false">AUG!AK53</f>
        <v>112671.6576015</v>
      </c>
      <c r="AL13" s="107" t="n">
        <f aca="false">AUG!AL53</f>
        <v>3795.78681493559</v>
      </c>
      <c r="AM13" s="107" t="n">
        <f aca="false">AUG!AM53</f>
        <v>116467.444416436</v>
      </c>
      <c r="AN13" s="220" t="n">
        <f aca="false">AUG!AN54</f>
        <v>11712.1708</v>
      </c>
      <c r="AO13" s="215" t="n">
        <f aca="false">AUG!AO53</f>
        <v>1482.62707211854</v>
      </c>
      <c r="AP13" s="136"/>
      <c r="AQ13" s="136" t="n">
        <f aca="false">AUG!AQ54</f>
        <v>945.374503875825</v>
      </c>
      <c r="AR13" s="158"/>
      <c r="AS13" s="215" t="n">
        <f aca="false">AUG!AS53</f>
        <v>0</v>
      </c>
      <c r="AT13" s="215" t="n">
        <f aca="false">AUG!AT53</f>
        <v>0</v>
      </c>
      <c r="AU13" s="136"/>
      <c r="AV13" s="222" t="n">
        <f aca="false">AUG!AV53</f>
        <v>3.78</v>
      </c>
      <c r="AW13" s="215"/>
      <c r="AX13" s="215"/>
      <c r="AY13" s="302"/>
      <c r="AZ13" s="338" t="n">
        <f aca="false">AUG!AZ53</f>
        <v>2125.90501778426</v>
      </c>
    </row>
    <row r="14" customFormat="false" ht="3" hidden="false" customHeight="true" outlineLevel="0" collapsed="false">
      <c r="A14" s="231"/>
      <c r="B14" s="232"/>
      <c r="C14" s="233"/>
      <c r="D14" s="234"/>
      <c r="E14" s="233"/>
      <c r="F14" s="235"/>
      <c r="G14" s="234"/>
      <c r="H14" s="236"/>
      <c r="I14" s="234"/>
      <c r="J14" s="234"/>
      <c r="K14" s="234"/>
      <c r="L14" s="234"/>
      <c r="M14" s="237"/>
      <c r="N14" s="234"/>
      <c r="O14" s="234"/>
      <c r="P14" s="238"/>
      <c r="Q14" s="238"/>
      <c r="R14" s="238"/>
      <c r="S14" s="238"/>
      <c r="T14" s="238"/>
      <c r="U14" s="239"/>
      <c r="V14" s="234"/>
      <c r="W14" s="234"/>
      <c r="X14" s="234"/>
      <c r="Y14" s="234"/>
      <c r="Z14" s="233"/>
      <c r="AA14" s="234"/>
      <c r="AB14" s="233"/>
      <c r="AC14" s="233"/>
      <c r="AD14" s="233"/>
      <c r="AE14" s="234"/>
      <c r="AF14" s="120"/>
      <c r="AG14" s="121"/>
      <c r="AH14" s="234"/>
      <c r="AI14" s="233"/>
      <c r="AJ14" s="233"/>
      <c r="AK14" s="234"/>
      <c r="AL14" s="234"/>
      <c r="AM14" s="234"/>
      <c r="AN14" s="242"/>
      <c r="AO14" s="243"/>
      <c r="AP14" s="240"/>
      <c r="AQ14" s="238" t="s">
        <v>140</v>
      </c>
      <c r="AR14" s="238"/>
      <c r="AS14" s="238" t="s">
        <v>140</v>
      </c>
      <c r="AT14" s="238" t="s">
        <v>140</v>
      </c>
      <c r="AU14" s="240" t="s">
        <v>140</v>
      </c>
      <c r="AV14" s="245"/>
      <c r="AW14" s="243" t="n">
        <v>0</v>
      </c>
      <c r="AX14" s="243"/>
      <c r="AY14" s="257"/>
      <c r="AZ14" s="317"/>
    </row>
    <row r="15" customFormat="false" ht="12.95" hidden="false" customHeight="true" outlineLevel="0" collapsed="false">
      <c r="A15" s="183" t="n">
        <v>1</v>
      </c>
      <c r="B15" s="106" t="n">
        <v>6882.57</v>
      </c>
      <c r="C15" s="107" t="n">
        <v>224023</v>
      </c>
      <c r="D15" s="215" t="n">
        <f aca="false">C15-C13</f>
        <v>-1087</v>
      </c>
      <c r="E15" s="107" t="n">
        <f aca="false">C15-151978</f>
        <v>72045</v>
      </c>
      <c r="F15" s="246" t="n">
        <f aca="false">D15/$D$2</f>
        <v>-548.021174691202</v>
      </c>
      <c r="G15" s="135" t="n">
        <v>64</v>
      </c>
      <c r="H15" s="247" t="n">
        <v>0</v>
      </c>
      <c r="I15" s="135" t="n">
        <f aca="false">G15+H15</f>
        <v>64</v>
      </c>
      <c r="J15" s="136" t="n">
        <f aca="false">IF(L15&gt;0,L15,0)</f>
        <v>44.9788253087976</v>
      </c>
      <c r="K15" s="135" t="n">
        <f aca="false">I15+J15</f>
        <v>108.978825308798</v>
      </c>
      <c r="L15" s="135" t="n">
        <f aca="false">F15-(I15-AK15)</f>
        <v>44.9788253087976</v>
      </c>
      <c r="M15" s="248" t="n">
        <v>228</v>
      </c>
      <c r="N15" s="158" t="n">
        <f aca="false">(1.8299*1.03)/2</f>
        <v>0.9423985</v>
      </c>
      <c r="O15" s="135" t="n">
        <f aca="false">23*1.05</f>
        <v>24.15</v>
      </c>
      <c r="P15" s="158" t="n">
        <v>0</v>
      </c>
      <c r="Q15" s="336" t="n">
        <f aca="false">1603800/325851/1.9835*1.02</f>
        <v>2.53104063670424</v>
      </c>
      <c r="R15" s="336" t="n">
        <v>4.2</v>
      </c>
      <c r="S15" s="131" t="n">
        <f aca="false">((7*1.04)-T15)-4.2</f>
        <v>1.73476</v>
      </c>
      <c r="T15" s="131" t="n">
        <f aca="false">1.2935*1.04</f>
        <v>1.34524</v>
      </c>
      <c r="U15" s="355" t="n">
        <v>0</v>
      </c>
      <c r="V15" s="135" t="n">
        <v>132</v>
      </c>
      <c r="W15" s="135" t="n">
        <v>65</v>
      </c>
      <c r="X15" s="135" t="n">
        <f aca="false">M15-N15-O15-P15-Q15-R15-S15-T15-U15+V15+W15-AT15+AR15</f>
        <v>390.096560863296</v>
      </c>
      <c r="Y15" s="135" t="n">
        <f aca="false">X15-AO15</f>
        <v>383.096560863296</v>
      </c>
      <c r="Z15" s="107"/>
      <c r="AA15" s="135"/>
      <c r="AB15" s="107"/>
      <c r="AC15" s="107" t="n">
        <f aca="false">AS15-AS15</f>
        <v>0</v>
      </c>
      <c r="AD15" s="215" t="n">
        <f aca="false">AD12+AP15+AS15</f>
        <v>6520.1783926781</v>
      </c>
      <c r="AE15" s="135" t="n">
        <v>183</v>
      </c>
      <c r="AF15" s="137" t="n">
        <v>1.7</v>
      </c>
      <c r="AG15" s="138" t="n">
        <v>1.3</v>
      </c>
      <c r="AH15" s="135" t="n">
        <v>49</v>
      </c>
      <c r="AI15" s="107" t="n">
        <f aca="false">AI13-AH15</f>
        <v>6744.25787748929</v>
      </c>
      <c r="AJ15" s="107"/>
      <c r="AK15" s="134" t="n">
        <f aca="false">N15+O15+P15+Q15+R15+S15+T15+U15+X15+AE15+AH15-AR15</f>
        <v>657</v>
      </c>
      <c r="AL15" s="135" t="n">
        <f aca="false">IF(L15&lt;0,L15*-1,0)</f>
        <v>0</v>
      </c>
      <c r="AM15" s="135" t="n">
        <f aca="false">AK15+AL15</f>
        <v>657</v>
      </c>
      <c r="AN15" s="220"/>
      <c r="AO15" s="215" t="n">
        <v>7</v>
      </c>
      <c r="AP15" s="97" t="n">
        <f aca="false">(I15-AO15)-Q15-R15-Y15-AF15</f>
        <v>-334.5276015</v>
      </c>
      <c r="AQ15" s="158" t="n">
        <f aca="false">37.06*(Z15*1.9835+AC15*1.9835)/E15</f>
        <v>0</v>
      </c>
      <c r="AR15" s="158"/>
      <c r="AS15" s="135" t="n">
        <v>6</v>
      </c>
      <c r="AU15" s="179" t="n">
        <f aca="false">O15</f>
        <v>24.15</v>
      </c>
      <c r="AV15" s="222" t="n">
        <v>0.18</v>
      </c>
      <c r="AW15" s="215" t="n">
        <v>88</v>
      </c>
      <c r="AX15" s="215" t="n">
        <v>56</v>
      </c>
      <c r="AY15" s="299"/>
      <c r="AZ15" s="250" t="n">
        <f aca="false">SUM(N15,P15:U15)</f>
        <v>10.7534391367042</v>
      </c>
    </row>
    <row r="16" customFormat="false" ht="12.95" hidden="false" customHeight="true" outlineLevel="0" collapsed="false">
      <c r="A16" s="183" t="n">
        <v>2</v>
      </c>
      <c r="B16" s="106" t="n">
        <v>6882.22</v>
      </c>
      <c r="C16" s="107" t="n">
        <v>222936</v>
      </c>
      <c r="D16" s="215" t="n">
        <f aca="false">C16-C15</f>
        <v>-1087</v>
      </c>
      <c r="E16" s="107" t="n">
        <f aca="false">C16-151978</f>
        <v>70958</v>
      </c>
      <c r="F16" s="246" t="n">
        <f aca="false">D16/$D$2</f>
        <v>-548.021174691202</v>
      </c>
      <c r="G16" s="135" t="n">
        <v>77</v>
      </c>
      <c r="H16" s="247" t="n">
        <v>0</v>
      </c>
      <c r="I16" s="135" t="n">
        <f aca="false">G16+H16</f>
        <v>77</v>
      </c>
      <c r="J16" s="136" t="n">
        <f aca="false">IF(L16&gt;0,L16,0)</f>
        <v>0</v>
      </c>
      <c r="K16" s="135" t="n">
        <f aca="false">I16+J16</f>
        <v>77</v>
      </c>
      <c r="L16" s="135" t="n">
        <f aca="false">F16-(I16-AK16)</f>
        <v>-22.0211746912024</v>
      </c>
      <c r="M16" s="248" t="n">
        <v>186</v>
      </c>
      <c r="N16" s="158" t="n">
        <f aca="false">(1.8299*1.03)/2</f>
        <v>0.9423985</v>
      </c>
      <c r="O16" s="135" t="n">
        <f aca="false">13*1.05</f>
        <v>13.65</v>
      </c>
      <c r="P16" s="158" t="n">
        <v>0</v>
      </c>
      <c r="Q16" s="336" t="n">
        <f aca="false">1427400/325851/1.9835*1.02</f>
        <v>2.25265457340793</v>
      </c>
      <c r="R16" s="336" t="n">
        <v>4.2</v>
      </c>
      <c r="S16" s="131" t="n">
        <f aca="false">((7*1.04)-T16)-4.2</f>
        <v>1.73476</v>
      </c>
      <c r="T16" s="131" t="n">
        <f aca="false">1.2935*1.04</f>
        <v>1.34524</v>
      </c>
      <c r="U16" s="355" t="n">
        <v>0</v>
      </c>
      <c r="V16" s="135" t="n">
        <v>150</v>
      </c>
      <c r="W16" s="135" t="n">
        <v>65</v>
      </c>
      <c r="X16" s="135" t="n">
        <f aca="false">M16-N16-O16-P16-Q16-R16-S16-T16-U16+V16+W16-AT16+AR16</f>
        <v>376.874946926592</v>
      </c>
      <c r="Y16" s="135" t="n">
        <f aca="false">X16-AO16</f>
        <v>369.874946926592</v>
      </c>
      <c r="Z16" s="107"/>
      <c r="AA16" s="135"/>
      <c r="AB16" s="107"/>
      <c r="AC16" s="107" t="n">
        <f aca="false">AS16-AS16</f>
        <v>0</v>
      </c>
      <c r="AD16" s="215" t="n">
        <f aca="false">AD15+AP16+AS16</f>
        <v>6218.1507911781</v>
      </c>
      <c r="AE16" s="135" t="n">
        <v>153</v>
      </c>
      <c r="AF16" s="137" t="n">
        <v>1.7</v>
      </c>
      <c r="AG16" s="138" t="n">
        <v>1.3</v>
      </c>
      <c r="AH16" s="135" t="n">
        <v>49</v>
      </c>
      <c r="AI16" s="107" t="n">
        <f aca="false">AI15-AH16</f>
        <v>6695.25787748929</v>
      </c>
      <c r="AJ16" s="107"/>
      <c r="AK16" s="134" t="n">
        <f aca="false">N16+O16+P16+Q16+R16+S16+T16+U16+X16+AE16+AH16-AR16</f>
        <v>603</v>
      </c>
      <c r="AL16" s="135" t="n">
        <f aca="false">IF(L16&lt;0,L16*-1,0)</f>
        <v>22.0211746912024</v>
      </c>
      <c r="AM16" s="135" t="n">
        <f aca="false">AK16+AL16</f>
        <v>625.021174691202</v>
      </c>
      <c r="AN16" s="220"/>
      <c r="AO16" s="215" t="n">
        <v>7</v>
      </c>
      <c r="AP16" s="97" t="n">
        <f aca="false">(I16-AO16)-Q16-R16-Y16-AF16</f>
        <v>-308.0276015</v>
      </c>
      <c r="AQ16" s="158" t="n">
        <f aca="false">37.06*(Z16*1.9835+AC16*1.9835)/E16</f>
        <v>0</v>
      </c>
      <c r="AR16" s="158"/>
      <c r="AS16" s="135" t="n">
        <v>6</v>
      </c>
      <c r="AU16" s="179" t="n">
        <f aca="false">O16</f>
        <v>13.65</v>
      </c>
      <c r="AV16" s="222" t="n">
        <v>0</v>
      </c>
      <c r="AW16" s="215" t="n">
        <v>86</v>
      </c>
      <c r="AX16" s="215" t="n">
        <v>54</v>
      </c>
      <c r="AY16" s="299"/>
      <c r="AZ16" s="250" t="n">
        <f aca="false">SUM(N16,P16:U16)</f>
        <v>10.4750530734079</v>
      </c>
    </row>
    <row r="17" customFormat="false" ht="12.95" hidden="false" customHeight="true" outlineLevel="0" collapsed="false">
      <c r="A17" s="183" t="n">
        <v>3</v>
      </c>
      <c r="B17" s="106" t="n">
        <v>6881.83</v>
      </c>
      <c r="C17" s="107" t="n">
        <v>221701</v>
      </c>
      <c r="D17" s="215" t="n">
        <f aca="false">C17-C16</f>
        <v>-1235</v>
      </c>
      <c r="E17" s="107" t="n">
        <f aca="false">C17-151978</f>
        <v>69723</v>
      </c>
      <c r="F17" s="246" t="n">
        <f aca="false">D17/$D$2</f>
        <v>-622.636753214016</v>
      </c>
      <c r="G17" s="135" t="n">
        <v>78</v>
      </c>
      <c r="H17" s="247" t="n">
        <v>0</v>
      </c>
      <c r="I17" s="135" t="n">
        <f aca="false">G17+H17</f>
        <v>78</v>
      </c>
      <c r="J17" s="136" t="n">
        <f aca="false">IF(L17&gt;0,L17,0)</f>
        <v>0</v>
      </c>
      <c r="K17" s="135" t="n">
        <f aca="false">I17+J17</f>
        <v>78</v>
      </c>
      <c r="L17" s="135" t="n">
        <f aca="false">F17-(I17-AK17)</f>
        <v>-19.6367532140156</v>
      </c>
      <c r="M17" s="248" t="n">
        <v>222</v>
      </c>
      <c r="N17" s="158" t="n">
        <f aca="false">(1.8299*1.03)/2</f>
        <v>0.9423985</v>
      </c>
      <c r="O17" s="135" t="n">
        <f aca="false">21*1.05</f>
        <v>22.05</v>
      </c>
      <c r="P17" s="158" t="n">
        <v>0</v>
      </c>
      <c r="Q17" s="336" t="n">
        <f aca="false">2006700/325851/1.9835*1.02</f>
        <v>3.16687819283851</v>
      </c>
      <c r="R17" s="336" t="n">
        <v>4.2</v>
      </c>
      <c r="S17" s="131" t="n">
        <f aca="false">((5.5*1.04)-T17)-4.2</f>
        <v>0.17476</v>
      </c>
      <c r="T17" s="131" t="n">
        <f aca="false">1.2935*1.04</f>
        <v>1.34524</v>
      </c>
      <c r="U17" s="355" t="n">
        <v>0</v>
      </c>
      <c r="V17" s="135" t="n">
        <v>149</v>
      </c>
      <c r="W17" s="135" t="n">
        <v>66</v>
      </c>
      <c r="X17" s="135" t="n">
        <f aca="false">M17-N17-O17-P17-Q17-R17-S17-T17-U17+V17+W17-AT17+AR17</f>
        <v>405.120723307162</v>
      </c>
      <c r="Y17" s="135" t="n">
        <f aca="false">X17-AO17</f>
        <v>398.120723307161</v>
      </c>
      <c r="Z17" s="107"/>
      <c r="AA17" s="135"/>
      <c r="AB17" s="107"/>
      <c r="AC17" s="107" t="n">
        <f aca="false">AS17-AS17</f>
        <v>0</v>
      </c>
      <c r="AD17" s="215" t="n">
        <f aca="false">AD16+AP17+AS17</f>
        <v>5887.9631896781</v>
      </c>
      <c r="AE17" s="135" t="n">
        <v>195</v>
      </c>
      <c r="AF17" s="137" t="n">
        <v>1.7</v>
      </c>
      <c r="AG17" s="138" t="n">
        <v>1.3</v>
      </c>
      <c r="AH17" s="135" t="n">
        <v>49</v>
      </c>
      <c r="AI17" s="107" t="n">
        <f aca="false">AI16-AH17</f>
        <v>6646.25787748929</v>
      </c>
      <c r="AJ17" s="107"/>
      <c r="AK17" s="134" t="n">
        <f aca="false">N17+O17+P17+Q17+R17+S17+T17+U17+X17+AE17+AH17-AR17</f>
        <v>681</v>
      </c>
      <c r="AL17" s="135" t="n">
        <f aca="false">IF(L17&lt;0,L17*-1,0)</f>
        <v>19.6367532140156</v>
      </c>
      <c r="AM17" s="135" t="n">
        <f aca="false">AK17+AL17</f>
        <v>700.636753214016</v>
      </c>
      <c r="AN17" s="220"/>
      <c r="AO17" s="215" t="n">
        <v>7</v>
      </c>
      <c r="AP17" s="97" t="n">
        <f aca="false">(I17-AO17)-Q17-R17-Y17-AF17</f>
        <v>-336.1876015</v>
      </c>
      <c r="AQ17" s="158" t="n">
        <f aca="false">37.06*(Z17*1.9835+AC17*1.9835)/E17</f>
        <v>0</v>
      </c>
      <c r="AR17" s="158"/>
      <c r="AS17" s="135" t="n">
        <v>6</v>
      </c>
      <c r="AU17" s="179" t="n">
        <f aca="false">O17</f>
        <v>22.05</v>
      </c>
      <c r="AV17" s="222" t="n">
        <v>0</v>
      </c>
      <c r="AW17" s="215" t="n">
        <v>87</v>
      </c>
      <c r="AX17" s="215" t="n">
        <v>54</v>
      </c>
      <c r="AY17" s="299"/>
      <c r="AZ17" s="250" t="n">
        <f aca="false">SUM(N17,P17:U17)</f>
        <v>9.82927669283851</v>
      </c>
    </row>
    <row r="18" customFormat="false" ht="12.95" hidden="false" customHeight="true" outlineLevel="0" collapsed="false">
      <c r="A18" s="183" t="n">
        <v>4</v>
      </c>
      <c r="B18" s="106" t="n">
        <v>6881.4</v>
      </c>
      <c r="C18" s="107" t="n">
        <v>220414</v>
      </c>
      <c r="D18" s="215" t="n">
        <f aca="false">C18-C17</f>
        <v>-1287</v>
      </c>
      <c r="E18" s="107" t="n">
        <f aca="false">C18-151978</f>
        <v>68436</v>
      </c>
      <c r="F18" s="246" t="n">
        <f aca="false">D18/$D$2</f>
        <v>-648.853037559869</v>
      </c>
      <c r="G18" s="135" t="n">
        <v>66</v>
      </c>
      <c r="H18" s="247" t="n">
        <v>0</v>
      </c>
      <c r="I18" s="135" t="n">
        <f aca="false">G18+H18</f>
        <v>66</v>
      </c>
      <c r="J18" s="136" t="n">
        <f aca="false">IF(L18&gt;0,L18,0)</f>
        <v>0</v>
      </c>
      <c r="K18" s="135" t="n">
        <f aca="false">I18+J18</f>
        <v>66</v>
      </c>
      <c r="L18" s="135" t="n">
        <f aca="false">F18-(I18-AK18)</f>
        <v>-18.8530375598689</v>
      </c>
      <c r="M18" s="248" t="n">
        <v>221</v>
      </c>
      <c r="N18" s="158" t="n">
        <f aca="false">(1.8299*1.03)/2</f>
        <v>0.9423985</v>
      </c>
      <c r="O18" s="135" t="n">
        <f aca="false">39*1.05</f>
        <v>40.95</v>
      </c>
      <c r="P18" s="158" t="n">
        <v>0</v>
      </c>
      <c r="Q18" s="336" t="n">
        <f aca="false">1608500/325851/1.9835*1.02</f>
        <v>2.53845795244966</v>
      </c>
      <c r="R18" s="131" t="n">
        <v>4.2</v>
      </c>
      <c r="S18" s="131" t="n">
        <v>0</v>
      </c>
      <c r="T18" s="131" t="n">
        <f aca="false">1.2935*1.04</f>
        <v>1.34524</v>
      </c>
      <c r="U18" s="355" t="n">
        <v>0</v>
      </c>
      <c r="V18" s="135" t="n">
        <v>149</v>
      </c>
      <c r="W18" s="135" t="n">
        <v>69</v>
      </c>
      <c r="X18" s="135" t="n">
        <f aca="false">M18-N18-O18-P18-Q18-R18-S18-T18-U18+V18+W18-AT18+AR18</f>
        <v>389.02390354755</v>
      </c>
      <c r="Y18" s="135" t="n">
        <f aca="false">X18-AO18</f>
        <v>382.02390354755</v>
      </c>
      <c r="Z18" s="107"/>
      <c r="AA18" s="135"/>
      <c r="AB18" s="107"/>
      <c r="AC18" s="107" t="n">
        <f aca="false">AS18-AS18</f>
        <v>0</v>
      </c>
      <c r="AD18" s="215" t="n">
        <f aca="false">AD17+AP18+AS18</f>
        <v>5562.5008281781</v>
      </c>
      <c r="AE18" s="135" t="n">
        <v>207</v>
      </c>
      <c r="AF18" s="137" t="n">
        <v>1.7</v>
      </c>
      <c r="AG18" s="138" t="n">
        <v>1.3</v>
      </c>
      <c r="AH18" s="135" t="n">
        <v>50</v>
      </c>
      <c r="AI18" s="107" t="n">
        <f aca="false">AI17-AH18</f>
        <v>6596.25787748929</v>
      </c>
      <c r="AJ18" s="107"/>
      <c r="AK18" s="134" t="n">
        <f aca="false">N18+O18+P18+Q18+R18+S18+T18+U18+X18+AE18+AH18-AR18</f>
        <v>696</v>
      </c>
      <c r="AL18" s="135" t="n">
        <f aca="false">IF(L18&lt;0,L18*-1,0)</f>
        <v>18.8530375598689</v>
      </c>
      <c r="AM18" s="135" t="n">
        <f aca="false">AK18+AL18</f>
        <v>714.853037559869</v>
      </c>
      <c r="AN18" s="220"/>
      <c r="AO18" s="215" t="n">
        <v>7</v>
      </c>
      <c r="AP18" s="97" t="n">
        <f aca="false">(I18-AO18)-Q18-R18-Y18-AF18</f>
        <v>-331.4623615</v>
      </c>
      <c r="AQ18" s="158" t="n">
        <f aca="false">37.06*(Z18*1.9835+AC18*1.9835)/E18</f>
        <v>0</v>
      </c>
      <c r="AR18" s="158"/>
      <c r="AS18" s="135" t="n">
        <v>6</v>
      </c>
      <c r="AU18" s="179" t="n">
        <f aca="false">O18</f>
        <v>40.95</v>
      </c>
      <c r="AV18" s="222" t="n">
        <v>0</v>
      </c>
      <c r="AW18" s="215" t="n">
        <v>88</v>
      </c>
      <c r="AX18" s="215" t="n">
        <v>53</v>
      </c>
      <c r="AY18" s="299"/>
      <c r="AZ18" s="250" t="n">
        <f aca="false">SUM(N18,P18:U18)</f>
        <v>9.02609645244966</v>
      </c>
    </row>
    <row r="19" customFormat="false" ht="12.95" hidden="false" customHeight="true" outlineLevel="0" collapsed="false">
      <c r="A19" s="183" t="n">
        <v>5</v>
      </c>
      <c r="B19" s="106" t="n">
        <v>6881.01</v>
      </c>
      <c r="C19" s="107" t="n">
        <v>219219</v>
      </c>
      <c r="D19" s="215" t="n">
        <f aca="false">C19-C18</f>
        <v>-1195</v>
      </c>
      <c r="E19" s="107" t="n">
        <f aca="false">C19-151978</f>
        <v>67241</v>
      </c>
      <c r="F19" s="246" t="n">
        <f aca="false">D19/$D$2</f>
        <v>-602.470380640282</v>
      </c>
      <c r="G19" s="135" t="n">
        <v>68</v>
      </c>
      <c r="H19" s="247" t="n">
        <v>0</v>
      </c>
      <c r="I19" s="135" t="n">
        <f aca="false">G19+H19</f>
        <v>68</v>
      </c>
      <c r="J19" s="136" t="n">
        <f aca="false">IF(L19&gt;0,L19,0)</f>
        <v>0</v>
      </c>
      <c r="K19" s="135" t="n">
        <f aca="false">I19+J19</f>
        <v>68</v>
      </c>
      <c r="L19" s="135" t="n">
        <f aca="false">F19-(I19-AK19)</f>
        <v>-10.4703806402823</v>
      </c>
      <c r="M19" s="248" t="n">
        <v>192</v>
      </c>
      <c r="N19" s="158" t="n">
        <f aca="false">(1.8299*1.03)/2</f>
        <v>0.9423985</v>
      </c>
      <c r="O19" s="135" t="n">
        <f aca="false">33*1.05</f>
        <v>34.65</v>
      </c>
      <c r="P19" s="158" t="n">
        <v>0</v>
      </c>
      <c r="Q19" s="336" t="n">
        <f aca="false">1716500/325851/1.9835*1.02</f>
        <v>2.70889839936577</v>
      </c>
      <c r="R19" s="131" t="n">
        <f aca="false">(5*1.04)-T19</f>
        <v>3.744312</v>
      </c>
      <c r="S19" s="131" t="n">
        <v>0</v>
      </c>
      <c r="T19" s="131" t="n">
        <f aca="false">1.3997*1.04</f>
        <v>1.455688</v>
      </c>
      <c r="U19" s="355" t="n">
        <v>0</v>
      </c>
      <c r="V19" s="135" t="n">
        <v>149</v>
      </c>
      <c r="W19" s="135" t="n">
        <v>68</v>
      </c>
      <c r="X19" s="135" t="n">
        <f aca="false">M19-N19-O19-P19-Q19-R19-S19-T19-U19+V19+W19-AT19+AR19</f>
        <v>365.498703100634</v>
      </c>
      <c r="Y19" s="135" t="n">
        <f aca="false">X19-AO19</f>
        <v>362.065703100634</v>
      </c>
      <c r="Z19" s="107"/>
      <c r="AA19" s="135"/>
      <c r="AB19" s="107"/>
      <c r="AC19" s="107" t="n">
        <f aca="false">AS19-AS19</f>
        <v>0</v>
      </c>
      <c r="AD19" s="215" t="n">
        <f aca="false">AD18+AP19+AS19</f>
        <v>5262.8489146781</v>
      </c>
      <c r="AE19" s="135" t="n">
        <v>201</v>
      </c>
      <c r="AF19" s="137" t="n">
        <v>1.7</v>
      </c>
      <c r="AG19" s="138" t="n">
        <v>1.3</v>
      </c>
      <c r="AH19" s="135" t="n">
        <v>50</v>
      </c>
      <c r="AI19" s="107" t="n">
        <f aca="false">AI18-AH19</f>
        <v>6546.25787748929</v>
      </c>
      <c r="AJ19" s="107"/>
      <c r="AK19" s="134" t="n">
        <f aca="false">N19+O19+P19+Q19+R19+S19+T19+U19+X19+AE19+AH19-AR19</f>
        <v>660</v>
      </c>
      <c r="AL19" s="135" t="n">
        <f aca="false">IF(L19&lt;0,L19*-1,0)</f>
        <v>10.4703806402823</v>
      </c>
      <c r="AM19" s="135" t="n">
        <f aca="false">AK19+AL19</f>
        <v>670.470380640282</v>
      </c>
      <c r="AN19" s="220"/>
      <c r="AO19" s="215" t="n">
        <v>3.433</v>
      </c>
      <c r="AP19" s="97" t="n">
        <f aca="false">(I19-AO19)-Q19-R19-Y19-AF19</f>
        <v>-305.6519135</v>
      </c>
      <c r="AQ19" s="158" t="n">
        <f aca="false">37.06*(Z19*1.9835+AC19*1.9835)/E19</f>
        <v>0</v>
      </c>
      <c r="AR19" s="158"/>
      <c r="AS19" s="135" t="n">
        <v>6</v>
      </c>
      <c r="AU19" s="179" t="n">
        <f aca="false">O19</f>
        <v>34.65</v>
      </c>
      <c r="AV19" s="222" t="n">
        <v>0</v>
      </c>
      <c r="AW19" s="215" t="n">
        <v>89</v>
      </c>
      <c r="AX19" s="215" t="n">
        <v>50</v>
      </c>
      <c r="AY19" s="299"/>
      <c r="AZ19" s="250" t="n">
        <f aca="false">SUM(N19,P19:U19)</f>
        <v>8.85129689936577</v>
      </c>
    </row>
    <row r="20" customFormat="false" ht="12.95" hidden="false" customHeight="true" outlineLevel="0" collapsed="false">
      <c r="A20" s="183" t="n">
        <v>6</v>
      </c>
      <c r="B20" s="106" t="n">
        <v>6880.64</v>
      </c>
      <c r="C20" s="107" t="n">
        <v>218100</v>
      </c>
      <c r="D20" s="215" t="n">
        <f aca="false">C20-C19</f>
        <v>-1119</v>
      </c>
      <c r="E20" s="107" t="n">
        <f aca="false">C20-151978</f>
        <v>66122</v>
      </c>
      <c r="F20" s="246" t="n">
        <f aca="false">D20/$D$2</f>
        <v>-564.154272750189</v>
      </c>
      <c r="G20" s="135" t="n">
        <v>69</v>
      </c>
      <c r="H20" s="247" t="n">
        <v>0</v>
      </c>
      <c r="I20" s="135" t="n">
        <f aca="false">G20+H20</f>
        <v>69</v>
      </c>
      <c r="J20" s="136" t="n">
        <f aca="false">IF(L20&gt;0,L20,0)</f>
        <v>20.8457272498109</v>
      </c>
      <c r="K20" s="135" t="n">
        <f aca="false">I20+J20</f>
        <v>89.8457272498109</v>
      </c>
      <c r="L20" s="135" t="n">
        <f aca="false">F20-(I20-AK20)</f>
        <v>20.8457272498109</v>
      </c>
      <c r="M20" s="248" t="n">
        <v>200</v>
      </c>
      <c r="N20" s="158" t="n">
        <f aca="false">(1.8299*1.03)/2</f>
        <v>0.9423985</v>
      </c>
      <c r="O20" s="135" t="n">
        <f aca="false">31*1.05</f>
        <v>32.55</v>
      </c>
      <c r="P20" s="158" t="n">
        <v>0</v>
      </c>
      <c r="Q20" s="336" t="n">
        <f aca="false">1725100/325851/1.9835*1.02</f>
        <v>2.72247050902761</v>
      </c>
      <c r="R20" s="336" t="n">
        <v>4.2</v>
      </c>
      <c r="S20" s="131" t="n">
        <f aca="false">((5.7*1.04)-T20)-4.2</f>
        <v>0.272312</v>
      </c>
      <c r="T20" s="131" t="n">
        <f aca="false">1.3997*1.04</f>
        <v>1.455688</v>
      </c>
      <c r="U20" s="355" t="n">
        <v>0</v>
      </c>
      <c r="V20" s="135" t="n">
        <v>150</v>
      </c>
      <c r="W20" s="135" t="n">
        <v>67</v>
      </c>
      <c r="X20" s="135" t="n">
        <f aca="false">M20-N20-O20-P20-Q20-R20-S20-T20-U20+V20+W20-AT20+AR20</f>
        <v>374.857130990972</v>
      </c>
      <c r="Y20" s="135" t="n">
        <f aca="false">X20-AO20</f>
        <v>374.857130990972</v>
      </c>
      <c r="Z20" s="107"/>
      <c r="AA20" s="135"/>
      <c r="AB20" s="107"/>
      <c r="AC20" s="107" t="n">
        <f aca="false">AS20-AS20</f>
        <v>0</v>
      </c>
      <c r="AD20" s="215" t="n">
        <f aca="false">AD19+AP20+AS20</f>
        <v>4954.3693131781</v>
      </c>
      <c r="AE20" s="135" t="n">
        <v>187</v>
      </c>
      <c r="AF20" s="137" t="n">
        <v>1.7</v>
      </c>
      <c r="AG20" s="138" t="n">
        <v>1.3</v>
      </c>
      <c r="AH20" s="135" t="n">
        <v>50</v>
      </c>
      <c r="AI20" s="107" t="n">
        <f aca="false">AI19-AH20</f>
        <v>6496.25787748929</v>
      </c>
      <c r="AJ20" s="107"/>
      <c r="AK20" s="134" t="n">
        <f aca="false">N20+O20+P20+Q20+R20+S20+T20+U20+X20+AE20+AH20-AR20</f>
        <v>654</v>
      </c>
      <c r="AL20" s="135" t="n">
        <f aca="false">IF(L20&lt;0,L20*-1,0)</f>
        <v>0</v>
      </c>
      <c r="AM20" s="135" t="n">
        <f aca="false">AK20+AL20</f>
        <v>654</v>
      </c>
      <c r="AN20" s="220"/>
      <c r="AO20" s="215"/>
      <c r="AP20" s="97" t="n">
        <f aca="false">(I20-AO20)-Q20-R20-Y20-AF20</f>
        <v>-314.4796015</v>
      </c>
      <c r="AQ20" s="158" t="n">
        <f aca="false">37.06*(Z20*1.9835+AC20*1.9835)/E20</f>
        <v>0</v>
      </c>
      <c r="AR20" s="158"/>
      <c r="AS20" s="135" t="n">
        <v>6</v>
      </c>
      <c r="AU20" s="179" t="n">
        <f aca="false">O20</f>
        <v>32.55</v>
      </c>
      <c r="AV20" s="222" t="n">
        <v>0</v>
      </c>
      <c r="AW20" s="215" t="n">
        <v>88</v>
      </c>
      <c r="AX20" s="215" t="n">
        <v>53</v>
      </c>
      <c r="AY20" s="299"/>
      <c r="AZ20" s="250" t="n">
        <f aca="false">SUM(N20,P20:U20)</f>
        <v>9.59286900902761</v>
      </c>
    </row>
    <row r="21" customFormat="false" ht="12.95" hidden="false" customHeight="true" outlineLevel="0" collapsed="false">
      <c r="A21" s="183" t="n">
        <v>7</v>
      </c>
      <c r="B21" s="106" t="n">
        <v>6880.27</v>
      </c>
      <c r="C21" s="107" t="n">
        <v>216981</v>
      </c>
      <c r="D21" s="215" t="n">
        <f aca="false">C21-C20</f>
        <v>-1119</v>
      </c>
      <c r="E21" s="107" t="n">
        <f aca="false">C21-151978</f>
        <v>65003</v>
      </c>
      <c r="F21" s="246" t="n">
        <f aca="false">D21/$D$2</f>
        <v>-564.154272750189</v>
      </c>
      <c r="G21" s="135" t="n">
        <v>68</v>
      </c>
      <c r="H21" s="247" t="n">
        <v>0</v>
      </c>
      <c r="I21" s="135" t="n">
        <f aca="false">G21+H21</f>
        <v>68</v>
      </c>
      <c r="J21" s="136" t="n">
        <f aca="false">IF(L21&gt;0,L21,0)</f>
        <v>0</v>
      </c>
      <c r="K21" s="135" t="n">
        <f aca="false">I21+J21</f>
        <v>68</v>
      </c>
      <c r="L21" s="135" t="n">
        <f aca="false">F21-(I21-AK21)</f>
        <v>-11.1542727501891</v>
      </c>
      <c r="M21" s="248" t="n">
        <v>169</v>
      </c>
      <c r="N21" s="158" t="n">
        <f aca="false">(1.8299*1.03)/2</f>
        <v>0.9423985</v>
      </c>
      <c r="O21" s="135" t="n">
        <f aca="false">13*1.05</f>
        <v>13.65</v>
      </c>
      <c r="P21" s="158" t="n">
        <v>0</v>
      </c>
      <c r="Q21" s="336" t="n">
        <f aca="false">1671600/325851/1.9835*1.02</f>
        <v>2.63803936171269</v>
      </c>
      <c r="R21" s="336" t="n">
        <v>4.2</v>
      </c>
      <c r="S21" s="131" t="n">
        <f aca="false">((7*1.04)-T21)-4.2</f>
        <v>1.798512</v>
      </c>
      <c r="T21" s="131" t="n">
        <f aca="false">1.2322*1.04</f>
        <v>1.281488</v>
      </c>
      <c r="U21" s="355" t="n">
        <v>0</v>
      </c>
      <c r="V21" s="135" t="n">
        <v>150</v>
      </c>
      <c r="W21" s="135" t="n">
        <v>67</v>
      </c>
      <c r="X21" s="135" t="n">
        <f aca="false">M21-N21-O21-P21-Q21-R21-S21-T21-U21+V21+W21-AT21+AR21</f>
        <v>361.489562138287</v>
      </c>
      <c r="Y21" s="135" t="n">
        <f aca="false">X21-AO21</f>
        <v>361.489562138287</v>
      </c>
      <c r="Z21" s="107"/>
      <c r="AA21" s="135"/>
      <c r="AB21" s="107"/>
      <c r="AC21" s="107" t="n">
        <f aca="false">AS21-AS21</f>
        <v>0</v>
      </c>
      <c r="AD21" s="215" t="n">
        <f aca="false">AD20+AP21+AS21</f>
        <v>4658.3417116781</v>
      </c>
      <c r="AE21" s="135" t="n">
        <v>185</v>
      </c>
      <c r="AF21" s="137" t="n">
        <v>1.7</v>
      </c>
      <c r="AG21" s="138" t="n">
        <v>1.3</v>
      </c>
      <c r="AH21" s="135" t="n">
        <v>50</v>
      </c>
      <c r="AI21" s="107" t="n">
        <f aca="false">AI20-AH21</f>
        <v>6446.25787748929</v>
      </c>
      <c r="AJ21" s="107"/>
      <c r="AK21" s="134" t="n">
        <f aca="false">N21+O21+P21+Q21+R21+S21+T21+U21+X21+AE21+AH21-AR21</f>
        <v>621</v>
      </c>
      <c r="AL21" s="135" t="n">
        <f aca="false">IF(L21&lt;0,L21*-1,0)</f>
        <v>11.1542727501891</v>
      </c>
      <c r="AM21" s="135" t="n">
        <f aca="false">AK21+AL21</f>
        <v>632.154272750189</v>
      </c>
      <c r="AN21" s="220"/>
      <c r="AO21" s="215"/>
      <c r="AP21" s="97" t="n">
        <f aca="false">(I21-AO21)-Q21-R21-Y21-AF21</f>
        <v>-302.0276015</v>
      </c>
      <c r="AQ21" s="158" t="n">
        <f aca="false">37.06*(Z21*1.9835+AC21*1.9835)/E21</f>
        <v>0</v>
      </c>
      <c r="AR21" s="158"/>
      <c r="AS21" s="135" t="n">
        <v>6</v>
      </c>
      <c r="AU21" s="179" t="n">
        <f aca="false">O21</f>
        <v>13.65</v>
      </c>
      <c r="AV21" s="222" t="n">
        <v>0</v>
      </c>
      <c r="AW21" s="215" t="n">
        <v>87</v>
      </c>
      <c r="AX21" s="215" t="n">
        <v>58</v>
      </c>
      <c r="AY21" s="299"/>
      <c r="AZ21" s="250" t="n">
        <f aca="false">SUM(N21,P21:U21)</f>
        <v>10.8604378617127</v>
      </c>
    </row>
    <row r="22" customFormat="false" ht="12.95" hidden="false" customHeight="true" outlineLevel="0" collapsed="false">
      <c r="A22" s="183" t="n">
        <v>8</v>
      </c>
      <c r="B22" s="106" t="n">
        <v>6879.89</v>
      </c>
      <c r="C22" s="107" t="n">
        <v>215836</v>
      </c>
      <c r="D22" s="215" t="n">
        <f aca="false">C22-C21</f>
        <v>-1145</v>
      </c>
      <c r="E22" s="107" t="n">
        <f aca="false">C22-151978</f>
        <v>63858</v>
      </c>
      <c r="F22" s="246" t="n">
        <f aca="false">D22/$D$2</f>
        <v>-577.262414923116</v>
      </c>
      <c r="G22" s="135" t="n">
        <v>69</v>
      </c>
      <c r="H22" s="247" t="n">
        <v>0</v>
      </c>
      <c r="I22" s="135" t="n">
        <f aca="false">G22+H22</f>
        <v>69</v>
      </c>
      <c r="J22" s="136" t="n">
        <f aca="false">IF(L22&gt;0,L22,0)</f>
        <v>0</v>
      </c>
      <c r="K22" s="135" t="n">
        <f aca="false">I22+J22</f>
        <v>69</v>
      </c>
      <c r="L22" s="135" t="n">
        <f aca="false">F22-(I22-AK22)</f>
        <v>-13.2624149231157</v>
      </c>
      <c r="M22" s="248" t="n">
        <v>184</v>
      </c>
      <c r="N22" s="158" t="n">
        <f aca="false">(1.8299*1.03)/2</f>
        <v>0.9423985</v>
      </c>
      <c r="O22" s="135" t="n">
        <f aca="false">8.5*1.05</f>
        <v>8.925</v>
      </c>
      <c r="P22" s="158" t="n">
        <v>0</v>
      </c>
      <c r="Q22" s="336" t="n">
        <f aca="false">1644400/325851/1.9835*1.02</f>
        <v>2.59511361952641</v>
      </c>
      <c r="R22" s="336" t="n">
        <v>4.2</v>
      </c>
      <c r="S22" s="131" t="n">
        <f aca="false">((5.5*1.04)-T22)-4.2</f>
        <v>0.238512000000001</v>
      </c>
      <c r="T22" s="131" t="n">
        <f aca="false">1.2322*1.04</f>
        <v>1.281488</v>
      </c>
      <c r="U22" s="355" t="n">
        <v>0</v>
      </c>
      <c r="V22" s="135" t="n">
        <v>149</v>
      </c>
      <c r="W22" s="135" t="n">
        <v>65</v>
      </c>
      <c r="X22" s="135" t="n">
        <f aca="false">M22-N22-O22-P22-Q22-R22-S22-T22-U22+V22+W22-AT22+AR22</f>
        <v>379.817487880474</v>
      </c>
      <c r="Y22" s="135" t="n">
        <f aca="false">X22-AO22</f>
        <v>379.817487880474</v>
      </c>
      <c r="Z22" s="107"/>
      <c r="AA22" s="135"/>
      <c r="AB22" s="107"/>
      <c r="AC22" s="107" t="n">
        <f aca="false">AS22-AS22</f>
        <v>0</v>
      </c>
      <c r="AD22" s="215" t="n">
        <f aca="false">AD21+AP22+AS22</f>
        <v>4345.0291101781</v>
      </c>
      <c r="AE22" s="135" t="n">
        <v>185</v>
      </c>
      <c r="AF22" s="137" t="n">
        <v>1.7</v>
      </c>
      <c r="AG22" s="138" t="n">
        <v>1.3</v>
      </c>
      <c r="AH22" s="135" t="n">
        <v>50</v>
      </c>
      <c r="AI22" s="107" t="n">
        <f aca="false">AI21-AH22</f>
        <v>6396.25787748929</v>
      </c>
      <c r="AJ22" s="107"/>
      <c r="AK22" s="134" t="n">
        <f aca="false">N22+O22+P22+Q22+R22+S22+T22+U22+X22+AE22+AH22-AR22</f>
        <v>633</v>
      </c>
      <c r="AL22" s="135" t="n">
        <f aca="false">IF(L22&lt;0,L22*-1,0)</f>
        <v>13.2624149231157</v>
      </c>
      <c r="AM22" s="135" t="n">
        <f aca="false">AK22+AL22</f>
        <v>646.262414923116</v>
      </c>
      <c r="AN22" s="220"/>
      <c r="AO22" s="215"/>
      <c r="AP22" s="97" t="n">
        <f aca="false">(I22-AO22)-Q22-R22-Y22-AF22</f>
        <v>-319.3126015</v>
      </c>
      <c r="AQ22" s="158" t="n">
        <f aca="false">37.06*(Z22*1.9835+AC22*1.9835)/E22</f>
        <v>0</v>
      </c>
      <c r="AR22" s="158"/>
      <c r="AS22" s="135" t="n">
        <v>6</v>
      </c>
      <c r="AU22" s="179" t="n">
        <f aca="false">O22</f>
        <v>8.925</v>
      </c>
      <c r="AV22" s="222" t="n">
        <v>0</v>
      </c>
      <c r="AW22" s="215" t="n">
        <v>79</v>
      </c>
      <c r="AX22" s="215" t="n">
        <v>51</v>
      </c>
      <c r="AY22" s="299"/>
      <c r="AZ22" s="250" t="n">
        <f aca="false">SUM(N22,P22:U22)</f>
        <v>9.25751211952641</v>
      </c>
    </row>
    <row r="23" customFormat="false" ht="12.95" hidden="false" customHeight="true" outlineLevel="0" collapsed="false">
      <c r="A23" s="183" t="n">
        <v>9</v>
      </c>
      <c r="B23" s="106" t="n">
        <v>6879.55</v>
      </c>
      <c r="C23" s="107" t="n">
        <v>214821</v>
      </c>
      <c r="D23" s="215" t="n">
        <f aca="false">C23-C22</f>
        <v>-1015</v>
      </c>
      <c r="E23" s="107" t="n">
        <f aca="false">C23-151978</f>
        <v>62843</v>
      </c>
      <c r="F23" s="246" t="n">
        <f aca="false">D23/$D$2</f>
        <v>-511.721704058482</v>
      </c>
      <c r="G23" s="135" t="n">
        <v>71</v>
      </c>
      <c r="H23" s="247" t="n">
        <v>0</v>
      </c>
      <c r="I23" s="135" t="n">
        <f aca="false">G23+H23</f>
        <v>71</v>
      </c>
      <c r="J23" s="136" t="n">
        <f aca="false">IF(L23&gt;0,L23,0)</f>
        <v>17.2782959415175</v>
      </c>
      <c r="K23" s="135" t="n">
        <f aca="false">I23+J23</f>
        <v>88.2782959415175</v>
      </c>
      <c r="L23" s="135" t="n">
        <f aca="false">F23-(I23-AK23)</f>
        <v>17.2782959415175</v>
      </c>
      <c r="M23" s="248" t="n">
        <v>177</v>
      </c>
      <c r="N23" s="158" t="n">
        <f aca="false">(1.8299*1.03)/2</f>
        <v>0.9423985</v>
      </c>
      <c r="O23" s="135" t="n">
        <f aca="false">7.5*1.05</f>
        <v>7.875</v>
      </c>
      <c r="P23" s="158" t="n">
        <v>0</v>
      </c>
      <c r="Q23" s="336" t="n">
        <f aca="false">1956000/325851/1.9835*1.02</f>
        <v>3.08686587192511</v>
      </c>
      <c r="R23" s="336" t="n">
        <v>4.2</v>
      </c>
      <c r="S23" s="131" t="n">
        <f aca="false">((6*1.04)-T23)-4.2</f>
        <v>0.758512000000001</v>
      </c>
      <c r="T23" s="131" t="n">
        <f aca="false">1.2322*1.04</f>
        <v>1.281488</v>
      </c>
      <c r="U23" s="355" t="n">
        <v>0</v>
      </c>
      <c r="V23" s="135" t="n">
        <v>146</v>
      </c>
      <c r="W23" s="135" t="n">
        <v>67</v>
      </c>
      <c r="X23" s="135" t="n">
        <f aca="false">M23-N23-O23-P23-Q23-R23-S23-T23-U23+V23+W23-AT23+AR23</f>
        <v>371.855735628075</v>
      </c>
      <c r="Y23" s="135" t="n">
        <f aca="false">X23-AO23</f>
        <v>371.855735628075</v>
      </c>
      <c r="Z23" s="107"/>
      <c r="AA23" s="135"/>
      <c r="AB23" s="107"/>
      <c r="AC23" s="107" t="n">
        <f aca="false">AS23-AS23</f>
        <v>0</v>
      </c>
      <c r="AD23" s="215" t="n">
        <f aca="false">AD22+AP23+AS23</f>
        <v>4041.1865086781</v>
      </c>
      <c r="AE23" s="135" t="n">
        <v>160</v>
      </c>
      <c r="AF23" s="137" t="n">
        <v>1.7</v>
      </c>
      <c r="AG23" s="138" t="n">
        <v>1.3</v>
      </c>
      <c r="AH23" s="135" t="n">
        <v>50</v>
      </c>
      <c r="AI23" s="107" t="n">
        <f aca="false">AI22-AH23</f>
        <v>6346.25787748929</v>
      </c>
      <c r="AJ23" s="107"/>
      <c r="AK23" s="134" t="n">
        <f aca="false">N23+O23+P23+Q23+R23+S23+T23+U23+X23+AE23+AH23-AR23</f>
        <v>600</v>
      </c>
      <c r="AL23" s="135" t="n">
        <f aca="false">IF(L23&lt;0,L23*-1,0)</f>
        <v>0</v>
      </c>
      <c r="AM23" s="135" t="n">
        <f aca="false">AK23+AL23</f>
        <v>600</v>
      </c>
      <c r="AN23" s="220"/>
      <c r="AO23" s="215"/>
      <c r="AP23" s="97" t="n">
        <f aca="false">(I23-AO23)-Q23-R23-Y23-AF23</f>
        <v>-309.8426015</v>
      </c>
      <c r="AQ23" s="158" t="n">
        <f aca="false">37.06*(Z23*1.9835+AC23*1.9835)/E23</f>
        <v>0</v>
      </c>
      <c r="AR23" s="158"/>
      <c r="AS23" s="135" t="n">
        <v>6</v>
      </c>
      <c r="AU23" s="179" t="n">
        <f aca="false">O23</f>
        <v>7.875</v>
      </c>
      <c r="AV23" s="222" t="n">
        <v>0</v>
      </c>
      <c r="AW23" s="215" t="n">
        <v>82</v>
      </c>
      <c r="AX23" s="215" t="n">
        <v>49</v>
      </c>
      <c r="AY23" s="299"/>
      <c r="AZ23" s="250" t="n">
        <f aca="false">SUM(N23,P23:U23)</f>
        <v>10.2692643719251</v>
      </c>
    </row>
    <row r="24" customFormat="false" ht="12.95" hidden="false" customHeight="true" outlineLevel="0" collapsed="false">
      <c r="A24" s="183" t="n">
        <v>10</v>
      </c>
      <c r="B24" s="106" t="n">
        <v>6879.23</v>
      </c>
      <c r="C24" s="107" t="n">
        <v>213865</v>
      </c>
      <c r="D24" s="215" t="n">
        <f aca="false">C24-C23</f>
        <v>-956</v>
      </c>
      <c r="E24" s="107" t="n">
        <f aca="false">C24-151978</f>
        <v>61887</v>
      </c>
      <c r="F24" s="246" t="n">
        <f aca="false">D24/$D$2</f>
        <v>-481.976304512226</v>
      </c>
      <c r="G24" s="135" t="n">
        <v>70</v>
      </c>
      <c r="H24" s="247" t="n">
        <v>0</v>
      </c>
      <c r="I24" s="135" t="n">
        <f aca="false">G24+H24</f>
        <v>70</v>
      </c>
      <c r="J24" s="136" t="n">
        <f aca="false">IF(L24&gt;0,L24,0)</f>
        <v>12.0236954877741</v>
      </c>
      <c r="K24" s="135" t="n">
        <f aca="false">I24+J24</f>
        <v>82.0236954877742</v>
      </c>
      <c r="L24" s="135" t="n">
        <f aca="false">F24-(I24-AK24)</f>
        <v>12.0236954877741</v>
      </c>
      <c r="M24" s="248" t="n">
        <v>158</v>
      </c>
      <c r="N24" s="158" t="n">
        <f aca="false">(1.8299*1.03)/2+0.312</f>
        <v>1.2543985</v>
      </c>
      <c r="O24" s="135" t="n">
        <f aca="false">6.9*1.05</f>
        <v>7.245</v>
      </c>
      <c r="P24" s="158" t="n">
        <v>0</v>
      </c>
      <c r="Q24" s="336" t="n">
        <f aca="false">1946600/325851/1.9835*1.02</f>
        <v>3.07203124043426</v>
      </c>
      <c r="R24" s="336" t="n">
        <v>4.2</v>
      </c>
      <c r="S24" s="131" t="n">
        <f aca="false">((5.7*1.04)-T24)-4.2</f>
        <v>0.446512000000001</v>
      </c>
      <c r="T24" s="131" t="n">
        <f aca="false">1.2322*1.04</f>
        <v>1.281488</v>
      </c>
      <c r="U24" s="355" t="n">
        <v>0</v>
      </c>
      <c r="V24" s="135" t="n">
        <v>130</v>
      </c>
      <c r="W24" s="135" t="n">
        <v>60</v>
      </c>
      <c r="X24" s="135" t="n">
        <f aca="false">M24-N24-O24-P24-Q24-R24-S24-T24-U24+V24+W24-AT24+AR24</f>
        <v>330.500570259566</v>
      </c>
      <c r="Y24" s="135" t="n">
        <f aca="false">X24-AO24</f>
        <v>330.500570259566</v>
      </c>
      <c r="Z24" s="107"/>
      <c r="AA24" s="135"/>
      <c r="AB24" s="107"/>
      <c r="AC24" s="107" t="n">
        <f aca="false">AS24-AS24</f>
        <v>0</v>
      </c>
      <c r="AD24" s="215" t="n">
        <f aca="false">AD23+AP24+AS24</f>
        <v>3777.7139071781</v>
      </c>
      <c r="AE24" s="135" t="n">
        <v>166</v>
      </c>
      <c r="AF24" s="137" t="n">
        <v>1.7</v>
      </c>
      <c r="AG24" s="138" t="n">
        <v>1.3</v>
      </c>
      <c r="AH24" s="135" t="n">
        <v>50</v>
      </c>
      <c r="AI24" s="107" t="n">
        <f aca="false">AI23-AH24</f>
        <v>6296.25787748929</v>
      </c>
      <c r="AJ24" s="107"/>
      <c r="AK24" s="134" t="n">
        <f aca="false">N24+O24+P24+Q24+R24+S24+T24+U24+X24+AE24+AH24-AR24</f>
        <v>564</v>
      </c>
      <c r="AL24" s="135" t="n">
        <f aca="false">IF(L24&lt;0,L24*-1,0)</f>
        <v>0</v>
      </c>
      <c r="AM24" s="135" t="n">
        <f aca="false">AK24+AL24</f>
        <v>564</v>
      </c>
      <c r="AN24" s="220"/>
      <c r="AO24" s="215"/>
      <c r="AP24" s="97" t="n">
        <f aca="false">(I24-AO24)-Q24-R24-Y24-AF24</f>
        <v>-269.4726015</v>
      </c>
      <c r="AQ24" s="158" t="n">
        <f aca="false">37.06*(Z24*1.9835+AC24*1.9835)/E24</f>
        <v>0</v>
      </c>
      <c r="AR24" s="158"/>
      <c r="AS24" s="135" t="n">
        <v>6</v>
      </c>
      <c r="AU24" s="179" t="n">
        <f aca="false">O24</f>
        <v>7.245</v>
      </c>
      <c r="AV24" s="222" t="n">
        <v>0</v>
      </c>
      <c r="AW24" s="215" t="n">
        <v>84</v>
      </c>
      <c r="AX24" s="215" t="n">
        <v>52</v>
      </c>
      <c r="AY24" s="299"/>
      <c r="AZ24" s="250" t="n">
        <f aca="false">SUM(N24,P24:U24)</f>
        <v>10.2544297404343</v>
      </c>
    </row>
    <row r="25" customFormat="false" ht="12.95" hidden="false" customHeight="true" outlineLevel="0" collapsed="false">
      <c r="A25" s="183" t="n">
        <v>11</v>
      </c>
      <c r="B25" s="106" t="n">
        <v>6878.91</v>
      </c>
      <c r="C25" s="107" t="n">
        <v>212913</v>
      </c>
      <c r="D25" s="215" t="n">
        <f aca="false">C25-C24</f>
        <v>-952</v>
      </c>
      <c r="E25" s="107" t="n">
        <f aca="false">C25-151978</f>
        <v>60935</v>
      </c>
      <c r="F25" s="246" t="n">
        <f aca="false">D25/$D$2</f>
        <v>-479.959667254853</v>
      </c>
      <c r="G25" s="135" t="n">
        <v>91</v>
      </c>
      <c r="H25" s="247" t="n">
        <v>0</v>
      </c>
      <c r="I25" s="135" t="n">
        <f aca="false">G25+H25</f>
        <v>91</v>
      </c>
      <c r="J25" s="136" t="n">
        <f aca="false">IF(L25&gt;0,L25,0)</f>
        <v>0</v>
      </c>
      <c r="K25" s="135" t="n">
        <f aca="false">I25+J25</f>
        <v>91</v>
      </c>
      <c r="L25" s="135" t="n">
        <f aca="false">F25-(I25-AK25)</f>
        <v>-9.95966725485255</v>
      </c>
      <c r="M25" s="248" t="n">
        <v>161</v>
      </c>
      <c r="N25" s="158" t="n">
        <f aca="false">(1.8299*1.03)/2+0.312</f>
        <v>1.2543985</v>
      </c>
      <c r="O25" s="135" t="n">
        <f aca="false">7.6*1.05</f>
        <v>7.98</v>
      </c>
      <c r="P25" s="158" t="n">
        <v>0</v>
      </c>
      <c r="Q25" s="336" t="n">
        <f aca="false">1422400/325851/1.9835*1.02</f>
        <v>2.24476381197662</v>
      </c>
      <c r="R25" s="336" t="n">
        <v>4.2</v>
      </c>
      <c r="S25" s="131" t="n">
        <f aca="false">((6.1*1.04)-T25)-4.2</f>
        <v>0.862512</v>
      </c>
      <c r="T25" s="131" t="n">
        <f aca="false">1.2322*1.04</f>
        <v>1.281488</v>
      </c>
      <c r="U25" s="355" t="n">
        <v>0</v>
      </c>
      <c r="V25" s="135" t="n">
        <v>130</v>
      </c>
      <c r="W25" s="135" t="n">
        <v>59</v>
      </c>
      <c r="X25" s="135" t="n">
        <f aca="false">M25-N25-O25-P25-Q25-R25-S25-T25-U25+V25+W25-AT25+AR25</f>
        <v>332.176837688023</v>
      </c>
      <c r="Y25" s="135" t="n">
        <f aca="false">X25-AO25</f>
        <v>332.176837688023</v>
      </c>
      <c r="Z25" s="107"/>
      <c r="AA25" s="135"/>
      <c r="AB25" s="107"/>
      <c r="AC25" s="107" t="n">
        <f aca="false">AS25-AS25</f>
        <v>0</v>
      </c>
      <c r="AD25" s="215" t="n">
        <f aca="false">AD24+AP25+AS25</f>
        <v>3534.3923056781</v>
      </c>
      <c r="AE25" s="135" t="n">
        <v>161</v>
      </c>
      <c r="AF25" s="137" t="n">
        <v>1.7</v>
      </c>
      <c r="AG25" s="138" t="n">
        <v>1.3</v>
      </c>
      <c r="AH25" s="135" t="n">
        <v>50</v>
      </c>
      <c r="AI25" s="107" t="n">
        <f aca="false">AI24-AH25</f>
        <v>6246.25787748929</v>
      </c>
      <c r="AJ25" s="107"/>
      <c r="AK25" s="134" t="n">
        <f aca="false">N25+O25+P25+Q25+R25+S25+T25+U25+X25+AE25+AH25-AR25</f>
        <v>561</v>
      </c>
      <c r="AL25" s="135" t="n">
        <f aca="false">IF(L25&lt;0,L25*-1,0)</f>
        <v>9.95966725485255</v>
      </c>
      <c r="AM25" s="135" t="n">
        <f aca="false">AK25+AL25</f>
        <v>570.959667254853</v>
      </c>
      <c r="AN25" s="220"/>
      <c r="AO25" s="215"/>
      <c r="AP25" s="97" t="n">
        <f aca="false">(I25-AO25)-Q25-R25-Y25-AF25</f>
        <v>-249.3216015</v>
      </c>
      <c r="AQ25" s="158" t="n">
        <f aca="false">37.06*(Z25*1.9835+AC25*1.9835)/E25</f>
        <v>0</v>
      </c>
      <c r="AR25" s="158"/>
      <c r="AS25" s="135" t="n">
        <v>6</v>
      </c>
      <c r="AU25" s="179" t="n">
        <f aca="false">O25</f>
        <v>7.98</v>
      </c>
      <c r="AV25" s="222" t="n">
        <v>0.11</v>
      </c>
      <c r="AW25" s="215" t="n">
        <v>77</v>
      </c>
      <c r="AX25" s="215" t="n">
        <v>54</v>
      </c>
      <c r="AY25" s="299"/>
      <c r="AZ25" s="250" t="n">
        <f aca="false">SUM(N25,P25:U25)</f>
        <v>9.84316231197663</v>
      </c>
    </row>
    <row r="26" customFormat="false" ht="12.95" hidden="false" customHeight="true" outlineLevel="0" collapsed="false">
      <c r="A26" s="183" t="n">
        <v>12</v>
      </c>
      <c r="B26" s="106" t="n">
        <v>6878.65</v>
      </c>
      <c r="C26" s="107" t="n">
        <v>212145</v>
      </c>
      <c r="D26" s="215" t="n">
        <f aca="false">C26-C25</f>
        <v>-768</v>
      </c>
      <c r="E26" s="107" t="n">
        <f aca="false">C26-151978</f>
        <v>60167</v>
      </c>
      <c r="F26" s="246" t="n">
        <f aca="false">D26/$D$2</f>
        <v>-387.194353415679</v>
      </c>
      <c r="G26" s="135" t="n">
        <v>108</v>
      </c>
      <c r="H26" s="247" t="n">
        <v>0</v>
      </c>
      <c r="I26" s="135" t="n">
        <f aca="false">G26+H26</f>
        <v>108</v>
      </c>
      <c r="J26" s="136" t="n">
        <f aca="false">IF(L26&gt;0,L26,0)</f>
        <v>0</v>
      </c>
      <c r="K26" s="135" t="n">
        <f aca="false">I26+J26</f>
        <v>108</v>
      </c>
      <c r="L26" s="135" t="n">
        <f aca="false">F26-(I26-AK26)</f>
        <v>-0.194353415679302</v>
      </c>
      <c r="M26" s="248" t="n">
        <v>139</v>
      </c>
      <c r="N26" s="158" t="n">
        <f aca="false">(1.8299*1.03)/2+0.312</f>
        <v>1.2543985</v>
      </c>
      <c r="O26" s="135" t="n">
        <f aca="false">8.9*1.05</f>
        <v>9.345</v>
      </c>
      <c r="P26" s="158" t="n">
        <v>0</v>
      </c>
      <c r="Q26" s="336" t="n">
        <f aca="false">1261900/325851/1.9835*1.02</f>
        <v>1.99147037003185</v>
      </c>
      <c r="R26" s="131" t="n">
        <f aca="false">(5.1*1.04)-T26</f>
        <v>4.022512</v>
      </c>
      <c r="S26" s="131" t="n">
        <v>0</v>
      </c>
      <c r="T26" s="131" t="n">
        <f aca="false">1.2322*1.04</f>
        <v>1.281488</v>
      </c>
      <c r="U26" s="355" t="n">
        <v>0</v>
      </c>
      <c r="V26" s="135" t="n">
        <v>130</v>
      </c>
      <c r="W26" s="135" t="n">
        <v>60</v>
      </c>
      <c r="X26" s="135" t="n">
        <f aca="false">M26-N26-O26-P26-Q26-R26-S26-T26-U26+V26+W26-AT26+AR26</f>
        <v>311.105131129968</v>
      </c>
      <c r="Y26" s="135" t="n">
        <f aca="false">X26-AO26</f>
        <v>311.105131129968</v>
      </c>
      <c r="Z26" s="107"/>
      <c r="AA26" s="135"/>
      <c r="AB26" s="107"/>
      <c r="AC26" s="107" t="n">
        <f aca="false">AS26-AS26</f>
        <v>0</v>
      </c>
      <c r="AD26" s="215" t="n">
        <f aca="false">AD25+AP26+AS26</f>
        <v>3329.5731921781</v>
      </c>
      <c r="AE26" s="135" t="n">
        <v>116</v>
      </c>
      <c r="AF26" s="137" t="n">
        <v>1.7</v>
      </c>
      <c r="AG26" s="138" t="n">
        <v>1.3</v>
      </c>
      <c r="AH26" s="135" t="n">
        <v>50</v>
      </c>
      <c r="AI26" s="107" t="n">
        <f aca="false">AI25-AH26</f>
        <v>6196.25787748929</v>
      </c>
      <c r="AJ26" s="107"/>
      <c r="AK26" s="134" t="n">
        <f aca="false">N26+O26+P26+Q26+R26+S26+T26+U26+X26+AE26+AH26-AR26</f>
        <v>495</v>
      </c>
      <c r="AL26" s="135" t="n">
        <f aca="false">IF(L26&lt;0,L26*-1,0)</f>
        <v>0.194353415679302</v>
      </c>
      <c r="AM26" s="135" t="n">
        <f aca="false">AK26+AL26</f>
        <v>495.194353415679</v>
      </c>
      <c r="AN26" s="220"/>
      <c r="AO26" s="215"/>
      <c r="AP26" s="97" t="n">
        <f aca="false">(I26-AO26)-Q26-R26-Y26-AF26</f>
        <v>-210.8191135</v>
      </c>
      <c r="AQ26" s="158" t="n">
        <f aca="false">37.06*(Z26*1.9835+AC26*1.9835)/E26</f>
        <v>0</v>
      </c>
      <c r="AR26" s="158"/>
      <c r="AS26" s="135" t="n">
        <v>6</v>
      </c>
      <c r="AU26" s="179" t="n">
        <f aca="false">O26</f>
        <v>9.345</v>
      </c>
      <c r="AV26" s="222" t="n">
        <v>0.01</v>
      </c>
      <c r="AW26" s="215" t="n">
        <v>75</v>
      </c>
      <c r="AX26" s="215" t="n">
        <v>50</v>
      </c>
      <c r="AY26" s="299"/>
      <c r="AZ26" s="250" t="n">
        <f aca="false">SUM(N26,P26:U26)</f>
        <v>8.54986887003185</v>
      </c>
    </row>
    <row r="27" customFormat="false" ht="12.95" hidden="false" customHeight="true" outlineLevel="0" collapsed="false">
      <c r="A27" s="183" t="n">
        <v>13</v>
      </c>
      <c r="B27" s="106" t="n">
        <v>6878.39</v>
      </c>
      <c r="C27" s="107" t="n">
        <v>211377</v>
      </c>
      <c r="D27" s="215" t="n">
        <f aca="false">C27-C26</f>
        <v>-768</v>
      </c>
      <c r="E27" s="107" t="n">
        <f aca="false">C27-151978</f>
        <v>59399</v>
      </c>
      <c r="F27" s="246" t="n">
        <f aca="false">D27/$D$2</f>
        <v>-387.194353415679</v>
      </c>
      <c r="G27" s="135" t="n">
        <v>112</v>
      </c>
      <c r="H27" s="247" t="n">
        <v>0</v>
      </c>
      <c r="I27" s="135" t="n">
        <f aca="false">G27+H27</f>
        <v>112</v>
      </c>
      <c r="J27" s="136" t="n">
        <f aca="false">IF(L27&gt;0,L27,0)</f>
        <v>4.80564658432064</v>
      </c>
      <c r="K27" s="135" t="n">
        <f aca="false">I27+J27</f>
        <v>116.805646584321</v>
      </c>
      <c r="L27" s="135" t="n">
        <f aca="false">F27-(I27-AK27)</f>
        <v>4.80564658432064</v>
      </c>
      <c r="M27" s="248" t="n">
        <v>123</v>
      </c>
      <c r="N27" s="158" t="n">
        <f aca="false">(1.8299*1.03)/2+0.312</f>
        <v>1.2543985</v>
      </c>
      <c r="O27" s="135" t="n">
        <f aca="false">9.7*1.05</f>
        <v>10.185</v>
      </c>
      <c r="P27" s="158" t="n">
        <v>0</v>
      </c>
      <c r="Q27" s="336" t="n">
        <f aca="false">1412300/325851/1.9835*1.02</f>
        <v>2.2288244738854</v>
      </c>
      <c r="R27" s="131" t="n">
        <f aca="false">(4.8*1.04)-T27</f>
        <v>3.710512</v>
      </c>
      <c r="S27" s="131" t="n">
        <v>0</v>
      </c>
      <c r="T27" s="131" t="n">
        <f aca="false">1.2322*1.04</f>
        <v>1.281488</v>
      </c>
      <c r="U27" s="355" t="n">
        <v>0</v>
      </c>
      <c r="V27" s="135" t="n">
        <v>129</v>
      </c>
      <c r="W27" s="135" t="n">
        <v>48</v>
      </c>
      <c r="X27" s="135" t="n">
        <f aca="false">M27-N27-O27-P27-Q27-R27-S27-T27-U27+V27+W27-AT27+AR27</f>
        <v>281.339777026115</v>
      </c>
      <c r="Y27" s="135" t="n">
        <f aca="false">X27-AO27</f>
        <v>281.339777026115</v>
      </c>
      <c r="Z27" s="107"/>
      <c r="AA27" s="135"/>
      <c r="AB27" s="107"/>
      <c r="AC27" s="107" t="n">
        <f aca="false">AS27-AS27</f>
        <v>0</v>
      </c>
      <c r="AD27" s="215" t="n">
        <f aca="false">AD26+AP27+AS27</f>
        <v>3158.5940786781</v>
      </c>
      <c r="AE27" s="135" t="n">
        <v>154</v>
      </c>
      <c r="AF27" s="137" t="n">
        <v>1.7</v>
      </c>
      <c r="AG27" s="138" t="n">
        <v>1.3</v>
      </c>
      <c r="AH27" s="135" t="n">
        <v>50</v>
      </c>
      <c r="AI27" s="107" t="n">
        <f aca="false">AI26-AH27</f>
        <v>6146.25787748929</v>
      </c>
      <c r="AJ27" s="107"/>
      <c r="AK27" s="134" t="n">
        <f aca="false">N27+O27+P27+Q27+R27+S27+T27+U27+X27+AE27+AH27-AR27</f>
        <v>504</v>
      </c>
      <c r="AL27" s="135" t="n">
        <f aca="false">IF(L27&lt;0,L27*-1,0)</f>
        <v>0</v>
      </c>
      <c r="AM27" s="135" t="n">
        <f aca="false">AK27+AL27</f>
        <v>504</v>
      </c>
      <c r="AN27" s="220"/>
      <c r="AO27" s="215"/>
      <c r="AP27" s="97" t="n">
        <f aca="false">(I27-AO27)-Q27-R27-Y27-AF27</f>
        <v>-176.9791135</v>
      </c>
      <c r="AQ27" s="158" t="n">
        <f aca="false">37.06*(Z27*1.9835+AC27*1.9835)/E27</f>
        <v>0</v>
      </c>
      <c r="AR27" s="158"/>
      <c r="AS27" s="135" t="n">
        <v>6</v>
      </c>
      <c r="AU27" s="179" t="n">
        <f aca="false">O27</f>
        <v>10.185</v>
      </c>
      <c r="AV27" s="222" t="n">
        <v>0</v>
      </c>
      <c r="AW27" s="215" t="n">
        <v>78</v>
      </c>
      <c r="AX27" s="215" t="n">
        <v>42</v>
      </c>
      <c r="AY27" s="299"/>
      <c r="AZ27" s="250" t="n">
        <f aca="false">SUM(N27,P27:U27)</f>
        <v>8.4752229738854</v>
      </c>
    </row>
    <row r="28" customFormat="false" ht="12.95" hidden="false" customHeight="true" outlineLevel="0" collapsed="false">
      <c r="A28" s="183" t="n">
        <v>14</v>
      </c>
      <c r="B28" s="106" t="n">
        <v>6878.14</v>
      </c>
      <c r="C28" s="107" t="n">
        <v>210638</v>
      </c>
      <c r="D28" s="215" t="n">
        <f aca="false">C28-C27</f>
        <v>-739</v>
      </c>
      <c r="E28" s="107" t="n">
        <f aca="false">C28-151978</f>
        <v>58660</v>
      </c>
      <c r="F28" s="246" t="n">
        <f aca="false">D28/$D$2</f>
        <v>-372.573733299723</v>
      </c>
      <c r="G28" s="135" t="n">
        <v>105</v>
      </c>
      <c r="H28" s="247" t="n">
        <v>0</v>
      </c>
      <c r="I28" s="135" t="n">
        <f aca="false">G28+H28</f>
        <v>105</v>
      </c>
      <c r="J28" s="136" t="n">
        <f aca="false">IF(L28&gt;0,L28,0)</f>
        <v>0</v>
      </c>
      <c r="K28" s="135" t="n">
        <f aca="false">I28+J28</f>
        <v>105</v>
      </c>
      <c r="L28" s="135" t="n">
        <f aca="false">F28-(I28-AK28)</f>
        <v>-15.5737332997227</v>
      </c>
      <c r="M28" s="248" t="n">
        <v>113</v>
      </c>
      <c r="N28" s="158" t="n">
        <f aca="false">(1.8299*1.03)/2+0.312</f>
        <v>1.2543985</v>
      </c>
      <c r="O28" s="135" t="n">
        <f aca="false">7.1*1.05</f>
        <v>7.455</v>
      </c>
      <c r="P28" s="158" t="n">
        <v>0</v>
      </c>
      <c r="Q28" s="336" t="n">
        <f aca="false">1610800/325851/1.9835*1.02</f>
        <v>2.54208770270806</v>
      </c>
      <c r="R28" s="131" t="n">
        <f aca="false">(3.8*1.04)-T28</f>
        <v>2.80956</v>
      </c>
      <c r="S28" s="131" t="n">
        <v>0</v>
      </c>
      <c r="T28" s="131" t="n">
        <f aca="false">1.0985*1.04</f>
        <v>1.14244</v>
      </c>
      <c r="U28" s="355" t="n">
        <v>0</v>
      </c>
      <c r="V28" s="135" t="n">
        <v>129</v>
      </c>
      <c r="W28" s="135" t="n">
        <v>42</v>
      </c>
      <c r="X28" s="135" t="n">
        <f aca="false">M28-N28-O28-P28-Q28-R28-S28-T28-U28+V28+W28-AT28+AR28</f>
        <v>268.796513797292</v>
      </c>
      <c r="Y28" s="135" t="n">
        <f aca="false">X28-AO28</f>
        <v>268.796513797292</v>
      </c>
      <c r="Z28" s="107"/>
      <c r="AA28" s="135"/>
      <c r="AB28" s="107"/>
      <c r="AC28" s="107" t="n">
        <f aca="false">AS28-AS28</f>
        <v>0</v>
      </c>
      <c r="AD28" s="215" t="n">
        <f aca="false">AD27+AP28+AS28</f>
        <v>2993.7459171781</v>
      </c>
      <c r="AE28" s="135" t="n">
        <v>128</v>
      </c>
      <c r="AF28" s="137" t="n">
        <v>1.7</v>
      </c>
      <c r="AG28" s="138" t="n">
        <v>1.3</v>
      </c>
      <c r="AH28" s="135" t="n">
        <v>50</v>
      </c>
      <c r="AI28" s="107" t="n">
        <f aca="false">AI27-AH28</f>
        <v>6096.25787748929</v>
      </c>
      <c r="AJ28" s="107"/>
      <c r="AK28" s="134" t="n">
        <f aca="false">N28+O28+P28+Q28+R28+S28+T28+U28+X28+AE28+AH28-AR28</f>
        <v>462</v>
      </c>
      <c r="AL28" s="135" t="n">
        <f aca="false">IF(L28&lt;0,L28*-1,0)</f>
        <v>15.5737332997227</v>
      </c>
      <c r="AM28" s="135" t="n">
        <f aca="false">AK28+AL28</f>
        <v>477.573733299723</v>
      </c>
      <c r="AN28" s="220"/>
      <c r="AO28" s="215"/>
      <c r="AP28" s="97" t="n">
        <f aca="false">(I28-AO28)-Q28-R28-Y28-AF28</f>
        <v>-170.8481615</v>
      </c>
      <c r="AQ28" s="158" t="n">
        <f aca="false">37.06*(Z28*1.9835+AC28*1.9835)/E28</f>
        <v>0</v>
      </c>
      <c r="AR28" s="158"/>
      <c r="AS28" s="135" t="n">
        <v>6</v>
      </c>
      <c r="AU28" s="179" t="n">
        <f aca="false">O28</f>
        <v>7.455</v>
      </c>
      <c r="AV28" s="222" t="n">
        <v>0</v>
      </c>
      <c r="AW28" s="215" t="n">
        <v>76</v>
      </c>
      <c r="AX28" s="215" t="n">
        <v>45</v>
      </c>
      <c r="AY28" s="299"/>
      <c r="AZ28" s="250" t="n">
        <f aca="false">SUM(N28,P28:U28)</f>
        <v>7.74848620270806</v>
      </c>
    </row>
    <row r="29" customFormat="false" ht="12.95" hidden="false" customHeight="true" outlineLevel="0" collapsed="false">
      <c r="A29" s="183" t="n">
        <v>15</v>
      </c>
      <c r="B29" s="106" t="n">
        <v>6877.9</v>
      </c>
      <c r="C29" s="107" t="n">
        <v>209933</v>
      </c>
      <c r="D29" s="215" t="n">
        <f aca="false">C29-C28</f>
        <v>-705</v>
      </c>
      <c r="E29" s="107" t="n">
        <f aca="false">C29-151978</f>
        <v>57955</v>
      </c>
      <c r="F29" s="246" t="n">
        <f aca="false">D29/$D$2</f>
        <v>-355.432316612049</v>
      </c>
      <c r="G29" s="135" t="n">
        <v>97</v>
      </c>
      <c r="H29" s="247" t="n">
        <v>0</v>
      </c>
      <c r="I29" s="135" t="n">
        <f aca="false">G29+H29</f>
        <v>97</v>
      </c>
      <c r="J29" s="136" t="n">
        <f aca="false">IF(L29&gt;0,L29,0)</f>
        <v>4.56768338795058</v>
      </c>
      <c r="K29" s="135" t="n">
        <f aca="false">I29+J29</f>
        <v>101.567683387951</v>
      </c>
      <c r="L29" s="135" t="n">
        <f aca="false">F29-(I29-AK29)</f>
        <v>4.56768338795058</v>
      </c>
      <c r="M29" s="248" t="n">
        <v>120</v>
      </c>
      <c r="N29" s="158" t="n">
        <f aca="false">(1.8299*1.03)/2+0.312</f>
        <v>1.2543985</v>
      </c>
      <c r="O29" s="135" t="n">
        <f aca="false">4.1*1.05</f>
        <v>4.305</v>
      </c>
      <c r="P29" s="158" t="n">
        <v>0</v>
      </c>
      <c r="Q29" s="336" t="n">
        <f aca="false">1665200/325851/1.9835*1.02</f>
        <v>2.62793918708062</v>
      </c>
      <c r="R29" s="131" t="n">
        <f aca="false">(5.1*1.04)-T29</f>
        <v>4.16156</v>
      </c>
      <c r="S29" s="131" t="n">
        <v>0</v>
      </c>
      <c r="T29" s="131" t="n">
        <f aca="false">1.0985*1.04</f>
        <v>1.14244</v>
      </c>
      <c r="U29" s="355" t="n">
        <v>0</v>
      </c>
      <c r="V29" s="135" t="n">
        <v>129</v>
      </c>
      <c r="W29" s="135" t="n">
        <v>42</v>
      </c>
      <c r="X29" s="135" t="n">
        <f aca="false">M29-N29-O29-P29-Q29-R29-S29-T29-U29+V29+W29-AT29+AR29</f>
        <v>277.508662312919</v>
      </c>
      <c r="Y29" s="135" t="n">
        <f aca="false">X29-AO29</f>
        <v>277.508662312919</v>
      </c>
      <c r="Z29" s="107"/>
      <c r="AA29" s="135"/>
      <c r="AB29" s="107"/>
      <c r="AC29" s="107" t="n">
        <f aca="false">AS29-AS29</f>
        <v>0</v>
      </c>
      <c r="AD29" s="215" t="n">
        <f aca="false">AD28+AP29+AS29</f>
        <v>2810.7477556781</v>
      </c>
      <c r="AE29" s="135" t="n">
        <v>116</v>
      </c>
      <c r="AF29" s="137" t="n">
        <v>1.7</v>
      </c>
      <c r="AG29" s="138" t="n">
        <v>1.3</v>
      </c>
      <c r="AH29" s="135" t="n">
        <v>50</v>
      </c>
      <c r="AI29" s="107" t="n">
        <f aca="false">AI28-AH29</f>
        <v>6046.25787748929</v>
      </c>
      <c r="AJ29" s="107"/>
      <c r="AK29" s="134" t="n">
        <f aca="false">N29+O29+P29+Q29+R29+S29+T29+U29+X29+AE29+AH29-AR29</f>
        <v>457</v>
      </c>
      <c r="AL29" s="135" t="n">
        <f aca="false">IF(L29&lt;0,L29*-1,0)</f>
        <v>0</v>
      </c>
      <c r="AM29" s="135" t="n">
        <f aca="false">AK29+AL29</f>
        <v>457</v>
      </c>
      <c r="AN29" s="220"/>
      <c r="AO29" s="215"/>
      <c r="AP29" s="97" t="n">
        <f aca="false">(I29-AO29)-Q29-R29-Y29-AF29</f>
        <v>-188.9981615</v>
      </c>
      <c r="AQ29" s="158" t="n">
        <f aca="false">37.06*(Z29*1.9835+AC29*1.9835)/E29</f>
        <v>0</v>
      </c>
      <c r="AR29" s="158"/>
      <c r="AS29" s="135" t="n">
        <v>6</v>
      </c>
      <c r="AU29" s="179" t="n">
        <f aca="false">O29</f>
        <v>4.305</v>
      </c>
      <c r="AV29" s="222" t="n">
        <v>0</v>
      </c>
      <c r="AW29" s="215" t="n">
        <v>85</v>
      </c>
      <c r="AX29" s="215" t="n">
        <v>45</v>
      </c>
      <c r="AY29" s="299"/>
      <c r="AZ29" s="250" t="n">
        <f aca="false">SUM(N29,P29:U29)</f>
        <v>9.18633768708062</v>
      </c>
    </row>
    <row r="30" customFormat="false" ht="12.95" hidden="false" customHeight="true" outlineLevel="0" collapsed="false">
      <c r="A30" s="183" t="n">
        <v>16</v>
      </c>
      <c r="B30" s="106" t="n">
        <v>6877.67</v>
      </c>
      <c r="C30" s="107" t="n">
        <v>209261</v>
      </c>
      <c r="D30" s="215" t="n">
        <f aca="false">C30-C29</f>
        <v>-672</v>
      </c>
      <c r="E30" s="107" t="n">
        <f aca="false">C30-151978</f>
        <v>57283</v>
      </c>
      <c r="F30" s="246" t="n">
        <f aca="false">D30/$D$2</f>
        <v>-338.795059238719</v>
      </c>
      <c r="G30" s="135" t="n">
        <v>92</v>
      </c>
      <c r="H30" s="247" t="n">
        <v>0</v>
      </c>
      <c r="I30" s="135" t="n">
        <f aca="false">G30+H30</f>
        <v>92</v>
      </c>
      <c r="J30" s="136" t="n">
        <f aca="false">IF(L30&gt;0,L30,0)</f>
        <v>0</v>
      </c>
      <c r="K30" s="135" t="n">
        <f aca="false">I30+J30</f>
        <v>92</v>
      </c>
      <c r="L30" s="135" t="n">
        <f aca="false">F30-(I30-AK30)</f>
        <v>-18.7950592387194</v>
      </c>
      <c r="M30" s="248" t="n">
        <v>114</v>
      </c>
      <c r="N30" s="158" t="n">
        <f aca="false">(1.8299*1.03)/2+0.312</f>
        <v>1.2543985</v>
      </c>
      <c r="O30" s="135" t="n">
        <f aca="false">11*1.05</f>
        <v>11.55</v>
      </c>
      <c r="P30" s="158" t="n">
        <v>0</v>
      </c>
      <c r="Q30" s="336" t="n">
        <f aca="false">2067900/325851/1.9835*1.02</f>
        <v>3.26346111275764</v>
      </c>
      <c r="R30" s="131" t="n">
        <f aca="false">(5.1*1.04)-T30</f>
        <v>4.16156</v>
      </c>
      <c r="S30" s="131" t="n">
        <v>0</v>
      </c>
      <c r="T30" s="131" t="n">
        <f aca="false">1.0985*1.04</f>
        <v>1.14244</v>
      </c>
      <c r="U30" s="355" t="n">
        <v>0</v>
      </c>
      <c r="V30" s="135" t="n">
        <v>129</v>
      </c>
      <c r="W30" s="135" t="n">
        <v>42</v>
      </c>
      <c r="X30" s="135" t="n">
        <f aca="false">M30-N30-O30-P30-Q30-R30-S30-T30-U30+V30+W30-AT30+AR30</f>
        <v>263.628140387242</v>
      </c>
      <c r="Y30" s="135" t="n">
        <f aca="false">X30-AO30</f>
        <v>263.628140387242</v>
      </c>
      <c r="Z30" s="107"/>
      <c r="AA30" s="135"/>
      <c r="AB30" s="107"/>
      <c r="AC30" s="107" t="n">
        <f aca="false">AS30-AS30</f>
        <v>0</v>
      </c>
      <c r="AD30" s="215" t="n">
        <f aca="false">AD29+AP30+AS30</f>
        <v>2635.9945941781</v>
      </c>
      <c r="AE30" s="135" t="n">
        <v>77</v>
      </c>
      <c r="AF30" s="137" t="n">
        <v>1.7</v>
      </c>
      <c r="AG30" s="138" t="n">
        <v>1.3</v>
      </c>
      <c r="AH30" s="135" t="n">
        <v>50</v>
      </c>
      <c r="AI30" s="107" t="n">
        <f aca="false">AI29-AH30</f>
        <v>5996.25787748929</v>
      </c>
      <c r="AJ30" s="107"/>
      <c r="AK30" s="134" t="n">
        <f aca="false">N30+O30+P30+Q30+R30+S30+T30+U30+X30+AE30+AH30-AR30</f>
        <v>412</v>
      </c>
      <c r="AL30" s="135" t="n">
        <f aca="false">IF(L30&lt;0,L30*-1,0)</f>
        <v>18.7950592387194</v>
      </c>
      <c r="AM30" s="135" t="n">
        <f aca="false">AK30+AL30</f>
        <v>430.795059238719</v>
      </c>
      <c r="AN30" s="220"/>
      <c r="AO30" s="215"/>
      <c r="AP30" s="97" t="n">
        <f aca="false">(I30-AO30)-Q30-R30-Y30-AF30</f>
        <v>-180.7531615</v>
      </c>
      <c r="AQ30" s="158" t="n">
        <f aca="false">37.06*(Z30*1.9835+AC30*1.9835)/E30</f>
        <v>0</v>
      </c>
      <c r="AR30" s="158"/>
      <c r="AS30" s="135" t="n">
        <v>6</v>
      </c>
      <c r="AU30" s="179" t="n">
        <f aca="false">O30</f>
        <v>11.55</v>
      </c>
      <c r="AV30" s="222" t="n">
        <v>0</v>
      </c>
      <c r="AW30" s="215" t="n">
        <v>84</v>
      </c>
      <c r="AX30" s="215" t="n">
        <v>46</v>
      </c>
      <c r="AY30" s="299"/>
      <c r="AZ30" s="250" t="n">
        <f aca="false">SUM(N30,P30:U30)</f>
        <v>9.82185961275764</v>
      </c>
    </row>
    <row r="31" customFormat="false" ht="12.95" hidden="false" customHeight="true" outlineLevel="0" collapsed="false">
      <c r="A31" s="183" t="n">
        <v>17</v>
      </c>
      <c r="B31" s="106" t="n">
        <v>6877.43</v>
      </c>
      <c r="C31" s="107" t="n">
        <v>208560</v>
      </c>
      <c r="D31" s="215" t="n">
        <f aca="false">C31-C30</f>
        <v>-701</v>
      </c>
      <c r="E31" s="107" t="n">
        <f aca="false">C31-151978</f>
        <v>56582</v>
      </c>
      <c r="F31" s="246" t="n">
        <f aca="false">D31/$D$2</f>
        <v>-353.415679354676</v>
      </c>
      <c r="G31" s="135" t="n">
        <v>90</v>
      </c>
      <c r="H31" s="247" t="n">
        <v>0</v>
      </c>
      <c r="I31" s="135" t="n">
        <f aca="false">G31+H31</f>
        <v>90</v>
      </c>
      <c r="J31" s="136" t="n">
        <f aca="false">IF(L31&gt;0,L31,0)</f>
        <v>0</v>
      </c>
      <c r="K31" s="135" t="n">
        <f aca="false">I31+J31</f>
        <v>90</v>
      </c>
      <c r="L31" s="135" t="n">
        <f aca="false">F31-(I31-AK31)</f>
        <v>-15.4156793546761</v>
      </c>
      <c r="M31" s="248" t="n">
        <v>125</v>
      </c>
      <c r="N31" s="158" t="n">
        <f aca="false">(1.8299*1.03)/2+0.312</f>
        <v>1.2543985</v>
      </c>
      <c r="O31" s="135" t="n">
        <f aca="false">11*1.05</f>
        <v>11.55</v>
      </c>
      <c r="P31" s="158" t="n">
        <v>0</v>
      </c>
      <c r="Q31" s="336" t="n">
        <f aca="false">1724300/325851/1.9835*1.02</f>
        <v>2.7212079871986</v>
      </c>
      <c r="R31" s="131" t="n">
        <f aca="false">(5.1*1.04)-T31</f>
        <v>4.16156</v>
      </c>
      <c r="S31" s="131" t="n">
        <v>0</v>
      </c>
      <c r="T31" s="131" t="n">
        <f aca="false">1.0985*1.04</f>
        <v>1.14244</v>
      </c>
      <c r="U31" s="355" t="n">
        <v>0</v>
      </c>
      <c r="V31" s="135" t="n">
        <v>128</v>
      </c>
      <c r="W31" s="135" t="n">
        <v>30</v>
      </c>
      <c r="X31" s="135" t="n">
        <f aca="false">M31-N31-O31-P31-Q31-R31-S31-T31-U31+V31+W31-AT31+AR31</f>
        <v>262.170393512801</v>
      </c>
      <c r="Y31" s="135" t="n">
        <f aca="false">X31-AO31</f>
        <v>262.170393512801</v>
      </c>
      <c r="Z31" s="107"/>
      <c r="AA31" s="135"/>
      <c r="AB31" s="107"/>
      <c r="AC31" s="107" t="n">
        <f aca="false">AS31-AS31</f>
        <v>0</v>
      </c>
      <c r="AD31" s="215" t="n">
        <f aca="false">AD30+AP31+AS31</f>
        <v>2482.2414326781</v>
      </c>
      <c r="AE31" s="135" t="n">
        <v>102</v>
      </c>
      <c r="AF31" s="137" t="n">
        <v>1.7</v>
      </c>
      <c r="AG31" s="138" t="n">
        <v>1.3</v>
      </c>
      <c r="AH31" s="135" t="n">
        <v>43</v>
      </c>
      <c r="AI31" s="107" t="n">
        <f aca="false">AI30-AH31</f>
        <v>5953.25787748929</v>
      </c>
      <c r="AJ31" s="107"/>
      <c r="AK31" s="134" t="n">
        <f aca="false">N31+O31+P31+Q31+R31+S31+T31+U31+X31+AE31+AH31-AR31</f>
        <v>428</v>
      </c>
      <c r="AL31" s="135" t="n">
        <f aca="false">IF(L31&lt;0,L31*-1,0)</f>
        <v>15.4156793546761</v>
      </c>
      <c r="AM31" s="135" t="n">
        <f aca="false">AK31+AL31</f>
        <v>443.415679354676</v>
      </c>
      <c r="AN31" s="220"/>
      <c r="AO31" s="215"/>
      <c r="AP31" s="97" t="n">
        <f aca="false">(I31-AO31)-Q31-R31-Y31-AF31</f>
        <v>-180.7531615</v>
      </c>
      <c r="AQ31" s="158" t="n">
        <f aca="false">37.06*(Z31*1.9835+AC31*1.9835)/E31</f>
        <v>0</v>
      </c>
      <c r="AR31" s="158"/>
      <c r="AS31" s="135" t="n">
        <v>27</v>
      </c>
      <c r="AU31" s="179" t="n">
        <f aca="false">O31</f>
        <v>11.55</v>
      </c>
      <c r="AV31" s="222" t="n">
        <v>0</v>
      </c>
      <c r="AW31" s="215" t="n">
        <v>80</v>
      </c>
      <c r="AX31" s="215" t="n">
        <v>47</v>
      </c>
      <c r="AY31" s="299"/>
      <c r="AZ31" s="250" t="n">
        <f aca="false">SUM(N31,P31:U31)</f>
        <v>9.2796064871986</v>
      </c>
    </row>
    <row r="32" customFormat="false" ht="12.95" hidden="false" customHeight="true" outlineLevel="0" collapsed="false">
      <c r="A32" s="183" t="n">
        <v>18</v>
      </c>
      <c r="B32" s="106" t="n">
        <v>6877.16</v>
      </c>
      <c r="C32" s="107" t="n">
        <v>207771</v>
      </c>
      <c r="D32" s="215" t="n">
        <f aca="false">C32-C31</f>
        <v>-789</v>
      </c>
      <c r="E32" s="107" t="n">
        <f aca="false">C32-151978</f>
        <v>55793</v>
      </c>
      <c r="F32" s="246" t="n">
        <f aca="false">D32/$D$2</f>
        <v>-397.781699016889</v>
      </c>
      <c r="G32" s="135" t="n">
        <v>51</v>
      </c>
      <c r="H32" s="247" t="n">
        <v>0</v>
      </c>
      <c r="I32" s="135" t="n">
        <f aca="false">G32+H32</f>
        <v>51</v>
      </c>
      <c r="J32" s="136" t="n">
        <f aca="false">IF(L32&gt;0,L32,0)</f>
        <v>0</v>
      </c>
      <c r="K32" s="135" t="n">
        <f aca="false">I32+J32</f>
        <v>51</v>
      </c>
      <c r="L32" s="135" t="n">
        <f aca="false">F32-(I32-AK32)</f>
        <v>-14.7816990168893</v>
      </c>
      <c r="M32" s="248" t="n">
        <v>138</v>
      </c>
      <c r="N32" s="158" t="n">
        <f aca="false">(1.8299*1.03)/2+0.312</f>
        <v>1.2543985</v>
      </c>
      <c r="O32" s="135" t="n">
        <f aca="false">25*1.05</f>
        <v>26.25</v>
      </c>
      <c r="P32" s="158" t="n">
        <v>0</v>
      </c>
      <c r="Q32" s="336" t="n">
        <f aca="false">1558800/325851/1.9835*1.02</f>
        <v>2.46002378382253</v>
      </c>
      <c r="R32" s="131" t="n">
        <f aca="false">(5.1*1.04)-T32</f>
        <v>4.16156</v>
      </c>
      <c r="S32" s="131" t="n">
        <v>0</v>
      </c>
      <c r="T32" s="131" t="n">
        <f aca="false">1.0985*1.04</f>
        <v>1.14244</v>
      </c>
      <c r="U32" s="355" t="n">
        <v>0</v>
      </c>
      <c r="V32" s="135" t="n">
        <v>128</v>
      </c>
      <c r="W32" s="135" t="n">
        <v>37</v>
      </c>
      <c r="X32" s="135" t="n">
        <f aca="false">M32-N32-O32-P32-Q32-R32-S32-T32-U32+V32+W32-AT32+AR32</f>
        <v>267.731577716177</v>
      </c>
      <c r="Y32" s="135" t="n">
        <f aca="false">X32-AO32</f>
        <v>267.731577716177</v>
      </c>
      <c r="Z32" s="107"/>
      <c r="AA32" s="135"/>
      <c r="AB32" s="107"/>
      <c r="AC32" s="107" t="n">
        <f aca="false">AS32-AS32</f>
        <v>0</v>
      </c>
      <c r="AD32" s="215" t="n">
        <f aca="false">AD31+AP32+AS32</f>
        <v>2263.4082711781</v>
      </c>
      <c r="AE32" s="135" t="n">
        <v>93</v>
      </c>
      <c r="AF32" s="137" t="n">
        <v>1.7</v>
      </c>
      <c r="AG32" s="138" t="n">
        <v>1.3</v>
      </c>
      <c r="AH32" s="135" t="n">
        <v>38</v>
      </c>
      <c r="AI32" s="107" t="n">
        <f aca="false">AI31-AH32</f>
        <v>5915.25787748929</v>
      </c>
      <c r="AJ32" s="107"/>
      <c r="AK32" s="134" t="n">
        <f aca="false">N32+O32+P32+Q32+R32+S32+T32+U32+X32+AE32+AH32-AR32</f>
        <v>434</v>
      </c>
      <c r="AL32" s="135" t="n">
        <f aca="false">IF(L32&lt;0,L32*-1,0)</f>
        <v>14.7816990168893</v>
      </c>
      <c r="AM32" s="135" t="n">
        <f aca="false">AK32+AL32</f>
        <v>448.781699016889</v>
      </c>
      <c r="AN32" s="220"/>
      <c r="AO32" s="215"/>
      <c r="AP32" s="97" t="n">
        <f aca="false">(I32-AO32)-Q32-R32-Y32-AF32</f>
        <v>-225.0531615</v>
      </c>
      <c r="AQ32" s="158" t="n">
        <f aca="false">37.06*(Z32*1.9835+AC32*1.9835)/E32</f>
        <v>0</v>
      </c>
      <c r="AR32" s="158"/>
      <c r="AS32" s="135" t="n">
        <v>6.22</v>
      </c>
      <c r="AU32" s="179" t="n">
        <f aca="false">O32</f>
        <v>26.25</v>
      </c>
      <c r="AV32" s="222" t="n">
        <v>0</v>
      </c>
      <c r="AW32" s="215" t="n">
        <v>80</v>
      </c>
      <c r="AX32" s="215" t="n">
        <v>44</v>
      </c>
      <c r="AY32" s="299"/>
      <c r="AZ32" s="250" t="n">
        <f aca="false">SUM(N32,P32:U32)</f>
        <v>9.01842228382253</v>
      </c>
    </row>
    <row r="33" customFormat="false" ht="12.95" hidden="false" customHeight="true" outlineLevel="0" collapsed="false">
      <c r="A33" s="183" t="n">
        <v>19</v>
      </c>
      <c r="B33" s="106" t="n">
        <v>6876.87</v>
      </c>
      <c r="C33" s="107" t="n">
        <v>206928</v>
      </c>
      <c r="D33" s="215" t="n">
        <f aca="false">C33-C32</f>
        <v>-843</v>
      </c>
      <c r="E33" s="107" t="n">
        <f aca="false">C33-151978</f>
        <v>54950</v>
      </c>
      <c r="F33" s="246" t="n">
        <f aca="false">D33/$D$2</f>
        <v>-425.006301991429</v>
      </c>
      <c r="G33" s="135" t="n">
        <v>44</v>
      </c>
      <c r="H33" s="247" t="n">
        <v>0</v>
      </c>
      <c r="I33" s="135" t="n">
        <f aca="false">G33+H33</f>
        <v>44</v>
      </c>
      <c r="J33" s="136" t="n">
        <f aca="false">IF(L33&gt;0,L33,0)</f>
        <v>0</v>
      </c>
      <c r="K33" s="135" t="n">
        <f aca="false">I33+J33</f>
        <v>44</v>
      </c>
      <c r="L33" s="135" t="n">
        <f aca="false">F33-(I33-AK33)</f>
        <v>-15.0063019914293</v>
      </c>
      <c r="M33" s="248" t="n">
        <v>173</v>
      </c>
      <c r="N33" s="158" t="n">
        <f aca="false">(1.8299*1.03)/2+0.312</f>
        <v>1.2543985</v>
      </c>
      <c r="O33" s="135" t="n">
        <f aca="false">53*1.05</f>
        <v>55.65</v>
      </c>
      <c r="P33" s="158" t="n">
        <v>0</v>
      </c>
      <c r="Q33" s="336" t="n">
        <f aca="false">1668300/325851/1.9835*1.02</f>
        <v>2.63283145916803</v>
      </c>
      <c r="R33" s="131" t="n">
        <f aca="false">(5.1*1.04)-T33</f>
        <v>4.16156</v>
      </c>
      <c r="S33" s="131" t="n">
        <v>0</v>
      </c>
      <c r="T33" s="131" t="n">
        <f aca="false">1.0985*1.04</f>
        <v>1.14244</v>
      </c>
      <c r="U33" s="355" t="n">
        <v>0</v>
      </c>
      <c r="V33" s="135" t="n">
        <v>113</v>
      </c>
      <c r="W33" s="135" t="n">
        <v>42</v>
      </c>
      <c r="X33" s="135" t="n">
        <f aca="false">M33-N33-O33-P33-Q33-R33-S33-T33-U33+V33+W33-AT33+AR33</f>
        <v>263.158770040832</v>
      </c>
      <c r="Y33" s="135" t="n">
        <f aca="false">X33-AO33</f>
        <v>263.158770040832</v>
      </c>
      <c r="Z33" s="107"/>
      <c r="AA33" s="135"/>
      <c r="AB33" s="107"/>
      <c r="AC33" s="107" t="n">
        <f aca="false">AS33-AS33</f>
        <v>0</v>
      </c>
      <c r="AD33" s="215" t="n">
        <f aca="false">AD32+AP33+AS33</f>
        <v>2041.9751096781</v>
      </c>
      <c r="AE33" s="135" t="n">
        <v>88</v>
      </c>
      <c r="AF33" s="137" t="n">
        <v>1.7</v>
      </c>
      <c r="AG33" s="138" t="n">
        <v>1.3</v>
      </c>
      <c r="AH33" s="135" t="n">
        <v>38</v>
      </c>
      <c r="AI33" s="107" t="n">
        <f aca="false">AI32-AH33</f>
        <v>5877.25787748929</v>
      </c>
      <c r="AJ33" s="107"/>
      <c r="AK33" s="134" t="n">
        <f aca="false">N33+O33+P33+Q33+R33+S33+T33+U33+X33+AE33+AH33-AR33</f>
        <v>454</v>
      </c>
      <c r="AL33" s="135" t="n">
        <f aca="false">IF(L33&lt;0,L33*-1,0)</f>
        <v>15.0063019914293</v>
      </c>
      <c r="AM33" s="135" t="n">
        <f aca="false">AK33+AL33</f>
        <v>469.006301991429</v>
      </c>
      <c r="AN33" s="220"/>
      <c r="AO33" s="215"/>
      <c r="AP33" s="97" t="n">
        <f aca="false">(I33-AO33)-Q33-R33-Y33-AF33</f>
        <v>-227.6531615</v>
      </c>
      <c r="AQ33" s="158" t="n">
        <f aca="false">37.06*(Z33*1.9835+AC33*1.9835)/E33</f>
        <v>0</v>
      </c>
      <c r="AR33" s="158"/>
      <c r="AS33" s="135" t="n">
        <v>6.22</v>
      </c>
      <c r="AU33" s="179" t="n">
        <f aca="false">O33</f>
        <v>55.65</v>
      </c>
      <c r="AV33" s="222" t="n">
        <v>0</v>
      </c>
      <c r="AW33" s="215" t="n">
        <v>83</v>
      </c>
      <c r="AX33" s="215" t="n">
        <v>45</v>
      </c>
      <c r="AY33" s="299"/>
      <c r="AZ33" s="250" t="n">
        <f aca="false">SUM(N33,P33:U33)</f>
        <v>9.19122995916803</v>
      </c>
    </row>
    <row r="34" customFormat="false" ht="12.95" hidden="false" customHeight="true" outlineLevel="0" collapsed="false">
      <c r="A34" s="183" t="n">
        <v>20</v>
      </c>
      <c r="B34" s="106" t="n">
        <v>6876.62</v>
      </c>
      <c r="C34" s="107" t="n">
        <v>206206</v>
      </c>
      <c r="D34" s="215" t="n">
        <f aca="false">C34-C33</f>
        <v>-722</v>
      </c>
      <c r="E34" s="107" t="n">
        <f aca="false">C34-151978</f>
        <v>54228</v>
      </c>
      <c r="F34" s="246" t="n">
        <f aca="false">D34/$D$2</f>
        <v>-364.003024955886</v>
      </c>
      <c r="G34" s="135" t="n">
        <v>42</v>
      </c>
      <c r="H34" s="247" t="n">
        <v>0</v>
      </c>
      <c r="I34" s="135" t="n">
        <f aca="false">G34+H34</f>
        <v>42</v>
      </c>
      <c r="J34" s="136" t="n">
        <f aca="false">IF(L34&gt;0,L34,0)</f>
        <v>0</v>
      </c>
      <c r="K34" s="135" t="n">
        <f aca="false">I34+J34</f>
        <v>42</v>
      </c>
      <c r="L34" s="135" t="n">
        <f aca="false">F34-(I34-AK34)</f>
        <v>-13.0030249558861</v>
      </c>
      <c r="M34" s="248" t="n">
        <v>138</v>
      </c>
      <c r="N34" s="158" t="n">
        <f aca="false">(1.8299*1.03)/2+0.312</f>
        <v>1.2543985</v>
      </c>
      <c r="O34" s="135" t="n">
        <f aca="false">61*1.05</f>
        <v>64.05</v>
      </c>
      <c r="P34" s="158" t="n">
        <v>0</v>
      </c>
      <c r="Q34" s="336" t="n">
        <f aca="false">1652000/325851/1.9835*1.02</f>
        <v>2.60710757690199</v>
      </c>
      <c r="R34" s="131" t="n">
        <f aca="false">(5.1*1.04)-T34</f>
        <v>4.16156</v>
      </c>
      <c r="S34" s="131" t="n">
        <v>0</v>
      </c>
      <c r="T34" s="131" t="n">
        <f aca="false">1.0985*1.04</f>
        <v>1.14244</v>
      </c>
      <c r="U34" s="355" t="n">
        <v>0</v>
      </c>
      <c r="V34" s="135" t="n">
        <v>89</v>
      </c>
      <c r="W34" s="135" t="n">
        <v>42</v>
      </c>
      <c r="X34" s="135" t="n">
        <f aca="false">M34-N34-O34-P34-Q34-R34-S34-T34-U34+V34+W34-AT34+AR34</f>
        <v>195.784493923098</v>
      </c>
      <c r="Y34" s="135" t="n">
        <f aca="false">X34-AO34</f>
        <v>195.784493923098</v>
      </c>
      <c r="Z34" s="107"/>
      <c r="AA34" s="135"/>
      <c r="AB34" s="107"/>
      <c r="AC34" s="107" t="n">
        <f aca="false">AS34-AS34</f>
        <v>0</v>
      </c>
      <c r="AD34" s="215" t="n">
        <f aca="false">AD33+AP34+AS34</f>
        <v>1885.9419481781</v>
      </c>
      <c r="AE34" s="135" t="n">
        <v>86</v>
      </c>
      <c r="AF34" s="137" t="n">
        <v>1.7</v>
      </c>
      <c r="AG34" s="138" t="n">
        <v>1.3</v>
      </c>
      <c r="AH34" s="135" t="n">
        <v>38</v>
      </c>
      <c r="AI34" s="107" t="n">
        <f aca="false">AI33-AH34</f>
        <v>5839.25787748929</v>
      </c>
      <c r="AJ34" s="107"/>
      <c r="AK34" s="134" t="n">
        <f aca="false">N34+O34+P34+Q34+R34+S34+T34+U34+X34+AE34+AH34-AR34</f>
        <v>393</v>
      </c>
      <c r="AL34" s="135" t="n">
        <f aca="false">IF(L34&lt;0,L34*-1,0)</f>
        <v>13.0030249558861</v>
      </c>
      <c r="AM34" s="135" t="n">
        <f aca="false">AK34+AL34</f>
        <v>406.003024955886</v>
      </c>
      <c r="AN34" s="220"/>
      <c r="AO34" s="215"/>
      <c r="AP34" s="97" t="n">
        <f aca="false">(I34-AO34)-Q34-R34-Y34-AF34</f>
        <v>-162.2531615</v>
      </c>
      <c r="AQ34" s="158" t="n">
        <f aca="false">37.06*(Z34*1.9835+AC34*1.9835)/E34</f>
        <v>0</v>
      </c>
      <c r="AR34" s="158"/>
      <c r="AS34" s="135" t="n">
        <v>6.22</v>
      </c>
      <c r="AU34" s="179" t="n">
        <f aca="false">O34</f>
        <v>64.05</v>
      </c>
      <c r="AV34" s="222" t="n">
        <v>0</v>
      </c>
      <c r="AW34" s="215" t="n">
        <v>82</v>
      </c>
      <c r="AX34" s="215" t="n">
        <v>45</v>
      </c>
      <c r="AY34" s="299"/>
      <c r="AZ34" s="250" t="n">
        <f aca="false">SUM(N34,P34:U34)</f>
        <v>9.16550607690199</v>
      </c>
    </row>
    <row r="35" customFormat="false" ht="12.95" hidden="false" customHeight="true" outlineLevel="0" collapsed="false">
      <c r="A35" s="183" t="n">
        <v>21</v>
      </c>
      <c r="B35" s="106" t="n">
        <v>6876.33</v>
      </c>
      <c r="C35" s="107" t="n">
        <v>205368</v>
      </c>
      <c r="D35" s="215" t="n">
        <f aca="false">C35-C34</f>
        <v>-838</v>
      </c>
      <c r="E35" s="107" t="n">
        <f aca="false">C35-151978</f>
        <v>53390</v>
      </c>
      <c r="F35" s="246" t="n">
        <f aca="false">D35/$D$2</f>
        <v>-422.485505419713</v>
      </c>
      <c r="G35" s="135" t="n">
        <v>40</v>
      </c>
      <c r="H35" s="247" t="n">
        <v>0</v>
      </c>
      <c r="I35" s="135" t="n">
        <f aca="false">G35+H35</f>
        <v>40</v>
      </c>
      <c r="J35" s="136" t="n">
        <f aca="false">IF(L35&gt;0,L35,0)</f>
        <v>0</v>
      </c>
      <c r="K35" s="135" t="n">
        <f aca="false">I35+J35</f>
        <v>40</v>
      </c>
      <c r="L35" s="135" t="n">
        <f aca="false">F35-(I35-AK35)</f>
        <v>-5.4855054197127</v>
      </c>
      <c r="M35" s="248" t="n">
        <v>203</v>
      </c>
      <c r="N35" s="158" t="n">
        <f aca="false">(1.8299*1.03)/2+0.312</f>
        <v>1.2543985</v>
      </c>
      <c r="O35" s="135" t="n">
        <f aca="false">86*1.05</f>
        <v>90.3</v>
      </c>
      <c r="P35" s="158" t="n">
        <v>0</v>
      </c>
      <c r="Q35" s="336" t="n">
        <f aca="false">1763200/325851/1.9835*1.02</f>
        <v>2.78259811113413</v>
      </c>
      <c r="R35" s="131" t="n">
        <v>4.2</v>
      </c>
      <c r="S35" s="131" t="n">
        <f aca="false">((5.7*1.04)-T35)-4.2</f>
        <v>0.676144000000001</v>
      </c>
      <c r="T35" s="131" t="n">
        <f aca="false">1.0114*1.04</f>
        <v>1.051856</v>
      </c>
      <c r="U35" s="355" t="n">
        <v>0</v>
      </c>
      <c r="V35" s="135" t="n">
        <v>82</v>
      </c>
      <c r="W35" s="135" t="n">
        <v>41</v>
      </c>
      <c r="X35" s="135" t="n">
        <f aca="false">M35-N35-O35-P35-Q35-R35-S35-T35-U35+V35+W35-AT35+AR35</f>
        <v>225.735003388866</v>
      </c>
      <c r="Y35" s="135" t="n">
        <f aca="false">X35-AO35</f>
        <v>225.735003388866</v>
      </c>
      <c r="Z35" s="107"/>
      <c r="AA35" s="135"/>
      <c r="AB35" s="107"/>
      <c r="AC35" s="107" t="n">
        <f aca="false">AS35-AS35</f>
        <v>0</v>
      </c>
      <c r="AD35" s="215" t="n">
        <f aca="false">AD34+AP35+AS35</f>
        <v>1697.7443466781</v>
      </c>
      <c r="AE35" s="135" t="n">
        <v>93</v>
      </c>
      <c r="AF35" s="137" t="n">
        <v>1.7</v>
      </c>
      <c r="AG35" s="138" t="n">
        <v>1.3</v>
      </c>
      <c r="AH35" s="135" t="n">
        <v>38</v>
      </c>
      <c r="AI35" s="107" t="n">
        <f aca="false">AI34-AH35</f>
        <v>5801.25787748929</v>
      </c>
      <c r="AJ35" s="107"/>
      <c r="AK35" s="134" t="n">
        <f aca="false">N35+O35+P35+Q35+R35+S35+T35+U35+X35+AE35+AH35-AR35</f>
        <v>457</v>
      </c>
      <c r="AL35" s="135" t="n">
        <f aca="false">IF(L35&lt;0,L35*-1,0)</f>
        <v>5.4855054197127</v>
      </c>
      <c r="AM35" s="135" t="n">
        <f aca="false">AK35+AL35</f>
        <v>462.485505419713</v>
      </c>
      <c r="AN35" s="220"/>
      <c r="AO35" s="215"/>
      <c r="AP35" s="97" t="n">
        <f aca="false">(I35-AO35)-Q35-R35-Y35-AF35</f>
        <v>-194.4176015</v>
      </c>
      <c r="AQ35" s="158" t="n">
        <f aca="false">37.06*(Z35*1.9835+AC35*1.9835)/E35</f>
        <v>0</v>
      </c>
      <c r="AR35" s="158"/>
      <c r="AS35" s="135" t="n">
        <v>6.22</v>
      </c>
      <c r="AU35" s="179" t="n">
        <f aca="false">O35</f>
        <v>90.3</v>
      </c>
      <c r="AV35" s="222" t="n">
        <v>0</v>
      </c>
      <c r="AW35" s="215" t="n">
        <v>84</v>
      </c>
      <c r="AX35" s="215" t="n">
        <v>48</v>
      </c>
      <c r="AY35" s="299"/>
      <c r="AZ35" s="250" t="n">
        <f aca="false">SUM(N35,P35:U35)</f>
        <v>9.96499661113413</v>
      </c>
    </row>
    <row r="36" customFormat="false" ht="12.95" hidden="false" customHeight="true" outlineLevel="0" collapsed="false">
      <c r="A36" s="183" t="n">
        <v>22</v>
      </c>
      <c r="B36" s="106" t="n">
        <v>6876.1</v>
      </c>
      <c r="C36" s="107" t="n">
        <v>204704</v>
      </c>
      <c r="D36" s="215" t="n">
        <f aca="false">C36-C35</f>
        <v>-664</v>
      </c>
      <c r="E36" s="107" t="n">
        <f aca="false">C36-151978</f>
        <v>52726</v>
      </c>
      <c r="F36" s="246" t="n">
        <f aca="false">D36/$D$2</f>
        <v>-334.761784723973</v>
      </c>
      <c r="G36" s="135" t="n">
        <v>38</v>
      </c>
      <c r="H36" s="247" t="n">
        <v>0</v>
      </c>
      <c r="I36" s="135" t="n">
        <f aca="false">G36+H36</f>
        <v>38</v>
      </c>
      <c r="J36" s="136" t="n">
        <f aca="false">IF(L36&gt;0,L36,0)</f>
        <v>3.23821527602723</v>
      </c>
      <c r="K36" s="135" t="n">
        <f aca="false">I36+J36</f>
        <v>41.2382152760272</v>
      </c>
      <c r="L36" s="135" t="n">
        <f aca="false">F36-(I36-AK36)</f>
        <v>3.23821527602723</v>
      </c>
      <c r="M36" s="248" t="n">
        <v>147</v>
      </c>
      <c r="N36" s="158" t="n">
        <f aca="false">(1.8299*1.03)/2+0.312</f>
        <v>1.2543985</v>
      </c>
      <c r="O36" s="135" t="n">
        <f aca="false">76*1.05</f>
        <v>79.8</v>
      </c>
      <c r="P36" s="158" t="n">
        <v>0</v>
      </c>
      <c r="Q36" s="336" t="n">
        <f aca="false">1829200/325851/1.9835*1.02</f>
        <v>2.88675616202731</v>
      </c>
      <c r="R36" s="131" t="n">
        <v>4.2</v>
      </c>
      <c r="S36" s="131" t="n">
        <f aca="false">((5.5*1.04)-T36)-4.2</f>
        <v>0.468144000000001</v>
      </c>
      <c r="T36" s="131" t="n">
        <f aca="false">1.0114*1.04</f>
        <v>1.051856</v>
      </c>
      <c r="U36" s="355" t="n">
        <v>0</v>
      </c>
      <c r="V36" s="135" t="n">
        <v>75</v>
      </c>
      <c r="W36" s="135" t="n">
        <v>41</v>
      </c>
      <c r="X36" s="135" t="n">
        <f aca="false">M36-N36-O36-P36-Q36-R36-S36-T36-U36+V36+W36-AT36+AR36</f>
        <v>173.338845337973</v>
      </c>
      <c r="Y36" s="135" t="n">
        <f aca="false">X36-AO36</f>
        <v>173.338845337973</v>
      </c>
      <c r="Z36" s="107"/>
      <c r="AA36" s="135"/>
      <c r="AB36" s="107"/>
      <c r="AC36" s="107" t="n">
        <f aca="false">AS36-AS36</f>
        <v>0</v>
      </c>
      <c r="AD36" s="215" t="n">
        <f aca="false">AD35+AP36+AS36</f>
        <v>1559.8387451781</v>
      </c>
      <c r="AE36" s="135" t="n">
        <v>75</v>
      </c>
      <c r="AF36" s="137" t="n">
        <v>1.7</v>
      </c>
      <c r="AG36" s="138" t="n">
        <v>1.3</v>
      </c>
      <c r="AH36" s="135" t="n">
        <v>38</v>
      </c>
      <c r="AI36" s="107" t="n">
        <f aca="false">AI35-AH36</f>
        <v>5763.25787748929</v>
      </c>
      <c r="AJ36" s="107"/>
      <c r="AK36" s="134" t="n">
        <f aca="false">N36+O36+P36+Q36+R36+S36+T36+U36+X36+AE36+AH36-AR36</f>
        <v>376</v>
      </c>
      <c r="AL36" s="135" t="n">
        <f aca="false">IF(L36&lt;0,L36*-1,0)</f>
        <v>0</v>
      </c>
      <c r="AM36" s="135" t="n">
        <f aca="false">AK36+AL36</f>
        <v>376</v>
      </c>
      <c r="AN36" s="220"/>
      <c r="AO36" s="215"/>
      <c r="AP36" s="97" t="n">
        <f aca="false">(I36-AO36)-Q36-R36-Y36-AF36</f>
        <v>-144.1256015</v>
      </c>
      <c r="AQ36" s="158" t="n">
        <f aca="false">37.06*(Z36*1.9835+AC36*1.9835)/E36</f>
        <v>0</v>
      </c>
      <c r="AR36" s="158"/>
      <c r="AS36" s="135" t="n">
        <v>6.22</v>
      </c>
      <c r="AU36" s="179" t="n">
        <f aca="false">O36</f>
        <v>79.8</v>
      </c>
      <c r="AV36" s="222" t="n">
        <v>0</v>
      </c>
      <c r="AW36" s="215" t="n">
        <v>83</v>
      </c>
      <c r="AX36" s="215" t="n">
        <v>48</v>
      </c>
      <c r="AY36" s="299"/>
      <c r="AZ36" s="250" t="n">
        <f aca="false">SUM(N36,P36:U36)</f>
        <v>9.86115466202731</v>
      </c>
    </row>
    <row r="37" customFormat="false" ht="12.95" hidden="false" customHeight="true" outlineLevel="0" collapsed="false">
      <c r="A37" s="183" t="n">
        <v>23</v>
      </c>
      <c r="B37" s="106" t="n">
        <v>6875.83</v>
      </c>
      <c r="C37" s="107" t="n">
        <v>203930</v>
      </c>
      <c r="D37" s="215" t="n">
        <f aca="false">C37-C36</f>
        <v>-774</v>
      </c>
      <c r="E37" s="107" t="n">
        <f aca="false">C37-151978</f>
        <v>51952</v>
      </c>
      <c r="F37" s="246" t="n">
        <f aca="false">D37/$D$2</f>
        <v>-390.219309301739</v>
      </c>
      <c r="G37" s="135" t="n">
        <v>36</v>
      </c>
      <c r="H37" s="247" t="n">
        <v>0</v>
      </c>
      <c r="I37" s="135" t="n">
        <f aca="false">G37+H37</f>
        <v>36</v>
      </c>
      <c r="J37" s="136" t="n">
        <f aca="false">IF(L37&gt;0,L37,0)</f>
        <v>0</v>
      </c>
      <c r="K37" s="135" t="n">
        <f aca="false">I37+J37</f>
        <v>36</v>
      </c>
      <c r="L37" s="135" t="n">
        <f aca="false">F37-(I37-AK37)</f>
        <v>-7.21930930173932</v>
      </c>
      <c r="M37" s="248" t="n">
        <v>173</v>
      </c>
      <c r="N37" s="158" t="n">
        <f aca="false">(1.8299*1.03)/2+0.312</f>
        <v>1.2543985</v>
      </c>
      <c r="O37" s="135" t="n">
        <f aca="false">76*1.05</f>
        <v>79.8</v>
      </c>
      <c r="P37" s="158" t="n">
        <v>0</v>
      </c>
      <c r="Q37" s="336" t="n">
        <f aca="false">1798700/325851/1.9835*1.02</f>
        <v>2.83862251729637</v>
      </c>
      <c r="R37" s="131" t="n">
        <f aca="false">(4.9*1.04)-T37</f>
        <v>4.044144</v>
      </c>
      <c r="S37" s="131" t="n">
        <v>0</v>
      </c>
      <c r="T37" s="131" t="n">
        <f aca="false">1.0114*1.04</f>
        <v>1.051856</v>
      </c>
      <c r="U37" s="355" t="n">
        <v>0</v>
      </c>
      <c r="V37" s="135" t="n">
        <v>77</v>
      </c>
      <c r="W37" s="135" t="n">
        <v>41</v>
      </c>
      <c r="X37" s="135" t="n">
        <f aca="false">M37-N37-O37-P37-Q37-R37-S37-T37-U37+V37+W37-AT37+AR37</f>
        <v>202.010978982704</v>
      </c>
      <c r="Y37" s="135" t="n">
        <f aca="false">X37-AO37</f>
        <v>202.010978982704</v>
      </c>
      <c r="Z37" s="107"/>
      <c r="AA37" s="135"/>
      <c r="AB37" s="107"/>
      <c r="AC37" s="107" t="n">
        <f aca="false">AS37-AS37</f>
        <v>0</v>
      </c>
      <c r="AD37" s="215" t="n">
        <f aca="false">AD36+AP37+AS37</f>
        <v>1391.4649996781</v>
      </c>
      <c r="AE37" s="135" t="n">
        <v>90</v>
      </c>
      <c r="AF37" s="137" t="n">
        <v>1.7</v>
      </c>
      <c r="AG37" s="138" t="n">
        <v>1.3</v>
      </c>
      <c r="AH37" s="135" t="n">
        <v>38</v>
      </c>
      <c r="AI37" s="107" t="n">
        <f aca="false">AI36-AH37</f>
        <v>5725.25787748929</v>
      </c>
      <c r="AJ37" s="107"/>
      <c r="AK37" s="134" t="n">
        <f aca="false">N37+O37+P37+Q37+R37+S37+T37+U37+X37+AE37+AH37-AR37</f>
        <v>419</v>
      </c>
      <c r="AL37" s="135" t="n">
        <f aca="false">IF(L37&lt;0,L37*-1,0)</f>
        <v>7.21930930173932</v>
      </c>
      <c r="AM37" s="135" t="n">
        <f aca="false">AK37+AL37</f>
        <v>426.219309301739</v>
      </c>
      <c r="AN37" s="220"/>
      <c r="AO37" s="215"/>
      <c r="AP37" s="97" t="n">
        <f aca="false">(I37-AO37)-Q37-R37-Y37-AF37</f>
        <v>-174.5937455</v>
      </c>
      <c r="AQ37" s="158" t="n">
        <f aca="false">37.06*(Z37*1.9835+AC37*1.9835)/E37</f>
        <v>0</v>
      </c>
      <c r="AR37" s="158"/>
      <c r="AS37" s="135" t="n">
        <v>6.22</v>
      </c>
      <c r="AU37" s="179" t="n">
        <f aca="false">O37</f>
        <v>79.8</v>
      </c>
      <c r="AV37" s="222" t="n">
        <v>0</v>
      </c>
      <c r="AW37" s="215" t="n">
        <v>83</v>
      </c>
      <c r="AX37" s="215" t="n">
        <v>50</v>
      </c>
      <c r="AY37" s="299"/>
      <c r="AZ37" s="250" t="n">
        <f aca="false">SUM(N37,P37:U37)</f>
        <v>9.18902101729637</v>
      </c>
    </row>
    <row r="38" customFormat="false" ht="12.95" hidden="false" customHeight="true" outlineLevel="0" collapsed="false">
      <c r="A38" s="183" t="n">
        <v>24</v>
      </c>
      <c r="B38" s="106" t="n">
        <v>6875.61</v>
      </c>
      <c r="C38" s="107" t="n">
        <v>203302</v>
      </c>
      <c r="D38" s="215" t="n">
        <f aca="false">C38-C37</f>
        <v>-628</v>
      </c>
      <c r="E38" s="107" t="n">
        <f aca="false">C38-151978</f>
        <v>51324</v>
      </c>
      <c r="F38" s="246" t="n">
        <f aca="false">D38/$D$2</f>
        <v>-316.612049407613</v>
      </c>
      <c r="G38" s="135" t="n">
        <v>33</v>
      </c>
      <c r="H38" s="247" t="n">
        <v>0</v>
      </c>
      <c r="I38" s="135" t="n">
        <f aca="false">G38+H38</f>
        <v>33</v>
      </c>
      <c r="J38" s="136" t="n">
        <f aca="false">IF(L38&gt;0,L38,0)</f>
        <v>21.3879505923872</v>
      </c>
      <c r="K38" s="135" t="n">
        <f aca="false">I38+J38</f>
        <v>54.3879505923872</v>
      </c>
      <c r="L38" s="135" t="n">
        <f aca="false">F38-(I38-AK38)</f>
        <v>21.3879505923872</v>
      </c>
      <c r="M38" s="248" t="n">
        <v>146</v>
      </c>
      <c r="N38" s="158" t="n">
        <f aca="false">(1.8299*1.03)/2+0.312</f>
        <v>1.2543985</v>
      </c>
      <c r="O38" s="135" t="n">
        <f aca="false">75*1.05</f>
        <v>78.75</v>
      </c>
      <c r="P38" s="158" t="n">
        <v>0</v>
      </c>
      <c r="Q38" s="336" t="n">
        <f aca="false">1522700/325851/1.9835*1.02</f>
        <v>2.40305248628853</v>
      </c>
      <c r="R38" s="131" t="n">
        <v>4.2</v>
      </c>
      <c r="S38" s="131" t="n">
        <f aca="false">((5.1*1.04)-T38)-4.2</f>
        <v>0.0521439999999993</v>
      </c>
      <c r="T38" s="131" t="n">
        <f aca="false">1.0114*1.04</f>
        <v>1.051856</v>
      </c>
      <c r="U38" s="355" t="n">
        <v>0</v>
      </c>
      <c r="V38" s="135" t="n">
        <v>62</v>
      </c>
      <c r="W38" s="135" t="n">
        <v>41</v>
      </c>
      <c r="X38" s="135" t="n">
        <f aca="false">M38-N38-O38-P38-Q38-R38-S38-T38-U38+V38+W38-AT38+AR38</f>
        <v>161.288549013711</v>
      </c>
      <c r="Y38" s="135" t="n">
        <f aca="false">X38-AO38</f>
        <v>161.288549013711</v>
      </c>
      <c r="Z38" s="107"/>
      <c r="AA38" s="135"/>
      <c r="AB38" s="107"/>
      <c r="AC38" s="107" t="n">
        <f aca="false">AS38-AS38</f>
        <v>0</v>
      </c>
      <c r="AD38" s="215" t="n">
        <f aca="false">AD37+AP38+AS38</f>
        <v>1261.0933981781</v>
      </c>
      <c r="AE38" s="135" t="n">
        <v>84</v>
      </c>
      <c r="AF38" s="137" t="n">
        <v>1.7</v>
      </c>
      <c r="AG38" s="138" t="n">
        <v>1.3</v>
      </c>
      <c r="AH38" s="135" t="n">
        <v>38</v>
      </c>
      <c r="AI38" s="107" t="n">
        <f aca="false">AI37-AH38</f>
        <v>5687.25787748929</v>
      </c>
      <c r="AJ38" s="107"/>
      <c r="AK38" s="134" t="n">
        <f aca="false">N38+O38+P38+Q38+R38+S38+T38+U38+X38+AE38+AH38-AR38</f>
        <v>371</v>
      </c>
      <c r="AL38" s="135" t="n">
        <f aca="false">IF(L38&lt;0,L38*-1,0)</f>
        <v>0</v>
      </c>
      <c r="AM38" s="135" t="n">
        <f aca="false">AK38+AL38</f>
        <v>371</v>
      </c>
      <c r="AN38" s="220"/>
      <c r="AO38" s="215"/>
      <c r="AP38" s="97" t="n">
        <f aca="false">(I38-AO38)-Q38-R38-Y38-AF38</f>
        <v>-136.5916015</v>
      </c>
      <c r="AQ38" s="158" t="n">
        <f aca="false">37.06*(Z38*1.9835+AC38*1.9835)/E38</f>
        <v>0</v>
      </c>
      <c r="AR38" s="158"/>
      <c r="AS38" s="135" t="n">
        <v>6.22</v>
      </c>
      <c r="AU38" s="179" t="n">
        <f aca="false">O38</f>
        <v>78.75</v>
      </c>
      <c r="AV38" s="222" t="n">
        <v>0.31</v>
      </c>
      <c r="AW38" s="215" t="n">
        <v>78</v>
      </c>
      <c r="AX38" s="215" t="n">
        <v>48</v>
      </c>
      <c r="AY38" s="299"/>
      <c r="AZ38" s="250" t="n">
        <f aca="false">SUM(N38,P38:U38)</f>
        <v>8.96145098628853</v>
      </c>
    </row>
    <row r="39" customFormat="false" ht="12.95" hidden="false" customHeight="true" outlineLevel="0" collapsed="false">
      <c r="A39" s="183" t="n">
        <v>25</v>
      </c>
      <c r="B39" s="106" t="n">
        <v>6875.42</v>
      </c>
      <c r="C39" s="107" t="n">
        <v>202759</v>
      </c>
      <c r="D39" s="215" t="n">
        <f aca="false">C39-C38</f>
        <v>-543</v>
      </c>
      <c r="E39" s="107" t="n">
        <f aca="false">C39-151978</f>
        <v>50781</v>
      </c>
      <c r="F39" s="246" t="n">
        <f aca="false">D39/$D$2</f>
        <v>-273.758507688429</v>
      </c>
      <c r="G39" s="135" t="n">
        <v>44</v>
      </c>
      <c r="H39" s="247" t="n">
        <v>0</v>
      </c>
      <c r="I39" s="135" t="n">
        <f aca="false">G39+H39</f>
        <v>44</v>
      </c>
      <c r="J39" s="136" t="n">
        <f aca="false">IF(L39&gt;0,L39,0)</f>
        <v>21.2414923115705</v>
      </c>
      <c r="K39" s="135" t="n">
        <f aca="false">I39+J39</f>
        <v>65.2414923115705</v>
      </c>
      <c r="L39" s="135" t="n">
        <f aca="false">F39-(I39-AK39)</f>
        <v>21.2414923115705</v>
      </c>
      <c r="M39" s="248" t="n">
        <v>145</v>
      </c>
      <c r="N39" s="158" t="n">
        <f aca="false">(1.8299*1.03)/2+0.312</f>
        <v>1.2543985</v>
      </c>
      <c r="O39" s="135" t="n">
        <f aca="false">66*1.05</f>
        <v>69.3</v>
      </c>
      <c r="P39" s="158" t="n">
        <v>0</v>
      </c>
      <c r="Q39" s="336" t="n">
        <f aca="false">1274800/325851/1.9835*1.02</f>
        <v>2.01182853452461</v>
      </c>
      <c r="R39" s="131" t="n">
        <v>4.2</v>
      </c>
      <c r="S39" s="131" t="n">
        <f aca="false">((5.1*1.04)-T39)-4.2</f>
        <v>0.0521439999999993</v>
      </c>
      <c r="T39" s="131" t="n">
        <f aca="false">1.0114*1.04</f>
        <v>1.051856</v>
      </c>
      <c r="U39" s="355" t="n">
        <v>0</v>
      </c>
      <c r="V39" s="135" t="n">
        <v>53</v>
      </c>
      <c r="W39" s="135" t="n">
        <v>41</v>
      </c>
      <c r="X39" s="135" t="n">
        <f aca="false">M39-N39-O39-P39-Q39-R39-S39-T39-U39+V39+W39-AT39+AR39</f>
        <v>161.129772965475</v>
      </c>
      <c r="Y39" s="135" t="n">
        <f aca="false">X39-AO39</f>
        <v>161.129772965475</v>
      </c>
      <c r="Z39" s="107"/>
      <c r="AA39" s="135"/>
      <c r="AB39" s="107"/>
      <c r="AC39" s="107" t="n">
        <f aca="false">AS39-AS39</f>
        <v>0</v>
      </c>
      <c r="AD39" s="215" t="n">
        <f aca="false">AD38+AP39+AS39</f>
        <v>1141.9217966781</v>
      </c>
      <c r="AE39" s="135" t="n">
        <v>63</v>
      </c>
      <c r="AF39" s="137" t="n">
        <v>1.7</v>
      </c>
      <c r="AG39" s="138" t="n">
        <v>1.3</v>
      </c>
      <c r="AH39" s="135" t="n">
        <v>37</v>
      </c>
      <c r="AI39" s="107" t="n">
        <f aca="false">AI38-AH39</f>
        <v>5650.25787748929</v>
      </c>
      <c r="AJ39" s="107"/>
      <c r="AK39" s="134" t="n">
        <f aca="false">N39+O39+P39+Q39+R39+S39+T39+U39+X39+AE39+AH39-AR39</f>
        <v>339</v>
      </c>
      <c r="AL39" s="135" t="n">
        <f aca="false">IF(L39&lt;0,L39*-1,0)</f>
        <v>0</v>
      </c>
      <c r="AM39" s="135" t="n">
        <f aca="false">AK39+AL39</f>
        <v>339</v>
      </c>
      <c r="AN39" s="220"/>
      <c r="AO39" s="215"/>
      <c r="AP39" s="97" t="n">
        <f aca="false">(I39-AO39)-Q39-R39-Y39-AF39</f>
        <v>-125.0416015</v>
      </c>
      <c r="AQ39" s="158" t="n">
        <f aca="false">37.06*(Z39*1.9835+AC39*1.9835)/E39</f>
        <v>0</v>
      </c>
      <c r="AR39" s="158"/>
      <c r="AS39" s="135" t="n">
        <v>5.87</v>
      </c>
      <c r="AU39" s="179" t="n">
        <f aca="false">O39</f>
        <v>69.3</v>
      </c>
      <c r="AV39" s="222" t="n">
        <v>0.14</v>
      </c>
      <c r="AW39" s="215" t="n">
        <v>62</v>
      </c>
      <c r="AX39" s="215" t="n">
        <v>45</v>
      </c>
      <c r="AY39" s="299"/>
      <c r="AZ39" s="250" t="n">
        <f aca="false">SUM(N39,P39:U39)</f>
        <v>8.57022703452461</v>
      </c>
    </row>
    <row r="40" customFormat="false" ht="12.95" hidden="false" customHeight="true" outlineLevel="0" collapsed="false">
      <c r="A40" s="183" t="n">
        <v>26</v>
      </c>
      <c r="B40" s="106" t="n">
        <v>6875.24</v>
      </c>
      <c r="C40" s="107" t="n">
        <v>202246</v>
      </c>
      <c r="D40" s="215" t="n">
        <f aca="false">C40-C39</f>
        <v>-513</v>
      </c>
      <c r="E40" s="107" t="n">
        <f aca="false">C40-151978</f>
        <v>50268</v>
      </c>
      <c r="F40" s="246" t="n">
        <f aca="false">D40/$D$2</f>
        <v>-258.63372825813</v>
      </c>
      <c r="G40" s="135" t="n">
        <v>60</v>
      </c>
      <c r="H40" s="247" t="n">
        <v>0</v>
      </c>
      <c r="I40" s="135" t="n">
        <f aca="false">G40+H40</f>
        <v>60</v>
      </c>
      <c r="J40" s="136" t="n">
        <f aca="false">IF(L40&gt;0,L40,0)</f>
        <v>0</v>
      </c>
      <c r="K40" s="135" t="n">
        <f aca="false">I40+J40</f>
        <v>60</v>
      </c>
      <c r="L40" s="135" t="n">
        <f aca="false">F40-(I40-AK40)</f>
        <v>-0.633728258129565</v>
      </c>
      <c r="M40" s="248" t="n">
        <v>146</v>
      </c>
      <c r="N40" s="158" t="n">
        <f aca="false">(1.8299*1.03)/2+0.312</f>
        <v>1.2543985</v>
      </c>
      <c r="O40" s="135" t="n">
        <f aca="false">68*1.05</f>
        <v>71.4</v>
      </c>
      <c r="P40" s="158" t="n">
        <v>0</v>
      </c>
      <c r="Q40" s="336" t="n">
        <f aca="false">1303400/325851/1.9835*1.02</f>
        <v>2.05696368991165</v>
      </c>
      <c r="R40" s="131" t="n">
        <v>4.2</v>
      </c>
      <c r="S40" s="131" t="n">
        <f aca="false">((5.1*1.04)-T40)-4.2</f>
        <v>0.0521439999999993</v>
      </c>
      <c r="T40" s="131" t="n">
        <f aca="false">1.0114*1.04</f>
        <v>1.051856</v>
      </c>
      <c r="U40" s="355" t="n">
        <v>0</v>
      </c>
      <c r="V40" s="135" t="n">
        <v>53</v>
      </c>
      <c r="W40" s="135" t="n">
        <v>41</v>
      </c>
      <c r="X40" s="135" t="n">
        <f aca="false">M40-N40-O40-P40-Q40-R40-S40-T40-U40+V40+W40-AT40+AR40</f>
        <v>159.984637810088</v>
      </c>
      <c r="Y40" s="135" t="n">
        <f aca="false">X40-AO40</f>
        <v>159.984637810088</v>
      </c>
      <c r="Z40" s="107"/>
      <c r="AA40" s="135"/>
      <c r="AB40" s="107"/>
      <c r="AC40" s="107" t="n">
        <f aca="false">AS40-AS40</f>
        <v>0</v>
      </c>
      <c r="AD40" s="215" t="n">
        <f aca="false">AD39+AP40+AS40</f>
        <v>1039.8101951781</v>
      </c>
      <c r="AE40" s="135" t="n">
        <v>41</v>
      </c>
      <c r="AF40" s="137" t="n">
        <v>1.7</v>
      </c>
      <c r="AG40" s="138" t="n">
        <v>1.3</v>
      </c>
      <c r="AH40" s="135" t="n">
        <v>37</v>
      </c>
      <c r="AI40" s="107" t="n">
        <f aca="false">AI39-AH40</f>
        <v>5613.25787748929</v>
      </c>
      <c r="AJ40" s="107"/>
      <c r="AK40" s="134" t="n">
        <f aca="false">N40+O40+P40+Q40+R40+S40+T40+U40+X40+AE40+AH40-AR40</f>
        <v>318</v>
      </c>
      <c r="AL40" s="135" t="n">
        <f aca="false">IF(L40&lt;0,L40*-1,0)</f>
        <v>0.633728258129565</v>
      </c>
      <c r="AM40" s="135" t="n">
        <f aca="false">AK40+AL40</f>
        <v>318.63372825813</v>
      </c>
      <c r="AN40" s="220"/>
      <c r="AO40" s="215"/>
      <c r="AP40" s="97" t="n">
        <f aca="false">(I40-AO40)-Q40-R40-Y40-AF40</f>
        <v>-107.9416015</v>
      </c>
      <c r="AQ40" s="158" t="n">
        <f aca="false">37.06*(Z40*1.9835+AC40*1.9835)/E40</f>
        <v>0</v>
      </c>
      <c r="AR40" s="158"/>
      <c r="AS40" s="135" t="n">
        <v>5.83</v>
      </c>
      <c r="AU40" s="179" t="n">
        <f aca="false">O40</f>
        <v>71.4</v>
      </c>
      <c r="AV40" s="222" t="n">
        <v>0</v>
      </c>
      <c r="AW40" s="215" t="n">
        <v>71</v>
      </c>
      <c r="AX40" s="215" t="n">
        <v>42</v>
      </c>
      <c r="AY40" s="299"/>
      <c r="AZ40" s="250" t="n">
        <f aca="false">SUM(N40,P40:U40)</f>
        <v>8.61536218991165</v>
      </c>
    </row>
    <row r="41" customFormat="false" ht="12.95" hidden="false" customHeight="true" outlineLevel="0" collapsed="false">
      <c r="A41" s="183" t="n">
        <v>27</v>
      </c>
      <c r="B41" s="106" t="n">
        <v>6875.04</v>
      </c>
      <c r="C41" s="107" t="n">
        <v>201675</v>
      </c>
      <c r="D41" s="215" t="n">
        <f aca="false">C41-C40</f>
        <v>-571</v>
      </c>
      <c r="E41" s="107" t="n">
        <f aca="false">C41-151978</f>
        <v>49697</v>
      </c>
      <c r="F41" s="246" t="n">
        <f aca="false">D41/$D$2</f>
        <v>-287.874968490043</v>
      </c>
      <c r="G41" s="135" t="n">
        <v>54</v>
      </c>
      <c r="H41" s="247" t="n">
        <v>0</v>
      </c>
      <c r="I41" s="135" t="n">
        <f aca="false">G41+H41</f>
        <v>54</v>
      </c>
      <c r="J41" s="136" t="n">
        <f aca="false">IF(L41&gt;0,L41,0)</f>
        <v>0</v>
      </c>
      <c r="K41" s="135" t="n">
        <f aca="false">I41+J41</f>
        <v>54</v>
      </c>
      <c r="L41" s="135" t="n">
        <f aca="false">F41-(I41-AK41)</f>
        <v>-16.8749684900429</v>
      </c>
      <c r="M41" s="248" t="n">
        <v>138</v>
      </c>
      <c r="N41" s="158" t="n">
        <f aca="false">(1.8299*1.03)/2+0.312</f>
        <v>1.2543985</v>
      </c>
      <c r="O41" s="135" t="n">
        <f aca="false">66*1.05</f>
        <v>69.3</v>
      </c>
      <c r="P41" s="158" t="n">
        <v>0</v>
      </c>
      <c r="Q41" s="336" t="n">
        <f aca="false">1334900/325851/1.9835*1.02</f>
        <v>2.10667548692885</v>
      </c>
      <c r="R41" s="131" t="n">
        <v>4.2</v>
      </c>
      <c r="S41" s="131" t="n">
        <f aca="false">((5.1*1.04)-T41)-4.2</f>
        <v>0.0521439999999993</v>
      </c>
      <c r="T41" s="131" t="n">
        <f aca="false">1.0114*1.04</f>
        <v>1.051856</v>
      </c>
      <c r="U41" s="355" t="n">
        <v>0</v>
      </c>
      <c r="V41" s="135" t="n">
        <v>53</v>
      </c>
      <c r="W41" s="135" t="n">
        <v>41</v>
      </c>
      <c r="X41" s="135" t="n">
        <f aca="false">M41-N41-O41-P41-Q41-R41-S41-T41-U41+V41+W41-AT41+AR41</f>
        <v>154.034926013071</v>
      </c>
      <c r="Y41" s="135" t="n">
        <f aca="false">X41-AO41</f>
        <v>154.034926013071</v>
      </c>
      <c r="Z41" s="107"/>
      <c r="AA41" s="135"/>
      <c r="AB41" s="107"/>
      <c r="AC41" s="107" t="n">
        <f aca="false">AS41-AS41</f>
        <v>0</v>
      </c>
      <c r="AD41" s="215" t="n">
        <f aca="false">AD40+AP41+AS41</f>
        <v>937.538593678098</v>
      </c>
      <c r="AE41" s="135" t="n">
        <v>56</v>
      </c>
      <c r="AF41" s="137" t="n">
        <v>1.7</v>
      </c>
      <c r="AG41" s="138" t="n">
        <v>1.3</v>
      </c>
      <c r="AH41" s="135" t="n">
        <v>37</v>
      </c>
      <c r="AI41" s="107" t="n">
        <f aca="false">AI40-AH41</f>
        <v>5576.25787748929</v>
      </c>
      <c r="AJ41" s="107"/>
      <c r="AK41" s="134" t="n">
        <f aca="false">N41+O41+P41+Q41+R41+S41+T41+U41+X41+AE41+AH41-AR41</f>
        <v>325</v>
      </c>
      <c r="AL41" s="135" t="n">
        <f aca="false">IF(L41&lt;0,L41*-1,0)</f>
        <v>16.8749684900429</v>
      </c>
      <c r="AM41" s="135" t="n">
        <f aca="false">AK41+AL41</f>
        <v>341.874968490043</v>
      </c>
      <c r="AN41" s="220"/>
      <c r="AO41" s="215"/>
      <c r="AP41" s="97" t="n">
        <f aca="false">(I41-AO41)-Q41-R41-Y41-AF41</f>
        <v>-108.0416015</v>
      </c>
      <c r="AQ41" s="158" t="n">
        <f aca="false">37.06*(Z41*1.9835+AC41*1.9835)/E41</f>
        <v>0</v>
      </c>
      <c r="AR41" s="158"/>
      <c r="AS41" s="135" t="n">
        <v>5.77</v>
      </c>
      <c r="AU41" s="179" t="n">
        <f aca="false">O41</f>
        <v>69.3</v>
      </c>
      <c r="AV41" s="222" t="n">
        <v>0</v>
      </c>
      <c r="AW41" s="215" t="n">
        <v>74</v>
      </c>
      <c r="AX41" s="215" t="n">
        <v>41</v>
      </c>
      <c r="AY41" s="299"/>
      <c r="AZ41" s="250" t="n">
        <f aca="false">SUM(N41,P41:U41)</f>
        <v>8.66507398692885</v>
      </c>
    </row>
    <row r="42" customFormat="false" ht="12.95" hidden="false" customHeight="true" outlineLevel="0" collapsed="false">
      <c r="A42" s="183" t="n">
        <v>28</v>
      </c>
      <c r="B42" s="106" t="n">
        <v>6874.85</v>
      </c>
      <c r="C42" s="107" t="n">
        <v>201137</v>
      </c>
      <c r="D42" s="215" t="n">
        <f aca="false">C42-C41</f>
        <v>-538</v>
      </c>
      <c r="E42" s="107" t="n">
        <f aca="false">C42-151978</f>
        <v>49159</v>
      </c>
      <c r="F42" s="246" t="n">
        <f aca="false">D42/$D$2</f>
        <v>-271.237711116713</v>
      </c>
      <c r="G42" s="135" t="n">
        <v>50</v>
      </c>
      <c r="H42" s="247" t="n">
        <v>0</v>
      </c>
      <c r="I42" s="135" t="n">
        <f aca="false">G42+H42</f>
        <v>50</v>
      </c>
      <c r="J42" s="136" t="n">
        <f aca="false">IF(L42&gt;0,L42,0)</f>
        <v>0</v>
      </c>
      <c r="K42" s="135" t="n">
        <f aca="false">I42+J42</f>
        <v>50</v>
      </c>
      <c r="L42" s="135" t="n">
        <f aca="false">F42-(I42-AK42)</f>
        <v>-23.2377111167129</v>
      </c>
      <c r="M42" s="248" t="n">
        <v>131</v>
      </c>
      <c r="N42" s="158" t="n">
        <f aca="false">(1.8299*1.03)/2+0.312</f>
        <v>1.2543985</v>
      </c>
      <c r="O42" s="135" t="n">
        <f aca="false">68*1.05</f>
        <v>71.4</v>
      </c>
      <c r="P42" s="158" t="n">
        <v>0</v>
      </c>
      <c r="Q42" s="336" t="n">
        <f aca="false">1399200/325851/1.9835*1.02</f>
        <v>2.20815067893539</v>
      </c>
      <c r="R42" s="131" t="n">
        <f aca="false">(4.9*1.04)-T42</f>
        <v>4.156256</v>
      </c>
      <c r="S42" s="131" t="n">
        <v>0</v>
      </c>
      <c r="T42" s="131" t="n">
        <f aca="false">0.9036*1.04</f>
        <v>0.939744</v>
      </c>
      <c r="U42" s="355" t="n">
        <v>0</v>
      </c>
      <c r="V42" s="135" t="n">
        <v>53</v>
      </c>
      <c r="W42" s="135" t="n">
        <v>17</v>
      </c>
      <c r="X42" s="135" t="n">
        <f aca="false">M42-N42-O42-P42-Q42-R42-S42-T42-U42+V42+W42-AT42+AR42</f>
        <v>121.041450821065</v>
      </c>
      <c r="Y42" s="135" t="n">
        <f aca="false">X42-AO42</f>
        <v>121.041450821065</v>
      </c>
      <c r="Z42" s="107"/>
      <c r="AA42" s="135"/>
      <c r="AB42" s="107"/>
      <c r="AC42" s="107" t="n">
        <f aca="false">AS42-AS42</f>
        <v>0</v>
      </c>
      <c r="AD42" s="215" t="n">
        <f aca="false">AD41+AP42+AS42</f>
        <v>864.342736178098</v>
      </c>
      <c r="AE42" s="135" t="n">
        <v>60</v>
      </c>
      <c r="AF42" s="137" t="n">
        <v>1.7</v>
      </c>
      <c r="AG42" s="138" t="n">
        <v>1.3</v>
      </c>
      <c r="AH42" s="135" t="n">
        <v>37</v>
      </c>
      <c r="AI42" s="107" t="n">
        <f aca="false">AI41-AH42</f>
        <v>5539.25787748929</v>
      </c>
      <c r="AJ42" s="107"/>
      <c r="AK42" s="134" t="n">
        <f aca="false">N42+O42+P42+Q42+R42+S42+T42+U42+X42+AE42+AH42-AR42</f>
        <v>298</v>
      </c>
      <c r="AL42" s="135" t="n">
        <f aca="false">IF(L42&lt;0,L42*-1,0)</f>
        <v>23.2377111167129</v>
      </c>
      <c r="AM42" s="135" t="n">
        <f aca="false">AK42+AL42</f>
        <v>321.237711116713</v>
      </c>
      <c r="AN42" s="220"/>
      <c r="AO42" s="215"/>
      <c r="AP42" s="97" t="n">
        <f aca="false">(I42-AO42)-Q42-R42-Y42-AF42</f>
        <v>-79.1058575</v>
      </c>
      <c r="AQ42" s="158" t="n">
        <f aca="false">37.06*(Z42*1.9835+AC42*1.9835)/E42</f>
        <v>0</v>
      </c>
      <c r="AR42" s="158"/>
      <c r="AS42" s="135" t="n">
        <v>5.91</v>
      </c>
      <c r="AU42" s="179" t="n">
        <f aca="false">O42</f>
        <v>71.4</v>
      </c>
      <c r="AV42" s="222" t="n">
        <v>0</v>
      </c>
      <c r="AW42" s="215" t="n">
        <v>76</v>
      </c>
      <c r="AX42" s="215" t="n">
        <v>43</v>
      </c>
      <c r="AY42" s="299"/>
      <c r="AZ42" s="250" t="n">
        <f aca="false">SUM(N42,P42:U42)</f>
        <v>8.55854917893539</v>
      </c>
    </row>
    <row r="43" customFormat="false" ht="12.95" hidden="false" customHeight="true" outlineLevel="0" collapsed="false">
      <c r="A43" s="183" t="n">
        <v>29</v>
      </c>
      <c r="B43" s="106" t="n">
        <v>6874.67</v>
      </c>
      <c r="C43" s="107" t="n">
        <v>200601</v>
      </c>
      <c r="D43" s="215" t="n">
        <f aca="false">C43-C42</f>
        <v>-536</v>
      </c>
      <c r="E43" s="107" t="n">
        <f aca="false">C43-151978</f>
        <v>48623</v>
      </c>
      <c r="F43" s="246" t="n">
        <f aca="false">D43/$D$2</f>
        <v>-270.229392488026</v>
      </c>
      <c r="G43" s="135" t="n">
        <v>46</v>
      </c>
      <c r="H43" s="247" t="n">
        <v>0</v>
      </c>
      <c r="I43" s="135" t="n">
        <f aca="false">G43+H43</f>
        <v>46</v>
      </c>
      <c r="J43" s="136" t="n">
        <f aca="false">IF(L43&gt;0,L43,0)</f>
        <v>0</v>
      </c>
      <c r="K43" s="135" t="n">
        <f aca="false">I43+J43</f>
        <v>46</v>
      </c>
      <c r="L43" s="135" t="n">
        <f aca="false">F43-(I43-AK43)</f>
        <v>-26.2293924880262</v>
      </c>
      <c r="M43" s="248" t="n">
        <v>128</v>
      </c>
      <c r="N43" s="158" t="n">
        <f aca="false">(1.8299*1.03)/2+0.312</f>
        <v>1.2543985</v>
      </c>
      <c r="O43" s="135" t="n">
        <f aca="false">59*1.05</f>
        <v>61.95</v>
      </c>
      <c r="P43" s="158" t="n">
        <v>0</v>
      </c>
      <c r="Q43" s="336" t="n">
        <f aca="false">1529300/325851/1.9835*1.02</f>
        <v>2.41346829137785</v>
      </c>
      <c r="R43" s="131" t="n">
        <v>4.2</v>
      </c>
      <c r="S43" s="131" t="n">
        <f aca="false">((5.1*1.04)-T43)-4.2</f>
        <v>0.164255999999999</v>
      </c>
      <c r="T43" s="131" t="n">
        <f aca="false">0.9036*1.04</f>
        <v>0.939744</v>
      </c>
      <c r="U43" s="355" t="n">
        <v>0</v>
      </c>
      <c r="V43" s="135" t="n">
        <v>52</v>
      </c>
      <c r="W43" s="135" t="n">
        <v>20</v>
      </c>
      <c r="X43" s="135" t="n">
        <f aca="false">M43-N43-O43-P43-Q43-R43-S43-T43-U43+V43+W43-AT43+AR43</f>
        <v>129.078133208622</v>
      </c>
      <c r="Y43" s="135" t="n">
        <f aca="false">X43-AO43</f>
        <v>129.078133208622</v>
      </c>
      <c r="Z43" s="107"/>
      <c r="AA43" s="135"/>
      <c r="AB43" s="107"/>
      <c r="AC43" s="107" t="n">
        <f aca="false">AS43-AS43</f>
        <v>0</v>
      </c>
      <c r="AD43" s="215" t="n">
        <f aca="false">AD42+AP43+AS43</f>
        <v>779.111134678098</v>
      </c>
      <c r="AE43" s="135" t="n">
        <v>53</v>
      </c>
      <c r="AF43" s="137" t="n">
        <v>1.7</v>
      </c>
      <c r="AG43" s="138" t="n">
        <v>1.3</v>
      </c>
      <c r="AH43" s="135" t="n">
        <v>37</v>
      </c>
      <c r="AI43" s="107" t="n">
        <f aca="false">AI42-AH43</f>
        <v>5502.25787748929</v>
      </c>
      <c r="AJ43" s="107"/>
      <c r="AK43" s="134" t="n">
        <f aca="false">N43+O43+P43+Q43+R43+S43+T43+U43+X43+AE43+AH43-AR43</f>
        <v>290</v>
      </c>
      <c r="AL43" s="135" t="n">
        <f aca="false">IF(L43&lt;0,L43*-1,0)</f>
        <v>26.2293924880262</v>
      </c>
      <c r="AM43" s="135" t="n">
        <f aca="false">AK43+AL43</f>
        <v>316.229392488026</v>
      </c>
      <c r="AN43" s="220"/>
      <c r="AO43" s="215"/>
      <c r="AP43" s="97" t="n">
        <f aca="false">(I43-AO43)-Q43-R43-Y43-AF43</f>
        <v>-91.3916015</v>
      </c>
      <c r="AQ43" s="158" t="n">
        <f aca="false">37.06*(Z43*1.9835+AC43*1.9835)/E43</f>
        <v>0</v>
      </c>
      <c r="AR43" s="158"/>
      <c r="AS43" s="135" t="n">
        <v>6.16</v>
      </c>
      <c r="AU43" s="179" t="n">
        <f aca="false">O43</f>
        <v>61.95</v>
      </c>
      <c r="AV43" s="222" t="n">
        <v>0</v>
      </c>
      <c r="AW43" s="215" t="n">
        <v>78</v>
      </c>
      <c r="AX43" s="215" t="n">
        <v>44</v>
      </c>
      <c r="AY43" s="299"/>
      <c r="AZ43" s="250" t="n">
        <f aca="false">SUM(N43,P43:U43)</f>
        <v>8.97186679137785</v>
      </c>
    </row>
    <row r="44" customFormat="false" ht="12.95" hidden="false" customHeight="true" outlineLevel="0" collapsed="false">
      <c r="A44" s="183" t="n">
        <v>30</v>
      </c>
      <c r="B44" s="106" t="n">
        <v>6874.49</v>
      </c>
      <c r="C44" s="107" t="n">
        <v>200122</v>
      </c>
      <c r="D44" s="215" t="n">
        <f aca="false">C44-C43</f>
        <v>-479</v>
      </c>
      <c r="E44" s="107" t="n">
        <f aca="false">C44-151978</f>
        <v>48144</v>
      </c>
      <c r="F44" s="246" t="n">
        <f aca="false">D44/$D$2</f>
        <v>-241.492311570456</v>
      </c>
      <c r="G44" s="135" t="n">
        <v>43</v>
      </c>
      <c r="H44" s="247" t="n">
        <v>0</v>
      </c>
      <c r="I44" s="135" t="n">
        <f aca="false">G44+H44</f>
        <v>43</v>
      </c>
      <c r="J44" s="136" t="n">
        <f aca="false">IF(L44&gt;0,L44,0)</f>
        <v>0</v>
      </c>
      <c r="K44" s="135" t="n">
        <f aca="false">I44+J44</f>
        <v>43</v>
      </c>
      <c r="L44" s="135" t="n">
        <f aca="false">F44-(I44-AK44)</f>
        <v>-15.4923115704563</v>
      </c>
      <c r="M44" s="248" t="n">
        <v>117</v>
      </c>
      <c r="N44" s="158" t="n">
        <f aca="false">(1.8299*1.03)/2+0.312</f>
        <v>1.2543985</v>
      </c>
      <c r="O44" s="135" t="n">
        <f aca="false">44*1.05</f>
        <v>46.2</v>
      </c>
      <c r="P44" s="158" t="n">
        <v>0</v>
      </c>
      <c r="Q44" s="336" t="n">
        <f aca="false">1645700/325851/1.9835*1.02</f>
        <v>2.59716521749855</v>
      </c>
      <c r="R44" s="131" t="n">
        <v>4.2</v>
      </c>
      <c r="S44" s="131" t="n">
        <f aca="false">((5.1*1.04)-T44)-4.2</f>
        <v>0.164255999999999</v>
      </c>
      <c r="T44" s="131" t="n">
        <f aca="false">0.9036*1.04</f>
        <v>0.939744</v>
      </c>
      <c r="U44" s="355" t="n">
        <v>0</v>
      </c>
      <c r="V44" s="135" t="n">
        <v>52</v>
      </c>
      <c r="W44" s="135" t="n">
        <v>20</v>
      </c>
      <c r="X44" s="135" t="n">
        <f aca="false">M44-N44-O44-P44-Q44-R44-S44-T44-U44+V44+W44-AT44+AR44</f>
        <v>133.644436282501</v>
      </c>
      <c r="Y44" s="135" t="n">
        <f aca="false">X44-AO44</f>
        <v>133.644436282501</v>
      </c>
      <c r="Z44" s="107"/>
      <c r="AA44" s="135"/>
      <c r="AB44" s="107"/>
      <c r="AC44" s="107" t="n">
        <f aca="false">AS44-AS44</f>
        <v>0</v>
      </c>
      <c r="AD44" s="215" t="n">
        <f aca="false">AD43+AP44+AS44</f>
        <v>686.079533178098</v>
      </c>
      <c r="AE44" s="135" t="n">
        <v>43</v>
      </c>
      <c r="AF44" s="137" t="n">
        <v>1.7</v>
      </c>
      <c r="AG44" s="138" t="n">
        <v>1.3</v>
      </c>
      <c r="AH44" s="135" t="n">
        <v>37</v>
      </c>
      <c r="AI44" s="107" t="n">
        <f aca="false">AI43-AH44</f>
        <v>5465.25787748929</v>
      </c>
      <c r="AJ44" s="107"/>
      <c r="AK44" s="134" t="n">
        <f aca="false">N44+O44+P44+Q44+R44+S44+T44+U44+X44+AE44+AH44-AR44</f>
        <v>269</v>
      </c>
      <c r="AL44" s="135" t="n">
        <f aca="false">IF(L44&lt;0,L44*-1,0)</f>
        <v>15.4923115704563</v>
      </c>
      <c r="AM44" s="135" t="n">
        <f aca="false">AK44+AL44</f>
        <v>284.492311570456</v>
      </c>
      <c r="AN44" s="220"/>
      <c r="AO44" s="215"/>
      <c r="AP44" s="97" t="n">
        <f aca="false">(I44-AO44)-Q44-R44-Y44-AF44</f>
        <v>-99.1416015</v>
      </c>
      <c r="AQ44" s="158" t="n">
        <f aca="false">37.06*(Z44*1.9835+AC44*1.9835)/E44</f>
        <v>0</v>
      </c>
      <c r="AR44" s="158"/>
      <c r="AS44" s="135" t="n">
        <v>6.11</v>
      </c>
      <c r="AU44" s="179" t="n">
        <f aca="false">O44</f>
        <v>46.2</v>
      </c>
      <c r="AV44" s="222" t="n">
        <v>0</v>
      </c>
      <c r="AW44" s="485" t="n">
        <v>76</v>
      </c>
      <c r="AX44" s="215" t="n">
        <v>46</v>
      </c>
      <c r="AY44" s="299"/>
      <c r="AZ44" s="250" t="n">
        <f aca="false">SUM(N44,P44:U44)</f>
        <v>9.15556371749855</v>
      </c>
    </row>
    <row r="45" customFormat="false" ht="3" hidden="false" customHeight="true" outlineLevel="0" collapsed="false">
      <c r="A45" s="231"/>
      <c r="B45" s="252"/>
      <c r="C45" s="233"/>
      <c r="D45" s="234"/>
      <c r="E45" s="233"/>
      <c r="F45" s="235"/>
      <c r="G45" s="234"/>
      <c r="H45" s="236"/>
      <c r="I45" s="234"/>
      <c r="J45" s="234"/>
      <c r="K45" s="234"/>
      <c r="L45" s="234"/>
      <c r="M45" s="237"/>
      <c r="N45" s="234"/>
      <c r="O45" s="234"/>
      <c r="P45" s="238"/>
      <c r="Q45" s="238"/>
      <c r="R45" s="238"/>
      <c r="S45" s="238"/>
      <c r="T45" s="238"/>
      <c r="U45" s="239"/>
      <c r="V45" s="234"/>
      <c r="W45" s="234"/>
      <c r="X45" s="234"/>
      <c r="Y45" s="234"/>
      <c r="Z45" s="233"/>
      <c r="AA45" s="234"/>
      <c r="AB45" s="233"/>
      <c r="AC45" s="233"/>
      <c r="AD45" s="233"/>
      <c r="AE45" s="234"/>
      <c r="AF45" s="120"/>
      <c r="AG45" s="121"/>
      <c r="AH45" s="234"/>
      <c r="AI45" s="234"/>
      <c r="AJ45" s="234"/>
      <c r="AK45" s="234"/>
      <c r="AL45" s="234"/>
      <c r="AM45" s="234"/>
      <c r="AN45" s="242"/>
      <c r="AO45" s="243"/>
      <c r="AP45" s="240"/>
      <c r="AQ45" s="238"/>
      <c r="AR45" s="238"/>
      <c r="AS45" s="238"/>
      <c r="AT45" s="238"/>
      <c r="AU45" s="240"/>
      <c r="AV45" s="245"/>
      <c r="AW45" s="243"/>
      <c r="AX45" s="243"/>
      <c r="AY45" s="257"/>
      <c r="AZ45" s="317"/>
    </row>
    <row r="46" customFormat="false" ht="12.95" hidden="false" customHeight="true" outlineLevel="0" collapsed="false">
      <c r="A46" s="185" t="s">
        <v>101</v>
      </c>
      <c r="B46" s="213"/>
      <c r="C46" s="107"/>
      <c r="D46" s="107"/>
      <c r="E46" s="107"/>
      <c r="F46" s="214" t="n">
        <f aca="false">SUM(F15:F44)</f>
        <v>-12597.9329468112</v>
      </c>
      <c r="G46" s="107" t="n">
        <f aca="false">SUM(G15:G44)</f>
        <v>1976</v>
      </c>
      <c r="H46" s="107" t="n">
        <f aca="false">SUM(H15:H44)</f>
        <v>0</v>
      </c>
      <c r="I46" s="107" t="n">
        <f aca="false">SUM(I15:I44)</f>
        <v>1976</v>
      </c>
      <c r="J46" s="107" t="n">
        <f aca="false">SUM(J15:J44)</f>
        <v>150.367532140156</v>
      </c>
      <c r="K46" s="107" t="n">
        <f aca="false">SUM(K15:K44)</f>
        <v>2126.36753214016</v>
      </c>
      <c r="L46" s="107" t="n">
        <f aca="false">SUM(L15:L44)</f>
        <v>-142.932946811192</v>
      </c>
      <c r="M46" s="216" t="n">
        <f aca="false">SUM(M15:M44)</f>
        <v>4755</v>
      </c>
      <c r="N46" s="107" t="n">
        <f aca="false">SUM(N15:N44)</f>
        <v>34.823955</v>
      </c>
      <c r="O46" s="107" t="n">
        <f aca="false">SUM(O15:O44)</f>
        <v>1132.215</v>
      </c>
      <c r="P46" s="158" t="n">
        <f aca="false">SUM(P15:P44)</f>
        <v>0</v>
      </c>
      <c r="Q46" s="215" t="n">
        <f aca="false">SUM(Q15:Q44)</f>
        <v>76.9374489988468</v>
      </c>
      <c r="R46" s="215" t="n">
        <f aca="false">SUM(R15:R44)</f>
        <v>123.056656</v>
      </c>
      <c r="S46" s="215" t="n">
        <f aca="false">SUM(S15:S44)</f>
        <v>9.702528</v>
      </c>
      <c r="T46" s="215" t="n">
        <f aca="false">SUM(T15:T44)</f>
        <v>35.442056</v>
      </c>
      <c r="U46" s="217" t="n">
        <f aca="false">SUM(U15:U44)</f>
        <v>0</v>
      </c>
      <c r="V46" s="107" t="n">
        <f aca="false">SUM(V15:V44)</f>
        <v>3300</v>
      </c>
      <c r="W46" s="107" t="n">
        <f aca="false">SUM(W15:W44)</f>
        <v>1447</v>
      </c>
      <c r="X46" s="107" t="n">
        <f aca="false">SUM(X15:X44)</f>
        <v>8089.82235600115</v>
      </c>
      <c r="Y46" s="107" t="n">
        <f aca="false">SUM(Y15:Y44)</f>
        <v>8058.38935600115</v>
      </c>
      <c r="Z46" s="107"/>
      <c r="AA46" s="107"/>
      <c r="AB46" s="107"/>
      <c r="AC46" s="107"/>
      <c r="AE46" s="107" t="n">
        <f aca="false">SUM(AE15:AE44)</f>
        <v>3601</v>
      </c>
      <c r="AF46" s="216" t="n">
        <f aca="false">SUM(AF15:AF44)</f>
        <v>51</v>
      </c>
      <c r="AG46" s="218" t="n">
        <f aca="false">SUM(AG15:AG44)</f>
        <v>39</v>
      </c>
      <c r="AH46" s="107" t="n">
        <f aca="false">SUM(AH15:AH44)</f>
        <v>1328</v>
      </c>
      <c r="AI46" s="107"/>
      <c r="AJ46" s="107" t="n">
        <f aca="false">SUM(AJ15:AJ44)</f>
        <v>0</v>
      </c>
      <c r="AK46" s="107" t="n">
        <f aca="false">SUM(AK15:AK44)</f>
        <v>14431</v>
      </c>
      <c r="AL46" s="107" t="n">
        <f aca="false">SUM(AL15:AL44)</f>
        <v>293.300478951348</v>
      </c>
      <c r="AM46" s="107" t="n">
        <f aca="false">SUM(AM15:AM44)</f>
        <v>14724.3004789513</v>
      </c>
      <c r="AN46" s="220"/>
      <c r="AO46" s="107" t="n">
        <f aca="false">SUM(AO15:AO44)</f>
        <v>31.433</v>
      </c>
      <c r="AP46" s="136"/>
      <c r="AQ46" s="158"/>
      <c r="AR46" s="158" t="n">
        <f aca="false">SUM(AR15:AR44)</f>
        <v>0</v>
      </c>
      <c r="AS46" s="215" t="n">
        <f aca="false">SUM(AS15:AS44)</f>
        <v>202.19</v>
      </c>
      <c r="AT46" s="215" t="n">
        <f aca="false">SUM(AT15:AT44)</f>
        <v>0</v>
      </c>
      <c r="AU46" s="215" t="n">
        <f aca="false">SUM(AU15:AU44)</f>
        <v>1132.215</v>
      </c>
      <c r="AV46" s="222" t="n">
        <f aca="false">SUM(AV15:AV44)</f>
        <v>0.75</v>
      </c>
      <c r="AW46" s="215" t="n">
        <f aca="false">AVERAGE(AW15:AW44)</f>
        <v>80.7666666666667</v>
      </c>
      <c r="AX46" s="215" t="n">
        <f aca="false">AVERAGE(AX15:AX44)</f>
        <v>48.2666666666667</v>
      </c>
      <c r="AY46" s="223" t="s">
        <v>125</v>
      </c>
      <c r="AZ46" s="338" t="n">
        <f aca="false">SUM(AZ15:AZ44)</f>
        <v>279.962643998847</v>
      </c>
    </row>
    <row r="47" customFormat="false" ht="12.95" hidden="false" customHeight="true" outlineLevel="0" collapsed="false">
      <c r="A47" s="185" t="s">
        <v>103</v>
      </c>
      <c r="B47" s="213"/>
      <c r="C47" s="107"/>
      <c r="D47" s="107" t="n">
        <f aca="false">SUM(D15:D44)</f>
        <v>-24988</v>
      </c>
      <c r="E47" s="107"/>
      <c r="F47" s="214" t="n">
        <f aca="false">F46*$D$2</f>
        <v>-24988</v>
      </c>
      <c r="G47" s="107" t="n">
        <f aca="false">G46*$D$2</f>
        <v>3919.396</v>
      </c>
      <c r="H47" s="107" t="n">
        <f aca="false">H46*$D$2</f>
        <v>0</v>
      </c>
      <c r="I47" s="107" t="n">
        <f aca="false">I46*$D$2</f>
        <v>3919.396</v>
      </c>
      <c r="J47" s="107" t="n">
        <f aca="false">J46*$D$2</f>
        <v>298.254</v>
      </c>
      <c r="K47" s="107" t="n">
        <f aca="false">K46*$D$2</f>
        <v>4217.65</v>
      </c>
      <c r="L47" s="107" t="n">
        <f aca="false">L46*$D$2</f>
        <v>-283.5075</v>
      </c>
      <c r="M47" s="216" t="n">
        <f aca="false">M46*$D$2</f>
        <v>9431.5425</v>
      </c>
      <c r="N47" s="107" t="n">
        <f aca="false">N46*$D$2</f>
        <v>69.0733147425</v>
      </c>
      <c r="O47" s="107" t="n">
        <f aca="false">O46*$D$2</f>
        <v>2245.7484525</v>
      </c>
      <c r="P47" s="158" t="n">
        <f aca="false">P46*$D$2</f>
        <v>0</v>
      </c>
      <c r="Q47" s="215" t="n">
        <f aca="false">Q46*$D$2</f>
        <v>152.605430089213</v>
      </c>
      <c r="R47" s="215" t="n">
        <f aca="false">R46*$D$2</f>
        <v>244.082877176</v>
      </c>
      <c r="S47" s="215" t="n">
        <f aca="false">S46*$D$2</f>
        <v>19.244964288</v>
      </c>
      <c r="T47" s="215" t="n">
        <f aca="false">T46*$D$2</f>
        <v>70.299318076</v>
      </c>
      <c r="U47" s="217" t="n">
        <f aca="false">U46*$D$2</f>
        <v>0</v>
      </c>
      <c r="V47" s="107" t="n">
        <f aca="false">V46*$D$2</f>
        <v>6545.55</v>
      </c>
      <c r="W47" s="107" t="n">
        <f aca="false">W46*$D$2</f>
        <v>2870.1245</v>
      </c>
      <c r="X47" s="107" t="n">
        <f aca="false">X46*$D$2</f>
        <v>16046.1626431283</v>
      </c>
      <c r="Y47" s="107" t="n">
        <f aca="false">Y46*$D$2</f>
        <v>15983.8152876283</v>
      </c>
      <c r="Z47" s="107"/>
      <c r="AA47" s="107"/>
      <c r="AB47" s="107"/>
      <c r="AC47" s="107"/>
      <c r="AE47" s="107" t="n">
        <f aca="false">AE46*$D$2</f>
        <v>7142.5835</v>
      </c>
      <c r="AF47" s="216" t="n">
        <f aca="false">AF46*$D$2</f>
        <v>101.1585</v>
      </c>
      <c r="AG47" s="218" t="n">
        <f aca="false">AG46*$D$2</f>
        <v>77.3565</v>
      </c>
      <c r="AH47" s="107" t="n">
        <f aca="false">AH46*$D$2</f>
        <v>2634.088</v>
      </c>
      <c r="AI47" s="107"/>
      <c r="AJ47" s="107" t="n">
        <f aca="false">AJ46*$D$2</f>
        <v>0</v>
      </c>
      <c r="AK47" s="107" t="n">
        <f aca="false">AK46*$D$2</f>
        <v>28623.8885</v>
      </c>
      <c r="AL47" s="107" t="n">
        <f aca="false">AL46*$D$2</f>
        <v>581.7615</v>
      </c>
      <c r="AM47" s="107" t="n">
        <f aca="false">AM46*$D$2</f>
        <v>29205.65</v>
      </c>
      <c r="AN47" s="220"/>
      <c r="AO47" s="107" t="n">
        <f aca="false">AO46*$D$2</f>
        <v>62.3473555</v>
      </c>
      <c r="AP47" s="136"/>
      <c r="AQ47" s="158" t="n">
        <f aca="false">SUM(AQ15:AQ44)</f>
        <v>0</v>
      </c>
      <c r="AR47" s="136" t="n">
        <f aca="false">AR46*$D$2</f>
        <v>0</v>
      </c>
      <c r="AS47" s="215" t="n">
        <f aca="false">AS46*$D$2</f>
        <v>401.043865</v>
      </c>
      <c r="AT47" s="215" t="n">
        <f aca="false">AT46*$D$2</f>
        <v>0</v>
      </c>
      <c r="AU47" s="215" t="n">
        <f aca="false">AU46*$D$2</f>
        <v>2245.7484525</v>
      </c>
      <c r="AV47" s="222"/>
      <c r="AW47" s="215" t="n">
        <f aca="false">MAX(AW15:AW44)</f>
        <v>89</v>
      </c>
      <c r="AX47" s="215" t="n">
        <f aca="false">MAX(AX15:AX44)</f>
        <v>58</v>
      </c>
      <c r="AY47" s="223" t="s">
        <v>104</v>
      </c>
      <c r="AZ47" s="338" t="n">
        <f aca="false">AZ46*$D$2</f>
        <v>555.305904371713</v>
      </c>
    </row>
    <row r="48" customFormat="false" ht="3" hidden="false" customHeight="true" outlineLevel="0" collapsed="false">
      <c r="A48" s="231"/>
      <c r="B48" s="252"/>
      <c r="C48" s="233"/>
      <c r="D48" s="233"/>
      <c r="E48" s="233"/>
      <c r="F48" s="257"/>
      <c r="G48" s="233"/>
      <c r="H48" s="233"/>
      <c r="I48" s="233"/>
      <c r="J48" s="233"/>
      <c r="K48" s="233"/>
      <c r="L48" s="233"/>
      <c r="M48" s="258"/>
      <c r="N48" s="233"/>
      <c r="O48" s="233"/>
      <c r="P48" s="238"/>
      <c r="Q48" s="243"/>
      <c r="R48" s="243"/>
      <c r="S48" s="243"/>
      <c r="T48" s="243"/>
      <c r="U48" s="239"/>
      <c r="V48" s="233"/>
      <c r="W48" s="233"/>
      <c r="X48" s="233"/>
      <c r="Y48" s="233"/>
      <c r="Z48" s="233"/>
      <c r="AA48" s="233"/>
      <c r="AB48" s="233"/>
      <c r="AC48" s="233"/>
      <c r="AD48" s="489"/>
      <c r="AE48" s="233"/>
      <c r="AF48" s="258"/>
      <c r="AG48" s="259"/>
      <c r="AH48" s="233"/>
      <c r="AI48" s="234"/>
      <c r="AJ48" s="233"/>
      <c r="AK48" s="233"/>
      <c r="AL48" s="233"/>
      <c r="AM48" s="233"/>
      <c r="AN48" s="261"/>
      <c r="AO48" s="233"/>
      <c r="AP48" s="240"/>
      <c r="AQ48" s="238"/>
      <c r="AR48" s="238"/>
      <c r="AS48" s="243"/>
      <c r="AT48" s="243"/>
      <c r="AU48" s="240"/>
      <c r="AV48" s="261"/>
      <c r="AW48" s="233"/>
      <c r="AX48" s="233"/>
      <c r="AY48" s="257"/>
      <c r="AZ48" s="317"/>
    </row>
    <row r="49" customFormat="false" ht="12.95" hidden="false" customHeight="true" outlineLevel="0" collapsed="false">
      <c r="A49" s="185" t="s">
        <v>105</v>
      </c>
      <c r="B49" s="213"/>
      <c r="C49" s="107"/>
      <c r="D49" s="107"/>
      <c r="E49" s="107"/>
      <c r="F49" s="214" t="n">
        <f aca="false">F12+F46</f>
        <v>-51951.0965465087</v>
      </c>
      <c r="G49" s="107" t="n">
        <f aca="false">G12+G46</f>
        <v>63479</v>
      </c>
      <c r="H49" s="107" t="n">
        <f aca="false">H12+H46</f>
        <v>728.31</v>
      </c>
      <c r="I49" s="107" t="n">
        <f aca="false">I12+I46</f>
        <v>64207.31</v>
      </c>
      <c r="J49" s="107" t="n">
        <f aca="false">J12+J46</f>
        <v>2411.446914545</v>
      </c>
      <c r="K49" s="107" t="n">
        <f aca="false">K12+K46</f>
        <v>66618.746914545</v>
      </c>
      <c r="L49" s="107" t="n">
        <f aca="false">L12+L46</f>
        <v>-1080.9389450087</v>
      </c>
      <c r="M49" s="216" t="n">
        <f aca="false">M12+M46</f>
        <v>42377.7</v>
      </c>
      <c r="N49" s="107" t="n">
        <f aca="false">N12+N46</f>
        <v>181.8189255</v>
      </c>
      <c r="O49" s="107" t="n">
        <f aca="false">O12+O46</f>
        <v>13674.1405</v>
      </c>
      <c r="P49" s="158" t="n">
        <f aca="false">P12+P46</f>
        <v>7.32</v>
      </c>
      <c r="Q49" s="215"/>
      <c r="R49" s="215"/>
      <c r="S49" s="215"/>
      <c r="T49" s="215"/>
      <c r="U49" s="217"/>
      <c r="V49" s="107" t="n">
        <f aca="false">V12+V46</f>
        <v>19831</v>
      </c>
      <c r="W49" s="107" t="n">
        <f aca="false">W12+W46</f>
        <v>11250.9</v>
      </c>
      <c r="X49" s="107" t="n">
        <f aca="false">X12+X46</f>
        <v>61028.1053915706</v>
      </c>
      <c r="Y49" s="107" t="n">
        <f aca="false">Y12+Y46</f>
        <v>59716.8423915706</v>
      </c>
      <c r="Z49" s="80"/>
      <c r="AA49" s="107"/>
      <c r="AB49" s="107"/>
      <c r="AC49" s="107"/>
      <c r="AE49" s="107" t="n">
        <f aca="false">AE12+AE46</f>
        <v>31024</v>
      </c>
      <c r="AF49" s="216" t="n">
        <f aca="false">AF12+AF46</f>
        <v>311.1</v>
      </c>
      <c r="AG49" s="218" t="n">
        <f aca="false">AG12+AG46</f>
        <v>237.9</v>
      </c>
      <c r="AH49" s="107"/>
      <c r="AI49" s="107"/>
      <c r="AJ49" s="107" t="n">
        <f aca="false">AJ12+AJ46</f>
        <v>0</v>
      </c>
      <c r="AK49" s="107" t="n">
        <f aca="false">AK12+AK46</f>
        <v>115077.4576015</v>
      </c>
      <c r="AL49" s="107" t="n">
        <f aca="false">AL12+AL46</f>
        <v>3492.38585955369</v>
      </c>
      <c r="AM49" s="107" t="n">
        <f aca="false">AM12+AM46</f>
        <v>118569.843461054</v>
      </c>
      <c r="AN49" s="220"/>
      <c r="AO49" s="215"/>
      <c r="AP49" s="136"/>
      <c r="AQ49" s="158"/>
      <c r="AR49" s="136" t="n">
        <f aca="false">AR12+AR46</f>
        <v>3024.9425</v>
      </c>
      <c r="AS49" s="215" t="n">
        <f aca="false">AS12+AS46</f>
        <v>694.19</v>
      </c>
      <c r="AT49" s="215" t="n">
        <f aca="false">AT12+AT46</f>
        <v>0</v>
      </c>
      <c r="AU49" s="215" t="n">
        <f aca="false">AU12+AU46</f>
        <v>1513.34</v>
      </c>
      <c r="AV49" s="222"/>
      <c r="AW49" s="215" t="n">
        <f aca="false">MIN(AW15:AW44)</f>
        <v>62</v>
      </c>
      <c r="AX49" s="215" t="n">
        <f aca="false">MIN(AX15:AX44)</f>
        <v>41</v>
      </c>
      <c r="AY49" s="223" t="s">
        <v>106</v>
      </c>
      <c r="AZ49" s="338" t="n">
        <f aca="false">AZ12+AZ46</f>
        <v>279.962643998847</v>
      </c>
    </row>
    <row r="50" customFormat="false" ht="12.95" hidden="false" customHeight="true" outlineLevel="0" collapsed="false">
      <c r="A50" s="185" t="s">
        <v>107</v>
      </c>
      <c r="B50" s="213"/>
      <c r="C50" s="107"/>
      <c r="D50" s="107"/>
      <c r="E50" s="107"/>
      <c r="F50" s="214" t="n">
        <f aca="false">F49*$D$2</f>
        <v>-103045</v>
      </c>
      <c r="G50" s="107" t="n">
        <f aca="false">G49*$D$2</f>
        <v>125910.5965</v>
      </c>
      <c r="H50" s="107" t="n">
        <f aca="false">H49*$D$2</f>
        <v>1444.602885</v>
      </c>
      <c r="I50" s="107" t="n">
        <f aca="false">I49*$D$2</f>
        <v>127355.199385</v>
      </c>
      <c r="J50" s="107" t="n">
        <f aca="false">J49*$D$2</f>
        <v>4783.104955</v>
      </c>
      <c r="K50" s="107" t="n">
        <f aca="false">K49*$D$2</f>
        <v>132138.284505</v>
      </c>
      <c r="L50" s="107" t="n">
        <f aca="false">L49*$D$2</f>
        <v>-2144.04239742475</v>
      </c>
      <c r="M50" s="216" t="n">
        <f aca="false">M49*$D$2</f>
        <v>84056.16795</v>
      </c>
      <c r="N50" s="107" t="n">
        <f aca="false">N49*$D$2</f>
        <v>360.63783872925</v>
      </c>
      <c r="O50" s="107" t="n">
        <f aca="false">O49*$D$2</f>
        <v>27122.65768175</v>
      </c>
      <c r="P50" s="158" t="n">
        <f aca="false">P49*$D$2</f>
        <v>14.51922</v>
      </c>
      <c r="Q50" s="215"/>
      <c r="R50" s="215"/>
      <c r="S50" s="215"/>
      <c r="T50" s="215"/>
      <c r="U50" s="217"/>
      <c r="V50" s="107" t="n">
        <f aca="false">V49*$D$2</f>
        <v>39334.7885</v>
      </c>
      <c r="W50" s="107" t="n">
        <f aca="false">W49*$D$2</f>
        <v>22316.16015</v>
      </c>
      <c r="X50" s="107" t="n">
        <f aca="false">X49*$D$2</f>
        <v>121049.24704418</v>
      </c>
      <c r="Y50" s="107" t="n">
        <f aca="false">Y49*$D$2</f>
        <v>118448.35688368</v>
      </c>
      <c r="Z50" s="80"/>
      <c r="AA50" s="107"/>
      <c r="AB50" s="107"/>
      <c r="AC50" s="107"/>
      <c r="AE50" s="218" t="n">
        <f aca="false">AE49*$D$2</f>
        <v>61536.104</v>
      </c>
      <c r="AF50" s="107" t="n">
        <f aca="false">AF49*$D$2</f>
        <v>617.06685</v>
      </c>
      <c r="AG50" s="218" t="n">
        <f aca="false">AG49*$D$2</f>
        <v>471.87465</v>
      </c>
      <c r="AH50" s="107"/>
      <c r="AI50" s="107"/>
      <c r="AJ50" s="107" t="n">
        <f aca="false">AJ49*$D$2</f>
        <v>0</v>
      </c>
      <c r="AK50" s="107" t="n">
        <f aca="false">AK49*$D$2</f>
        <v>228256.137152575</v>
      </c>
      <c r="AL50" s="107" t="n">
        <f aca="false">AL49*$D$2</f>
        <v>6927.14735242475</v>
      </c>
      <c r="AM50" s="107" t="n">
        <f aca="false">AM49*$D$2</f>
        <v>235183.284505</v>
      </c>
      <c r="AN50" s="220"/>
      <c r="AO50" s="215"/>
      <c r="AP50" s="136"/>
      <c r="AQ50" s="158" t="n">
        <f aca="false">AQ12+AQ47</f>
        <v>945.374503875825</v>
      </c>
      <c r="AR50" s="136" t="n">
        <f aca="false">AR49*$D$2</f>
        <v>5999.97344875</v>
      </c>
      <c r="AS50" s="215" t="n">
        <f aca="false">AS49*$D$2</f>
        <v>1376.925865</v>
      </c>
      <c r="AT50" s="215" t="n">
        <f aca="false">AT49*$D$2</f>
        <v>0</v>
      </c>
      <c r="AU50" s="215" t="n">
        <f aca="false">AU49*$D$2</f>
        <v>3001.70989</v>
      </c>
      <c r="AV50" s="222"/>
      <c r="AW50" s="215"/>
      <c r="AX50" s="215"/>
      <c r="AY50" s="299"/>
      <c r="AZ50" s="338" t="n">
        <f aca="false">AZ49*$D$2</f>
        <v>555.305904371713</v>
      </c>
    </row>
    <row r="51" customFormat="false" ht="3" hidden="false" customHeight="true" outlineLevel="0" collapsed="false">
      <c r="A51" s="231"/>
      <c r="B51" s="252"/>
      <c r="C51" s="233"/>
      <c r="D51" s="233"/>
      <c r="E51" s="233"/>
      <c r="F51" s="257"/>
      <c r="G51" s="233"/>
      <c r="H51" s="243"/>
      <c r="I51" s="233"/>
      <c r="J51" s="233"/>
      <c r="K51" s="233"/>
      <c r="L51" s="233"/>
      <c r="M51" s="258"/>
      <c r="N51" s="233"/>
      <c r="O51" s="233"/>
      <c r="P51" s="238"/>
      <c r="Q51" s="243"/>
      <c r="R51" s="243"/>
      <c r="S51" s="243"/>
      <c r="T51" s="243"/>
      <c r="U51" s="239"/>
      <c r="V51" s="233"/>
      <c r="W51" s="233"/>
      <c r="X51" s="233"/>
      <c r="Y51" s="233"/>
      <c r="Z51" s="233"/>
      <c r="AA51" s="233"/>
      <c r="AB51" s="233"/>
      <c r="AC51" s="233"/>
      <c r="AD51" s="233"/>
      <c r="AE51" s="259"/>
      <c r="AF51" s="119"/>
      <c r="AG51" s="155"/>
      <c r="AH51" s="233"/>
      <c r="AI51" s="233"/>
      <c r="AJ51" s="233"/>
      <c r="AK51" s="233"/>
      <c r="AL51" s="233"/>
      <c r="AM51" s="233"/>
      <c r="AN51" s="245"/>
      <c r="AO51" s="263"/>
      <c r="AP51" s="240"/>
      <c r="AQ51" s="238"/>
      <c r="AR51" s="238"/>
      <c r="AS51" s="243"/>
      <c r="AT51" s="243"/>
      <c r="AU51" s="240"/>
      <c r="AV51" s="245"/>
      <c r="AW51" s="263"/>
      <c r="AX51" s="263"/>
      <c r="AY51" s="257"/>
      <c r="AZ51" s="317"/>
    </row>
    <row r="52" customFormat="false" ht="12.95" hidden="false" customHeight="true" outlineLevel="0" collapsed="false">
      <c r="A52" s="185" t="s">
        <v>108</v>
      </c>
      <c r="B52" s="213"/>
      <c r="C52" s="107"/>
      <c r="D52" s="107"/>
      <c r="E52" s="107"/>
      <c r="F52" s="214" t="n">
        <f aca="false">F13+F46</f>
        <v>-47133.3501386438</v>
      </c>
      <c r="G52" s="107" t="n">
        <f aca="false">G13+G46</f>
        <v>75543</v>
      </c>
      <c r="H52" s="215" t="n">
        <f aca="false">H13+H46</f>
        <v>1210.39</v>
      </c>
      <c r="I52" s="107" t="n">
        <f aca="false">I13+I46</f>
        <v>76752.77</v>
      </c>
      <c r="J52" s="107" t="n">
        <f aca="false">J13+J46</f>
        <v>7305.63475674313</v>
      </c>
      <c r="K52" s="107" t="n">
        <f aca="false">K13+K46</f>
        <v>84058.3947567431</v>
      </c>
      <c r="L52" s="107" t="n">
        <f aca="false">L13+L46</f>
        <v>3216.54746285619</v>
      </c>
      <c r="M52" s="216" t="n">
        <f aca="false">M13+M46</f>
        <v>43166.4</v>
      </c>
      <c r="N52" s="107" t="n">
        <f aca="false">N13+N46</f>
        <v>181.8189255</v>
      </c>
      <c r="O52" s="107" t="n">
        <f aca="false">O13+O46</f>
        <v>13674.1405</v>
      </c>
      <c r="P52" s="158"/>
      <c r="Q52" s="215" t="n">
        <f aca="false">Q13+Q46</f>
        <v>731.91955195124</v>
      </c>
      <c r="R52" s="215" t="n">
        <f aca="false">R13+R46</f>
        <v>956.01093552</v>
      </c>
      <c r="S52" s="215" t="n">
        <f aca="false">S13+S46</f>
        <v>199.15526736</v>
      </c>
      <c r="T52" s="215" t="n">
        <f aca="false">T13+T46</f>
        <v>301.84463712</v>
      </c>
      <c r="U52" s="316" t="n">
        <f aca="false">U13+U46</f>
        <v>27.7983443318626</v>
      </c>
      <c r="V52" s="107" t="n">
        <f aca="false">V13+V46</f>
        <v>25678</v>
      </c>
      <c r="W52" s="107" t="n">
        <f aca="false">W13+W46</f>
        <v>11310.4</v>
      </c>
      <c r="X52" s="107" t="n">
        <f aca="false">X13+X46</f>
        <v>67099.7343382169</v>
      </c>
      <c r="Y52" s="107" t="n">
        <f aca="false">Y13+Y46</f>
        <v>65585.6742660984</v>
      </c>
      <c r="Z52" s="107"/>
      <c r="AA52" s="107"/>
      <c r="AB52" s="107"/>
      <c r="AC52" s="107"/>
      <c r="AD52" s="107"/>
      <c r="AE52" s="218"/>
      <c r="AF52" s="107" t="n">
        <f aca="false">AF13+AF46</f>
        <v>51</v>
      </c>
      <c r="AG52" s="218" t="n">
        <f aca="false">AG13+AG46</f>
        <v>39</v>
      </c>
      <c r="AH52" s="107" t="n">
        <f aca="false">AH13+AH46</f>
        <v>15929</v>
      </c>
      <c r="AI52" s="107" t="n">
        <f aca="false">AI44</f>
        <v>5465.25787748929</v>
      </c>
      <c r="AJ52" s="107" t="n">
        <f aca="false">AJ13+AJ46</f>
        <v>33</v>
      </c>
      <c r="AK52" s="107" t="n">
        <f aca="false">AK13+AK46</f>
        <v>127102.6576015</v>
      </c>
      <c r="AL52" s="107" t="n">
        <f aca="false">AL13+AL46</f>
        <v>4089.08729388694</v>
      </c>
      <c r="AM52" s="107" t="n">
        <f aca="false">AM13+AM46</f>
        <v>131191.744895387</v>
      </c>
      <c r="AN52" s="220"/>
      <c r="AO52" s="107" t="n">
        <f aca="false">AO13+AO46</f>
        <v>1514.06007211854</v>
      </c>
      <c r="AP52" s="136"/>
      <c r="AQ52" s="158"/>
      <c r="AR52" s="158"/>
      <c r="AS52" s="215"/>
      <c r="AT52" s="215"/>
      <c r="AV52" s="222" t="n">
        <f aca="false">AV13+AV46</f>
        <v>4.53</v>
      </c>
      <c r="AW52" s="215"/>
      <c r="AX52" s="215"/>
      <c r="AY52" s="299"/>
      <c r="AZ52" s="338" t="n">
        <f aca="false">AZ13+AZ46</f>
        <v>2405.8676617831</v>
      </c>
    </row>
    <row r="53" customFormat="false" ht="12.95" hidden="false" customHeight="true" outlineLevel="0" collapsed="false">
      <c r="A53" s="185" t="s">
        <v>109</v>
      </c>
      <c r="B53" s="213"/>
      <c r="C53" s="107"/>
      <c r="D53" s="107" t="n">
        <f aca="false">D13+D47</f>
        <v>-93563</v>
      </c>
      <c r="E53" s="107" t="n">
        <f aca="false">E44</f>
        <v>48144</v>
      </c>
      <c r="F53" s="214" t="n">
        <f aca="false">F52*$D$2</f>
        <v>-93489</v>
      </c>
      <c r="G53" s="107" t="n">
        <f aca="false">G52*$D$2</f>
        <v>149839.5405</v>
      </c>
      <c r="H53" s="215" t="n">
        <f aca="false">H52*$D$2</f>
        <v>2400.808565</v>
      </c>
      <c r="I53" s="107" t="n">
        <f aca="false">I52*$D$2</f>
        <v>152239.119295</v>
      </c>
      <c r="J53" s="107" t="n">
        <f aca="false">J52*$D$2</f>
        <v>14490.72654</v>
      </c>
      <c r="K53" s="107" t="n">
        <f aca="false">K52*$D$2</f>
        <v>166729.826</v>
      </c>
      <c r="L53" s="107" t="n">
        <f aca="false">L52*$D$2</f>
        <v>6380.02189257525</v>
      </c>
      <c r="M53" s="216" t="n">
        <f aca="false">M52*$D$2</f>
        <v>85620.5544</v>
      </c>
      <c r="N53" s="107" t="n">
        <f aca="false">N52*$D$2</f>
        <v>360.63783872925</v>
      </c>
      <c r="O53" s="107" t="n">
        <f aca="false">O52*$D$2</f>
        <v>27122.65768175</v>
      </c>
      <c r="P53" s="158"/>
      <c r="Q53" s="215" t="n">
        <f aca="false">Q52*$D$2</f>
        <v>1451.76243129529</v>
      </c>
      <c r="R53" s="215" t="n">
        <f aca="false">R52*$D$2</f>
        <v>1896.24769060392</v>
      </c>
      <c r="S53" s="215" t="n">
        <f aca="false">S52*$D$2</f>
        <v>395.02447280856</v>
      </c>
      <c r="T53" s="215" t="n">
        <f aca="false">T52*$D$2</f>
        <v>598.70883772752</v>
      </c>
      <c r="U53" s="316" t="n">
        <f aca="false">U52*$D$2</f>
        <v>55.1380159822495</v>
      </c>
      <c r="V53" s="107" t="n">
        <f aca="false">V52*$D$2</f>
        <v>50932.313</v>
      </c>
      <c r="W53" s="107" t="n">
        <f aca="false">W52*$D$2</f>
        <v>22434.1784</v>
      </c>
      <c r="X53" s="107" t="n">
        <f aca="false">X52*$D$2</f>
        <v>133092.323059853</v>
      </c>
      <c r="Y53" s="107" t="n">
        <f aca="false">Y52*$D$2</f>
        <v>130089.184906806</v>
      </c>
      <c r="Z53" s="107"/>
      <c r="AA53" s="107"/>
      <c r="AB53" s="107"/>
      <c r="AC53" s="107"/>
      <c r="AD53" s="107"/>
      <c r="AE53" s="267"/>
      <c r="AF53" s="107" t="n">
        <f aca="false">AF52*$D$2</f>
        <v>101.1585</v>
      </c>
      <c r="AG53" s="267" t="n">
        <f aca="false">AG52*$D$2</f>
        <v>77.3565</v>
      </c>
      <c r="AH53" s="107" t="n">
        <f aca="false">AH52*$D$2</f>
        <v>31595.1715</v>
      </c>
      <c r="AI53" s="107" t="n">
        <f aca="false">AI52*$D$2</f>
        <v>10840.339</v>
      </c>
      <c r="AJ53" s="107" t="n">
        <f aca="false">AJ52*$D$2</f>
        <v>65.4555</v>
      </c>
      <c r="AK53" s="107" t="n">
        <f aca="false">AK52*$D$2</f>
        <v>252108.121352575</v>
      </c>
      <c r="AL53" s="107" t="n">
        <f aca="false">AL52*$D$2</f>
        <v>8110.70464742475</v>
      </c>
      <c r="AM53" s="107" t="n">
        <f aca="false">AM52*$D$2</f>
        <v>260218.826</v>
      </c>
      <c r="AN53" s="220" t="n">
        <f aca="false">AN13+AN47</f>
        <v>11712.1708</v>
      </c>
      <c r="AO53" s="107" t="n">
        <f aca="false">AO52*$D$2</f>
        <v>3003.13815304712</v>
      </c>
      <c r="AP53" s="136"/>
      <c r="AQ53" s="158" t="n">
        <f aca="false">AQ13+AQ47</f>
        <v>945.374503875825</v>
      </c>
      <c r="AR53" s="158"/>
      <c r="AS53" s="215"/>
      <c r="AT53" s="215"/>
      <c r="AV53" s="222"/>
      <c r="AW53" s="215"/>
      <c r="AX53" s="215"/>
      <c r="AY53" s="299"/>
      <c r="AZ53" s="338" t="n">
        <f aca="false">AZ52*$D$2</f>
        <v>4772.03850714679</v>
      </c>
    </row>
    <row r="54" customFormat="false" ht="3" hidden="false" customHeight="true" outlineLevel="0" collapsed="false">
      <c r="A54" s="231"/>
      <c r="B54" s="252"/>
      <c r="C54" s="233"/>
      <c r="D54" s="234"/>
      <c r="E54" s="233"/>
      <c r="F54" s="235"/>
      <c r="G54" s="234"/>
      <c r="H54" s="236"/>
      <c r="I54" s="234"/>
      <c r="J54" s="234"/>
      <c r="K54" s="234"/>
      <c r="L54" s="234"/>
      <c r="M54" s="237"/>
      <c r="N54" s="234"/>
      <c r="O54" s="234"/>
      <c r="P54" s="238"/>
      <c r="Q54" s="238"/>
      <c r="R54" s="238"/>
      <c r="S54" s="238"/>
      <c r="T54" s="238"/>
      <c r="U54" s="239"/>
      <c r="V54" s="234"/>
      <c r="W54" s="234"/>
      <c r="X54" s="234"/>
      <c r="Y54" s="234"/>
      <c r="Z54" s="233"/>
      <c r="AA54" s="234"/>
      <c r="AB54" s="233"/>
      <c r="AC54" s="233"/>
      <c r="AD54" s="233"/>
      <c r="AE54" s="234"/>
      <c r="AF54" s="114"/>
      <c r="AG54" s="165"/>
      <c r="AH54" s="234"/>
      <c r="AI54" s="233"/>
      <c r="AJ54" s="304"/>
      <c r="AK54" s="234"/>
      <c r="AL54" s="234"/>
      <c r="AM54" s="234"/>
      <c r="AN54" s="252"/>
      <c r="AO54" s="234"/>
      <c r="AP54" s="240"/>
      <c r="AQ54" s="238"/>
      <c r="AR54" s="238"/>
      <c r="AS54" s="238"/>
      <c r="AT54" s="238"/>
      <c r="AU54" s="240"/>
      <c r="AV54" s="252"/>
      <c r="AW54" s="234"/>
      <c r="AX54" s="234"/>
      <c r="AY54" s="257"/>
      <c r="AZ54" s="317"/>
    </row>
    <row r="55" customFormat="false" ht="11.1" hidden="false" customHeight="true" outlineLevel="0" collapsed="false">
      <c r="G55" s="186"/>
      <c r="I55" s="174"/>
      <c r="N55" s="2"/>
      <c r="W55" s="176"/>
      <c r="X55" s="1"/>
      <c r="Y55" s="1"/>
      <c r="Z55" s="177"/>
      <c r="AA55" s="1"/>
      <c r="AB55" s="177"/>
      <c r="AE55" s="179"/>
      <c r="AF55" s="179"/>
      <c r="AG55" s="179"/>
      <c r="AH55" s="177"/>
      <c r="AK55" s="176"/>
      <c r="AL55" s="176"/>
      <c r="AM55" s="8"/>
      <c r="AN55" s="180"/>
      <c r="AO55" s="180"/>
      <c r="AP55" s="325"/>
      <c r="AQ55" s="193"/>
      <c r="AR55" s="193"/>
      <c r="AV55" s="178"/>
      <c r="AW55" s="182"/>
      <c r="AX55" s="183"/>
    </row>
    <row r="56" customFormat="false" ht="11.1" hidden="false" customHeight="true" outlineLevel="0" collapsed="false">
      <c r="A56" s="185"/>
      <c r="B56" s="545"/>
      <c r="C56" s="2"/>
      <c r="D56" s="1"/>
      <c r="E56" s="382"/>
      <c r="F56" s="188"/>
      <c r="G56" s="1"/>
      <c r="H56" s="3"/>
      <c r="I56" s="12"/>
      <c r="J56" s="11"/>
      <c r="K56" s="174"/>
      <c r="L56" s="179"/>
      <c r="M56" s="11"/>
      <c r="N56" s="0"/>
      <c r="O56" s="2"/>
      <c r="P56" s="472"/>
      <c r="Q56" s="472"/>
      <c r="R56" s="93"/>
      <c r="S56" s="93"/>
      <c r="T56" s="93"/>
      <c r="U56" s="93"/>
      <c r="V56" s="26"/>
      <c r="W56" s="130"/>
      <c r="X56" s="90"/>
      <c r="Y56" s="90"/>
      <c r="Z56" s="177"/>
      <c r="AA56" s="90"/>
      <c r="AB56" s="177"/>
      <c r="AC56" s="84"/>
      <c r="AD56" s="84"/>
      <c r="AE56" s="2"/>
      <c r="AF56" s="2"/>
      <c r="AG56" s="2"/>
      <c r="AH56" s="11"/>
      <c r="AI56" s="2"/>
      <c r="AJ56" s="105"/>
      <c r="AK56" s="2"/>
      <c r="AL56" s="185"/>
      <c r="AM56" s="8"/>
      <c r="AN56" s="552"/>
      <c r="AO56" s="552"/>
      <c r="AP56" s="325"/>
      <c r="AQ56" s="384"/>
      <c r="AR56" s="384"/>
      <c r="AS56" s="194"/>
      <c r="AV56" s="182"/>
      <c r="AW56" s="182"/>
      <c r="AX56" s="182"/>
    </row>
    <row r="57" customFormat="false" ht="11.1" hidden="false" customHeight="true" outlineLevel="0" collapsed="false">
      <c r="B57" s="177"/>
      <c r="E57" s="382"/>
      <c r="F57" s="225"/>
      <c r="G57" s="1"/>
      <c r="H57" s="3"/>
      <c r="I57" s="1"/>
      <c r="J57" s="1"/>
      <c r="K57" s="383"/>
      <c r="L57" s="440"/>
      <c r="M57" s="4"/>
      <c r="N57" s="4"/>
      <c r="O57" s="90"/>
      <c r="R57" s="93"/>
      <c r="S57" s="93"/>
      <c r="T57" s="93"/>
      <c r="U57" s="93"/>
      <c r="V57" s="26"/>
      <c r="W57" s="26"/>
      <c r="X57" s="90"/>
      <c r="Y57" s="90"/>
      <c r="Z57" s="177"/>
      <c r="AA57" s="90"/>
      <c r="AB57" s="177"/>
      <c r="AE57" s="177"/>
      <c r="AF57" s="177"/>
      <c r="AG57" s="177"/>
      <c r="AH57" s="2"/>
      <c r="AI57" s="26"/>
      <c r="AJ57" s="473"/>
      <c r="AK57" s="26"/>
      <c r="AL57" s="176"/>
      <c r="AM57" s="8"/>
      <c r="AN57" s="180"/>
      <c r="AO57" s="180"/>
      <c r="AP57" s="325"/>
      <c r="AS57" s="194"/>
      <c r="AV57" s="182"/>
      <c r="AW57" s="182"/>
      <c r="AX57" s="183"/>
    </row>
    <row r="58" customFormat="false" ht="11.1" hidden="false" customHeight="true" outlineLevel="0" collapsed="false">
      <c r="D58" s="177"/>
      <c r="E58" s="382"/>
      <c r="F58" s="1"/>
      <c r="G58" s="1"/>
      <c r="H58" s="177"/>
      <c r="I58" s="1"/>
      <c r="J58" s="1"/>
      <c r="K58" s="383"/>
      <c r="L58" s="182"/>
      <c r="M58" s="4"/>
      <c r="N58" s="4"/>
      <c r="O58" s="182"/>
      <c r="W58" s="176"/>
      <c r="X58" s="1"/>
      <c r="Y58" s="1"/>
      <c r="Z58" s="182"/>
      <c r="AA58" s="1"/>
      <c r="AB58" s="182"/>
      <c r="AC58" s="182"/>
      <c r="AD58" s="182"/>
      <c r="AE58" s="177"/>
      <c r="AF58" s="177"/>
      <c r="AG58" s="177"/>
      <c r="AH58" s="2"/>
      <c r="AI58" s="177"/>
      <c r="AJ58" s="225"/>
      <c r="AK58" s="177"/>
      <c r="AL58" s="176"/>
      <c r="AM58" s="382"/>
      <c r="AN58" s="180"/>
      <c r="AO58" s="180"/>
      <c r="AP58" s="325"/>
      <c r="AS58" s="194"/>
      <c r="AV58" s="182"/>
      <c r="AW58" s="182"/>
      <c r="AX58" s="183"/>
    </row>
    <row r="59" customFormat="false" ht="11.1" hidden="false" customHeight="true" outlineLevel="0" collapsed="false">
      <c r="G59" s="273"/>
      <c r="O59" s="182"/>
      <c r="W59" s="176"/>
      <c r="X59" s="1"/>
      <c r="Y59" s="1"/>
      <c r="Z59" s="177"/>
      <c r="AA59" s="1"/>
      <c r="AB59" s="177"/>
      <c r="AH59" s="177"/>
      <c r="AK59" s="176"/>
      <c r="AL59" s="176"/>
      <c r="AM59" s="8"/>
      <c r="AN59" s="180"/>
      <c r="AO59" s="180"/>
      <c r="AP59" s="325"/>
      <c r="AS59" s="194"/>
      <c r="AV59" s="178"/>
      <c r="AW59" s="182"/>
      <c r="AX59" s="183"/>
    </row>
    <row r="60" customFormat="false" ht="11.1" hidden="false" customHeight="true" outlineLevel="0" collapsed="false">
      <c r="W60" s="176"/>
      <c r="X60" s="177"/>
      <c r="Y60" s="177"/>
      <c r="Z60" s="177"/>
      <c r="AA60" s="177"/>
      <c r="AB60" s="177"/>
      <c r="AH60" s="177"/>
      <c r="AK60" s="176"/>
      <c r="AL60" s="176"/>
      <c r="AM60" s="8"/>
      <c r="AN60" s="180"/>
      <c r="AO60" s="180"/>
      <c r="AS60" s="194"/>
      <c r="AV60" s="178"/>
      <c r="AW60" s="182"/>
      <c r="AX60" s="183"/>
    </row>
    <row r="61" customFormat="false" ht="11.1" hidden="false" customHeight="true" outlineLevel="0" collapsed="false">
      <c r="W61" s="176"/>
      <c r="X61" s="177"/>
      <c r="Y61" s="177"/>
      <c r="AA61" s="177"/>
      <c r="AC61" s="176"/>
      <c r="AD61" s="176"/>
      <c r="AH61" s="177"/>
      <c r="AK61" s="176"/>
      <c r="AL61" s="176"/>
      <c r="AM61" s="8"/>
      <c r="AQ61" s="193"/>
      <c r="AR61" s="193"/>
      <c r="AV61" s="178"/>
      <c r="AW61" s="182"/>
      <c r="AX61" s="183"/>
    </row>
  </sheetData>
  <mergeCells count="1">
    <mergeCell ref="M5:U5"/>
  </mergeCells>
  <printOptions headings="true" gridLines="true" gridLinesSet="true" horizontalCentered="false" verticalCentered="true"/>
  <pageMargins left="0.25" right="0.25" top="0.5" bottom="0" header="0.5" footer="0.511811023622047"/>
  <pageSetup paperSize="3" scale="90" fitToWidth="1" fitToHeight="1" pageOrder="downThenOver" orientation="landscape" blackAndWhite="false" draft="false" cellComments="atEnd" horizontalDpi="300" verticalDpi="300" copies="1"/>
  <headerFooter differentFirst="false" differentOddEven="false">
    <oddHeader>&amp;C2012 Approved</oddHeader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A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4" topLeftCell="B29" activePane="bottomRight" state="frozen"/>
      <selection pane="topLeft" activeCell="A1" activeCellId="0" sqref="A1"/>
      <selection pane="topRight" activeCell="B1" activeCellId="0" sqref="B1"/>
      <selection pane="bottomLeft" activeCell="A29" activeCellId="0" sqref="A29"/>
      <selection pane="bottomRight" activeCell="B15" activeCellId="0" sqref="B15"/>
    </sheetView>
  </sheetViews>
  <sheetFormatPr defaultColWidth="9.328125" defaultRowHeight="11.1" zeroHeight="false" outlineLevelRow="0" outlineLevelCol="0"/>
  <cols>
    <col collapsed="false" customWidth="true" hidden="false" outlineLevel="0" max="1" min="1" style="176" width="4.66"/>
    <col collapsed="false" customWidth="true" hidden="false" outlineLevel="0" max="2" min="2" style="176" width="6.99"/>
    <col collapsed="false" customWidth="true" hidden="false" outlineLevel="0" max="3" min="3" style="177" width="6.32"/>
    <col collapsed="false" customWidth="true" hidden="false" outlineLevel="0" max="4" min="4" style="176" width="6.32"/>
    <col collapsed="false" customWidth="true" hidden="false" outlineLevel="0" max="5" min="5" style="177" width="6.99"/>
    <col collapsed="false" customWidth="true" hidden="false" outlineLevel="0" max="6" min="6" style="176" width="7.32"/>
    <col collapsed="false" customWidth="true" hidden="false" outlineLevel="0" max="7" min="7" style="176" width="6.82"/>
    <col collapsed="false" customWidth="true" hidden="false" outlineLevel="0" max="8" min="8" style="553" width="5.66"/>
    <col collapsed="false" customWidth="true" hidden="false" outlineLevel="0" max="11" min="9" style="176" width="6.32"/>
    <col collapsed="false" customWidth="true" hidden="false" outlineLevel="0" max="12" min="12" style="176" width="6.82"/>
    <col collapsed="false" customWidth="true" hidden="false" outlineLevel="0" max="13" min="13" style="179" width="5.49"/>
    <col collapsed="false" customWidth="true" hidden="false" outlineLevel="0" max="14" min="14" style="179" width="4.49"/>
    <col collapsed="false" customWidth="true" hidden="false" outlineLevel="0" max="15" min="15" style="179" width="5.49"/>
    <col collapsed="false" customWidth="true" hidden="false" outlineLevel="0" max="16" min="16" style="8" width="4.82"/>
    <col collapsed="false" customWidth="true" hidden="false" outlineLevel="0" max="20" min="17" style="176" width="4.32"/>
    <col collapsed="false" customWidth="true" hidden="false" outlineLevel="0" max="21" min="21" style="8" width="5.16"/>
    <col collapsed="false" customWidth="true" hidden="false" outlineLevel="0" max="22" min="22" style="176" width="5.49"/>
    <col collapsed="false" customWidth="true" hidden="false" outlineLevel="0" max="23" min="23" style="177" width="5.49"/>
    <col collapsed="false" customWidth="true" hidden="false" outlineLevel="0" max="25" min="24" style="176" width="6.32"/>
    <col collapsed="false" customWidth="true" hidden="false" outlineLevel="0" max="26" min="26" style="176" width="5.49"/>
    <col collapsed="false" customWidth="true" hidden="false" outlineLevel="0" max="27" min="27" style="176" width="6.32"/>
    <col collapsed="false" customWidth="true" hidden="false" outlineLevel="0" max="28" min="28" style="176" width="5.49"/>
    <col collapsed="false" customWidth="true" hidden="false" outlineLevel="0" max="29" min="29" style="177" width="5.82"/>
    <col collapsed="false" customWidth="true" hidden="false" outlineLevel="0" max="30" min="30" style="177" width="5.49"/>
    <col collapsed="false" customWidth="true" hidden="false" outlineLevel="0" max="33" min="31" style="176" width="5.49"/>
    <col collapsed="false" customWidth="true" hidden="false" outlineLevel="0" max="34" min="34" style="176" width="6.32"/>
    <col collapsed="false" customWidth="true" hidden="false" outlineLevel="0" max="35" min="35" style="176" width="5.49"/>
    <col collapsed="false" customWidth="true" hidden="false" outlineLevel="0" max="36" min="36" style="180" width="6.32"/>
    <col collapsed="false" customWidth="true" hidden="false" outlineLevel="0" max="37" min="37" style="384" width="6.32"/>
    <col collapsed="false" customWidth="true" hidden="false" outlineLevel="0" max="39" min="38" style="288" width="6.82"/>
    <col collapsed="false" customWidth="true" hidden="false" outlineLevel="0" max="40" min="40" style="180" width="5.49"/>
    <col collapsed="false" customWidth="true" hidden="false" outlineLevel="0" max="41" min="41" style="325" width="5.49"/>
    <col collapsed="false" customWidth="true" hidden="false" outlineLevel="0" max="42" min="42" style="325" width="6.32"/>
    <col collapsed="false" customWidth="true" hidden="false" outlineLevel="0" max="43" min="43" style="384" width="6.32"/>
    <col collapsed="false" customWidth="true" hidden="false" outlineLevel="0" max="44" min="44" style="384" width="5.49"/>
    <col collapsed="false" customWidth="true" hidden="false" outlineLevel="0" max="45" min="45" style="384" width="4.32"/>
    <col collapsed="false" customWidth="true" hidden="false" outlineLevel="0" max="46" min="46" style="180" width="5.32"/>
    <col collapsed="false" customWidth="true" hidden="false" outlineLevel="0" max="47" min="47" style="180" width="5.82"/>
    <col collapsed="false" customWidth="true" hidden="false" outlineLevel="0" max="48" min="48" style="288" width="4.99"/>
    <col collapsed="false" customWidth="true" hidden="false" outlineLevel="0" max="49" min="49" style="411" width="5.32"/>
    <col collapsed="false" customWidth="true" hidden="false" outlineLevel="0" max="50" min="50" style="180" width="3.82"/>
    <col collapsed="false" customWidth="true" hidden="false" outlineLevel="0" max="51" min="51" style="384" width="3.82"/>
    <col collapsed="false" customWidth="true" hidden="false" outlineLevel="0" max="52" min="52" style="184" width="3.82"/>
    <col collapsed="false" customWidth="true" hidden="false" outlineLevel="0" max="53" min="53" style="184" width="5.49"/>
    <col collapsed="false" customWidth="false" hidden="false" outlineLevel="0" max="257" min="54" style="184" width="9.32"/>
  </cols>
  <sheetData>
    <row r="1" customFormat="false" ht="14.1" hidden="false" customHeight="true" outlineLevel="0" collapsed="false">
      <c r="A1" s="185"/>
      <c r="B1" s="185"/>
      <c r="D1" s="185"/>
      <c r="F1" s="185"/>
      <c r="G1" s="185"/>
      <c r="I1" s="185"/>
      <c r="J1" s="185"/>
      <c r="K1" s="187" t="s">
        <v>0</v>
      </c>
      <c r="L1" s="185"/>
      <c r="M1" s="185"/>
      <c r="N1" s="185"/>
      <c r="O1" s="185"/>
      <c r="Q1" s="185"/>
      <c r="R1" s="185"/>
      <c r="S1" s="185"/>
      <c r="T1" s="185"/>
      <c r="V1" s="185"/>
      <c r="W1" s="185"/>
      <c r="X1" s="177"/>
      <c r="Y1" s="177"/>
      <c r="Z1" s="185"/>
      <c r="AA1" s="177"/>
      <c r="AB1" s="185"/>
      <c r="AC1" s="185"/>
      <c r="AD1" s="185"/>
      <c r="AE1" s="185"/>
      <c r="AF1" s="185"/>
      <c r="AG1" s="185"/>
      <c r="AH1" s="177"/>
      <c r="AI1" s="185"/>
      <c r="AJ1" s="188"/>
      <c r="AK1" s="188"/>
      <c r="AL1" s="188"/>
      <c r="AM1" s="384"/>
      <c r="AN1" s="188"/>
      <c r="AW1" s="288"/>
      <c r="AX1" s="288"/>
      <c r="AY1" s="411"/>
    </row>
    <row r="2" customFormat="false" ht="14.1" hidden="false" customHeight="true" outlineLevel="0" collapsed="false">
      <c r="A2" s="188" t="s">
        <v>1</v>
      </c>
      <c r="B2" s="185"/>
      <c r="D2" s="189" t="n">
        <v>1.9835</v>
      </c>
      <c r="F2" s="185"/>
      <c r="G2" s="185"/>
      <c r="I2" s="185"/>
      <c r="J2" s="185"/>
      <c r="K2" s="190" t="s">
        <v>141</v>
      </c>
      <c r="L2" s="191"/>
      <c r="M2" s="192"/>
      <c r="N2" s="192"/>
      <c r="O2" s="192"/>
      <c r="P2" s="193"/>
      <c r="Q2" s="192"/>
      <c r="R2" s="192"/>
      <c r="S2" s="192"/>
      <c r="T2" s="192"/>
      <c r="U2" s="193"/>
      <c r="V2" s="192"/>
      <c r="W2" s="192"/>
      <c r="X2" s="84"/>
      <c r="Y2" s="84"/>
      <c r="Z2" s="192"/>
      <c r="AA2" s="84"/>
      <c r="AB2" s="192"/>
      <c r="AC2" s="192"/>
      <c r="AD2" s="192"/>
      <c r="AE2" s="185"/>
      <c r="AF2" s="185"/>
      <c r="AG2" s="185"/>
      <c r="AH2" s="177"/>
      <c r="AI2" s="185"/>
      <c r="AJ2" s="188"/>
      <c r="AK2" s="188"/>
      <c r="AL2" s="188"/>
      <c r="AM2" s="384"/>
      <c r="AN2" s="188"/>
      <c r="AW2" s="288"/>
      <c r="AX2" s="288"/>
      <c r="AY2" s="411"/>
    </row>
    <row r="3" customFormat="false" ht="14.1" hidden="false" customHeight="true" outlineLevel="0" collapsed="false">
      <c r="A3" s="195"/>
      <c r="B3" s="195"/>
      <c r="C3" s="196"/>
      <c r="D3" s="197"/>
      <c r="E3" s="196"/>
      <c r="F3" s="195"/>
      <c r="G3" s="195"/>
      <c r="H3" s="554"/>
      <c r="I3" s="195"/>
      <c r="J3" s="195"/>
      <c r="K3" s="195"/>
      <c r="L3" s="195"/>
      <c r="M3" s="195"/>
      <c r="N3" s="195"/>
      <c r="O3" s="195"/>
      <c r="P3" s="199"/>
      <c r="Q3" s="195"/>
      <c r="R3" s="195"/>
      <c r="S3" s="195"/>
      <c r="T3" s="195"/>
      <c r="U3" s="199"/>
      <c r="V3" s="195"/>
      <c r="W3" s="195"/>
      <c r="X3" s="196"/>
      <c r="Y3" s="196"/>
      <c r="Z3" s="195"/>
      <c r="AA3" s="196"/>
      <c r="AB3" s="195"/>
      <c r="AC3" s="195"/>
      <c r="AD3" s="195"/>
      <c r="AE3" s="195"/>
      <c r="AF3" s="195"/>
      <c r="AG3" s="195"/>
      <c r="AH3" s="196"/>
      <c r="AI3" s="195"/>
      <c r="AJ3" s="201"/>
      <c r="AK3" s="201"/>
      <c r="AL3" s="201"/>
      <c r="AM3" s="497"/>
      <c r="AN3" s="201"/>
      <c r="AO3" s="327"/>
      <c r="AP3" s="327"/>
      <c r="AQ3" s="497"/>
      <c r="AW3" s="291"/>
      <c r="AX3" s="291"/>
      <c r="AY3" s="496"/>
    </row>
    <row r="4" s="176" customFormat="true" ht="14.1" hidden="false" customHeight="true" outlineLevel="0" collapsed="false">
      <c r="A4" s="185"/>
      <c r="B4" s="388"/>
      <c r="C4" s="389"/>
      <c r="D4" s="390" t="s">
        <v>3</v>
      </c>
      <c r="E4" s="389"/>
      <c r="F4" s="498"/>
      <c r="G4" s="185"/>
      <c r="H4" s="186"/>
      <c r="I4" s="499" t="s">
        <v>4</v>
      </c>
      <c r="J4" s="185"/>
      <c r="K4" s="185"/>
      <c r="L4" s="393"/>
      <c r="M4" s="185"/>
      <c r="N4" s="185"/>
      <c r="O4" s="185"/>
      <c r="P4" s="8"/>
      <c r="Q4" s="8"/>
      <c r="R4" s="8"/>
      <c r="S4" s="8"/>
      <c r="T4" s="8"/>
      <c r="U4" s="8"/>
      <c r="V4" s="398"/>
      <c r="W4" s="185"/>
      <c r="X4" s="398" t="s">
        <v>5</v>
      </c>
      <c r="Y4" s="177"/>
      <c r="Z4" s="185"/>
      <c r="AA4" s="177"/>
      <c r="AB4" s="185"/>
      <c r="AC4" s="185"/>
      <c r="AD4" s="185"/>
      <c r="AE4" s="185"/>
      <c r="AF4" s="185"/>
      <c r="AG4" s="185"/>
      <c r="AH4" s="177"/>
      <c r="AI4" s="185"/>
      <c r="AJ4" s="188"/>
      <c r="AK4" s="188"/>
      <c r="AL4" s="188"/>
      <c r="AM4" s="384"/>
      <c r="AN4" s="500"/>
      <c r="AO4" s="325"/>
      <c r="AP4" s="502" t="s">
        <v>6</v>
      </c>
      <c r="AQ4" s="502"/>
      <c r="AR4" s="503"/>
      <c r="AS4" s="503"/>
      <c r="AT4" s="504"/>
      <c r="AU4" s="555"/>
      <c r="AV4" s="556"/>
      <c r="AW4" s="557"/>
      <c r="AX4" s="558" t="s">
        <v>7</v>
      </c>
      <c r="AY4" s="559"/>
      <c r="AZ4" s="403"/>
      <c r="BA4" s="404"/>
    </row>
    <row r="5" customFormat="false" ht="12.95" hidden="false" customHeight="true" outlineLevel="0" collapsed="false">
      <c r="A5" s="323" t="s">
        <v>8</v>
      </c>
      <c r="B5" s="405" t="s">
        <v>9</v>
      </c>
      <c r="C5" s="406" t="s">
        <v>9</v>
      </c>
      <c r="D5" s="323" t="s">
        <v>10</v>
      </c>
      <c r="E5" s="406" t="s">
        <v>11</v>
      </c>
      <c r="F5" s="323" t="s">
        <v>12</v>
      </c>
      <c r="G5" s="405" t="s">
        <v>13</v>
      </c>
      <c r="H5" s="407" t="s">
        <v>14</v>
      </c>
      <c r="I5" s="323" t="s">
        <v>15</v>
      </c>
      <c r="J5" s="323" t="s">
        <v>16</v>
      </c>
      <c r="K5" s="323" t="s">
        <v>17</v>
      </c>
      <c r="L5" s="323" t="s">
        <v>16</v>
      </c>
      <c r="M5" s="408" t="s">
        <v>18</v>
      </c>
      <c r="N5" s="408"/>
      <c r="O5" s="408"/>
      <c r="P5" s="408"/>
      <c r="Q5" s="408"/>
      <c r="R5" s="408"/>
      <c r="S5" s="408"/>
      <c r="T5" s="408"/>
      <c r="U5" s="408"/>
      <c r="V5" s="323" t="s">
        <v>19</v>
      </c>
      <c r="W5" s="323" t="s">
        <v>20</v>
      </c>
      <c r="X5" s="55" t="s">
        <v>17</v>
      </c>
      <c r="Y5" s="55" t="s">
        <v>17</v>
      </c>
      <c r="Z5" s="61" t="s">
        <v>21</v>
      </c>
      <c r="AA5" s="55" t="s">
        <v>21</v>
      </c>
      <c r="AB5" s="61" t="s">
        <v>21</v>
      </c>
      <c r="AC5" s="406" t="s">
        <v>22</v>
      </c>
      <c r="AD5" s="406" t="s">
        <v>21</v>
      </c>
      <c r="AE5" s="323" t="s">
        <v>23</v>
      </c>
      <c r="AF5" s="409" t="s">
        <v>127</v>
      </c>
      <c r="AG5" s="410"/>
      <c r="AH5" s="411" t="s">
        <v>25</v>
      </c>
      <c r="AI5" s="406" t="s">
        <v>128</v>
      </c>
      <c r="AJ5" s="406" t="s">
        <v>27</v>
      </c>
      <c r="AK5" s="323" t="s">
        <v>15</v>
      </c>
      <c r="AL5" s="323" t="s">
        <v>16</v>
      </c>
      <c r="AM5" s="323" t="s">
        <v>17</v>
      </c>
      <c r="AN5" s="448" t="s">
        <v>28</v>
      </c>
      <c r="AO5" s="61" t="s">
        <v>21</v>
      </c>
      <c r="AP5" s="67" t="s">
        <v>29</v>
      </c>
      <c r="AQ5" s="67" t="s">
        <v>29</v>
      </c>
      <c r="AR5" s="62" t="s">
        <v>30</v>
      </c>
      <c r="AS5" s="62" t="s">
        <v>21</v>
      </c>
      <c r="AT5" s="68" t="s">
        <v>31</v>
      </c>
      <c r="AU5" s="407" t="s">
        <v>32</v>
      </c>
      <c r="AV5" s="210" t="s">
        <v>33</v>
      </c>
      <c r="AW5" s="412" t="s">
        <v>34</v>
      </c>
      <c r="AX5" s="411" t="s">
        <v>35</v>
      </c>
      <c r="AY5" s="411" t="s">
        <v>36</v>
      </c>
      <c r="AZ5" s="299"/>
      <c r="BA5" s="295" t="s">
        <v>17</v>
      </c>
    </row>
    <row r="6" customFormat="false" ht="12.95" hidden="false" customHeight="true" outlineLevel="0" collapsed="false">
      <c r="A6" s="413" t="s">
        <v>142</v>
      </c>
      <c r="B6" s="405" t="s">
        <v>38</v>
      </c>
      <c r="C6" s="406"/>
      <c r="D6" s="323" t="s">
        <v>39</v>
      </c>
      <c r="E6" s="406" t="s">
        <v>40</v>
      </c>
      <c r="F6" s="323" t="s">
        <v>41</v>
      </c>
      <c r="G6" s="405" t="s">
        <v>42</v>
      </c>
      <c r="H6" s="407" t="s">
        <v>43</v>
      </c>
      <c r="I6" s="323" t="s">
        <v>44</v>
      </c>
      <c r="J6" s="323" t="s">
        <v>44</v>
      </c>
      <c r="K6" s="323" t="s">
        <v>44</v>
      </c>
      <c r="L6" s="323" t="s">
        <v>45</v>
      </c>
      <c r="M6" s="414" t="s">
        <v>46</v>
      </c>
      <c r="N6" s="69" t="s">
        <v>47</v>
      </c>
      <c r="O6" s="323" t="s">
        <v>48</v>
      </c>
      <c r="P6" s="69" t="s">
        <v>49</v>
      </c>
      <c r="Q6" s="58" t="s">
        <v>50</v>
      </c>
      <c r="R6" s="58" t="s">
        <v>51</v>
      </c>
      <c r="S6" s="58"/>
      <c r="T6" s="58" t="s">
        <v>48</v>
      </c>
      <c r="U6" s="415" t="s">
        <v>52</v>
      </c>
      <c r="V6" s="323" t="s">
        <v>53</v>
      </c>
      <c r="W6" s="323" t="s">
        <v>54</v>
      </c>
      <c r="X6" s="55" t="s">
        <v>21</v>
      </c>
      <c r="Y6" s="55" t="s">
        <v>21</v>
      </c>
      <c r="Z6" s="61" t="s">
        <v>55</v>
      </c>
      <c r="AA6" s="55" t="s">
        <v>55</v>
      </c>
      <c r="AB6" s="61" t="s">
        <v>56</v>
      </c>
      <c r="AC6" s="406" t="s">
        <v>57</v>
      </c>
      <c r="AD6" s="406" t="s">
        <v>58</v>
      </c>
      <c r="AE6" s="417" t="s">
        <v>59</v>
      </c>
      <c r="AF6" s="58" t="s">
        <v>60</v>
      </c>
      <c r="AG6" s="58" t="s">
        <v>61</v>
      </c>
      <c r="AH6" s="505" t="s">
        <v>62</v>
      </c>
      <c r="AI6" s="406" t="s">
        <v>63</v>
      </c>
      <c r="AJ6" s="406"/>
      <c r="AK6" s="323" t="s">
        <v>64</v>
      </c>
      <c r="AL6" s="323" t="s">
        <v>64</v>
      </c>
      <c r="AM6" s="323" t="s">
        <v>64</v>
      </c>
      <c r="AN6" s="448" t="s">
        <v>65</v>
      </c>
      <c r="AO6" s="61" t="s">
        <v>66</v>
      </c>
      <c r="AP6" s="67" t="s">
        <v>67</v>
      </c>
      <c r="AQ6" s="67" t="s">
        <v>67</v>
      </c>
      <c r="AR6" s="62" t="s">
        <v>68</v>
      </c>
      <c r="AS6" s="560" t="n">
        <v>0.3</v>
      </c>
      <c r="AT6" s="68" t="s">
        <v>69</v>
      </c>
      <c r="AU6" s="407" t="s">
        <v>70</v>
      </c>
      <c r="AV6" s="210" t="s">
        <v>71</v>
      </c>
      <c r="AW6" s="416"/>
      <c r="AX6" s="411" t="s">
        <v>72</v>
      </c>
      <c r="AY6" s="411" t="s">
        <v>72</v>
      </c>
      <c r="AZ6" s="299"/>
      <c r="BA6" s="295" t="s">
        <v>73</v>
      </c>
    </row>
    <row r="7" customFormat="false" ht="12.95" hidden="false" customHeight="true" outlineLevel="0" collapsed="false">
      <c r="A7" s="323"/>
      <c r="B7" s="405"/>
      <c r="C7" s="406"/>
      <c r="D7" s="323"/>
      <c r="E7" s="406"/>
      <c r="F7" s="323"/>
      <c r="G7" s="405"/>
      <c r="H7" s="407"/>
      <c r="I7" s="323"/>
      <c r="J7" s="323"/>
      <c r="K7" s="323"/>
      <c r="L7" s="323"/>
      <c r="M7" s="414"/>
      <c r="N7" s="69" t="s">
        <v>74</v>
      </c>
      <c r="O7" s="323" t="s">
        <v>75</v>
      </c>
      <c r="P7" s="69"/>
      <c r="Q7" s="58" t="s">
        <v>76</v>
      </c>
      <c r="R7" s="58" t="s">
        <v>76</v>
      </c>
      <c r="S7" s="58" t="s">
        <v>61</v>
      </c>
      <c r="T7" s="58" t="s">
        <v>61</v>
      </c>
      <c r="U7" s="415" t="s">
        <v>77</v>
      </c>
      <c r="V7" s="323"/>
      <c r="W7" s="323"/>
      <c r="X7" s="65" t="s">
        <v>78</v>
      </c>
      <c r="Y7" s="57" t="s">
        <v>79</v>
      </c>
      <c r="Z7" s="61" t="s">
        <v>80</v>
      </c>
      <c r="AA7" s="55" t="s">
        <v>81</v>
      </c>
      <c r="AB7" s="61" t="s">
        <v>82</v>
      </c>
      <c r="AC7" s="406"/>
      <c r="AD7" s="406"/>
      <c r="AE7" s="417"/>
      <c r="AF7" s="79" t="n">
        <v>1.7</v>
      </c>
      <c r="AG7" s="79" t="n">
        <v>1.3</v>
      </c>
      <c r="AH7" s="505"/>
      <c r="AI7" s="406"/>
      <c r="AJ7" s="406"/>
      <c r="AK7" s="323"/>
      <c r="AL7" s="323"/>
      <c r="AM7" s="323"/>
      <c r="AN7" s="448"/>
      <c r="AO7" s="61" t="s">
        <v>41</v>
      </c>
      <c r="AP7" s="67" t="s">
        <v>83</v>
      </c>
      <c r="AQ7" s="67" t="s">
        <v>84</v>
      </c>
      <c r="AR7" s="62" t="s">
        <v>85</v>
      </c>
      <c r="AS7" s="62" t="s">
        <v>143</v>
      </c>
      <c r="AT7" s="68" t="s">
        <v>86</v>
      </c>
      <c r="AU7" s="407" t="s">
        <v>87</v>
      </c>
      <c r="AV7" s="210" t="s">
        <v>88</v>
      </c>
      <c r="AW7" s="416"/>
      <c r="AX7" s="411"/>
      <c r="AY7" s="411"/>
      <c r="AZ7" s="299"/>
      <c r="BA7" s="295" t="s">
        <v>89</v>
      </c>
    </row>
    <row r="8" customFormat="false" ht="12.95" hidden="false" customHeight="true" outlineLevel="0" collapsed="false">
      <c r="A8" s="323"/>
      <c r="B8" s="405"/>
      <c r="C8" s="406"/>
      <c r="D8" s="323"/>
      <c r="E8" s="406"/>
      <c r="F8" s="323"/>
      <c r="G8" s="405"/>
      <c r="H8" s="407"/>
      <c r="I8" s="323"/>
      <c r="J8" s="323"/>
      <c r="K8" s="323"/>
      <c r="L8" s="323"/>
      <c r="M8" s="414"/>
      <c r="N8" s="69"/>
      <c r="O8" s="406" t="n">
        <f aca="false">24517</f>
        <v>24517</v>
      </c>
      <c r="P8" s="69"/>
      <c r="Q8" s="58" t="s">
        <v>61</v>
      </c>
      <c r="R8" s="58" t="s">
        <v>61</v>
      </c>
      <c r="S8" s="58"/>
      <c r="T8" s="58"/>
      <c r="U8" s="415"/>
      <c r="V8" s="323"/>
      <c r="W8" s="323"/>
      <c r="X8" s="65" t="s">
        <v>90</v>
      </c>
      <c r="Y8" s="57" t="s">
        <v>78</v>
      </c>
      <c r="Z8" s="61"/>
      <c r="AA8" s="57" t="s">
        <v>91</v>
      </c>
      <c r="AB8" s="61" t="s">
        <v>92</v>
      </c>
      <c r="AC8" s="406"/>
      <c r="AD8" s="406"/>
      <c r="AE8" s="417"/>
      <c r="AF8" s="192"/>
      <c r="AG8" s="192"/>
      <c r="AH8" s="505"/>
      <c r="AI8" s="406"/>
      <c r="AJ8" s="406"/>
      <c r="AK8" s="323"/>
      <c r="AL8" s="323"/>
      <c r="AM8" s="323"/>
      <c r="AN8" s="448"/>
      <c r="AO8" s="61" t="n">
        <v>3000</v>
      </c>
      <c r="AP8" s="67"/>
      <c r="AQ8" s="67"/>
      <c r="AR8" s="62"/>
      <c r="AS8" s="62" t="s">
        <v>144</v>
      </c>
      <c r="AT8" s="62" t="n">
        <v>1487.6</v>
      </c>
      <c r="AU8" s="407"/>
      <c r="AV8" s="210" t="n">
        <v>4000</v>
      </c>
      <c r="AW8" s="416"/>
      <c r="AX8" s="411"/>
      <c r="AY8" s="411"/>
      <c r="AZ8" s="299"/>
      <c r="BA8" s="295"/>
    </row>
    <row r="9" customFormat="false" ht="12.95" hidden="false" customHeight="true" outlineLevel="0" collapsed="false">
      <c r="A9" s="323"/>
      <c r="B9" s="405"/>
      <c r="C9" s="406"/>
      <c r="D9" s="323"/>
      <c r="E9" s="406"/>
      <c r="F9" s="323"/>
      <c r="G9" s="405"/>
      <c r="H9" s="407"/>
      <c r="I9" s="323"/>
      <c r="J9" s="323"/>
      <c r="K9" s="323"/>
      <c r="L9" s="323"/>
      <c r="M9" s="414"/>
      <c r="N9" s="69"/>
      <c r="O9" s="406" t="n">
        <v>28517</v>
      </c>
      <c r="P9" s="69"/>
      <c r="Q9" s="58"/>
      <c r="R9" s="81" t="n">
        <v>4.2</v>
      </c>
      <c r="S9" s="58"/>
      <c r="T9" s="58"/>
      <c r="U9" s="415"/>
      <c r="V9" s="323"/>
      <c r="W9" s="323"/>
      <c r="X9" s="65"/>
      <c r="Y9" s="57" t="s">
        <v>90</v>
      </c>
      <c r="Z9" s="61"/>
      <c r="AA9" s="57" t="s">
        <v>90</v>
      </c>
      <c r="AB9" s="61" t="s">
        <v>93</v>
      </c>
      <c r="AC9" s="406"/>
      <c r="AD9" s="406"/>
      <c r="AE9" s="323"/>
      <c r="AF9" s="418"/>
      <c r="AG9" s="419"/>
      <c r="AH9" s="411"/>
      <c r="AI9" s="406"/>
      <c r="AJ9" s="406"/>
      <c r="AK9" s="323"/>
      <c r="AL9" s="323"/>
      <c r="AM9" s="323"/>
      <c r="AN9" s="448"/>
      <c r="AO9" s="61"/>
      <c r="AP9" s="67"/>
      <c r="AQ9" s="67"/>
      <c r="AR9" s="62"/>
      <c r="AS9" s="62"/>
      <c r="AT9" s="68"/>
      <c r="AU9" s="407"/>
      <c r="AV9" s="210"/>
      <c r="AW9" s="416"/>
      <c r="AX9" s="411"/>
      <c r="AY9" s="411"/>
      <c r="AZ9" s="299"/>
      <c r="BA9" s="295"/>
    </row>
    <row r="10" customFormat="false" ht="12.95" hidden="false" customHeight="true" outlineLevel="0" collapsed="false">
      <c r="A10" s="323"/>
      <c r="B10" s="405"/>
      <c r="C10" s="406" t="s">
        <v>10</v>
      </c>
      <c r="D10" s="323"/>
      <c r="E10" s="406" t="s">
        <v>95</v>
      </c>
      <c r="F10" s="323"/>
      <c r="G10" s="405" t="s">
        <v>41</v>
      </c>
      <c r="H10" s="407" t="s">
        <v>41</v>
      </c>
      <c r="I10" s="407" t="s">
        <v>41</v>
      </c>
      <c r="J10" s="407" t="s">
        <v>41</v>
      </c>
      <c r="K10" s="407" t="s">
        <v>41</v>
      </c>
      <c r="L10" s="407" t="s">
        <v>41</v>
      </c>
      <c r="M10" s="421" t="s">
        <v>41</v>
      </c>
      <c r="N10" s="407" t="s">
        <v>41</v>
      </c>
      <c r="O10" s="407" t="s">
        <v>41</v>
      </c>
      <c r="P10" s="407" t="s">
        <v>41</v>
      </c>
      <c r="Q10" s="58" t="s">
        <v>41</v>
      </c>
      <c r="R10" s="58" t="s">
        <v>41</v>
      </c>
      <c r="S10" s="58" t="s">
        <v>41</v>
      </c>
      <c r="T10" s="58" t="s">
        <v>41</v>
      </c>
      <c r="U10" s="420" t="s">
        <v>41</v>
      </c>
      <c r="V10" s="407" t="s">
        <v>41</v>
      </c>
      <c r="W10" s="407" t="s">
        <v>41</v>
      </c>
      <c r="X10" s="57" t="n">
        <v>153400</v>
      </c>
      <c r="Y10" s="57" t="n">
        <v>150400</v>
      </c>
      <c r="Z10" s="58" t="s">
        <v>41</v>
      </c>
      <c r="AA10" s="57"/>
      <c r="AB10" s="57" t="n">
        <v>72000</v>
      </c>
      <c r="AC10" s="407" t="s">
        <v>41</v>
      </c>
      <c r="AD10" s="407" t="s">
        <v>41</v>
      </c>
      <c r="AE10" s="407" t="s">
        <v>41</v>
      </c>
      <c r="AF10" s="421" t="s">
        <v>41</v>
      </c>
      <c r="AG10" s="420" t="s">
        <v>41</v>
      </c>
      <c r="AH10" s="407" t="s">
        <v>41</v>
      </c>
      <c r="AI10" s="407" t="s">
        <v>41</v>
      </c>
      <c r="AJ10" s="407" t="s">
        <v>41</v>
      </c>
      <c r="AK10" s="407" t="s">
        <v>41</v>
      </c>
      <c r="AL10" s="407" t="s">
        <v>41</v>
      </c>
      <c r="AM10" s="407" t="s">
        <v>41</v>
      </c>
      <c r="AN10" s="448" t="s">
        <v>95</v>
      </c>
      <c r="AO10" s="61" t="s">
        <v>41</v>
      </c>
      <c r="AP10" s="61" t="s">
        <v>41</v>
      </c>
      <c r="AQ10" s="67" t="s">
        <v>96</v>
      </c>
      <c r="AR10" s="62" t="s">
        <v>41</v>
      </c>
      <c r="AS10" s="62" t="s">
        <v>41</v>
      </c>
      <c r="AT10" s="61" t="s">
        <v>41</v>
      </c>
      <c r="AU10" s="61" t="s">
        <v>41</v>
      </c>
      <c r="AV10" s="61" t="s">
        <v>41</v>
      </c>
      <c r="AW10" s="416"/>
      <c r="AX10" s="411"/>
      <c r="AY10" s="411"/>
      <c r="AZ10" s="299"/>
      <c r="BA10" s="295" t="s">
        <v>97</v>
      </c>
    </row>
    <row r="11" customFormat="false" ht="12.95" hidden="false" customHeight="true" outlineLevel="0" collapsed="false">
      <c r="A11" s="323"/>
      <c r="B11" s="405"/>
      <c r="C11" s="406"/>
      <c r="D11" s="323"/>
      <c r="E11" s="406"/>
      <c r="F11" s="323"/>
      <c r="G11" s="405"/>
      <c r="H11" s="407"/>
      <c r="I11" s="323"/>
      <c r="J11" s="323"/>
      <c r="K11" s="323"/>
      <c r="L11" s="323"/>
      <c r="M11" s="414"/>
      <c r="N11" s="69" t="n">
        <v>1.03</v>
      </c>
      <c r="O11" s="422" t="n">
        <v>1.05</v>
      </c>
      <c r="P11" s="69" t="n">
        <v>1.02</v>
      </c>
      <c r="Q11" s="82" t="n">
        <v>1.02</v>
      </c>
      <c r="R11" s="83" t="n">
        <v>1.04</v>
      </c>
      <c r="S11" s="58"/>
      <c r="T11" s="82" t="n">
        <v>1.04</v>
      </c>
      <c r="U11" s="415"/>
      <c r="V11" s="323"/>
      <c r="W11" s="323"/>
      <c r="X11" s="58" t="s">
        <v>41</v>
      </c>
      <c r="Y11" s="58" t="s">
        <v>41</v>
      </c>
      <c r="Z11" s="58" t="s">
        <v>41</v>
      </c>
      <c r="AA11" s="57" t="s">
        <v>41</v>
      </c>
      <c r="AB11" s="84" t="s">
        <v>98</v>
      </c>
      <c r="AC11" s="406"/>
      <c r="AD11" s="406"/>
      <c r="AE11" s="323"/>
      <c r="AF11" s="418"/>
      <c r="AG11" s="419"/>
      <c r="AH11" s="411"/>
      <c r="AI11" s="406"/>
      <c r="AJ11" s="406"/>
      <c r="AK11" s="323"/>
      <c r="AL11" s="323"/>
      <c r="AM11" s="323"/>
      <c r="AN11" s="448"/>
      <c r="AO11" s="61"/>
      <c r="AP11" s="67"/>
      <c r="AQ11" s="67"/>
      <c r="AR11" s="62"/>
      <c r="AS11" s="62"/>
      <c r="AT11" s="87"/>
      <c r="AU11" s="325"/>
      <c r="AV11" s="180"/>
      <c r="AW11" s="416"/>
      <c r="AX11" s="411"/>
      <c r="AY11" s="411"/>
      <c r="AZ11" s="299"/>
      <c r="BA11" s="295" t="s">
        <v>41</v>
      </c>
    </row>
    <row r="12" customFormat="false" ht="12.95" hidden="false" customHeight="true" outlineLevel="0" collapsed="false">
      <c r="A12" s="188" t="s">
        <v>99</v>
      </c>
      <c r="B12" s="213"/>
      <c r="C12" s="107"/>
      <c r="D12" s="107"/>
      <c r="E12" s="107"/>
      <c r="F12" s="214" t="n">
        <f aca="false">SEP!F49</f>
        <v>-51951.0965465087</v>
      </c>
      <c r="G12" s="107" t="n">
        <f aca="false">SEP!G49</f>
        <v>63479</v>
      </c>
      <c r="H12" s="561" t="n">
        <f aca="false">SEP!H49</f>
        <v>728.31</v>
      </c>
      <c r="I12" s="107" t="n">
        <f aca="false">SEP!I49</f>
        <v>64207.31</v>
      </c>
      <c r="J12" s="107" t="n">
        <f aca="false">SEP!J49</f>
        <v>2411.446914545</v>
      </c>
      <c r="K12" s="107" t="n">
        <f aca="false">SEP!K49</f>
        <v>66618.746914545</v>
      </c>
      <c r="L12" s="107" t="n">
        <f aca="false">SEP!L49</f>
        <v>-1080.9389450087</v>
      </c>
      <c r="M12" s="216" t="n">
        <f aca="false">SEP!M49</f>
        <v>42377.7</v>
      </c>
      <c r="N12" s="107" t="n">
        <f aca="false">SEP!N49</f>
        <v>181.8189255</v>
      </c>
      <c r="O12" s="107" t="n">
        <f aca="false">SEP!O49</f>
        <v>13674.1405</v>
      </c>
      <c r="P12" s="158" t="n">
        <f aca="false">SEP!P49</f>
        <v>7.32</v>
      </c>
      <c r="Q12" s="107"/>
      <c r="R12" s="107"/>
      <c r="S12" s="107"/>
      <c r="T12" s="107"/>
      <c r="U12" s="217"/>
      <c r="V12" s="107" t="n">
        <f aca="false">SEP!V49</f>
        <v>19831</v>
      </c>
      <c r="W12" s="107" t="n">
        <f aca="false">SEP!W49</f>
        <v>11250.9</v>
      </c>
      <c r="X12" s="107" t="n">
        <f aca="false">SEP!X49</f>
        <v>61028.1053915706</v>
      </c>
      <c r="Y12" s="107" t="n">
        <f aca="false">SEP!Y49</f>
        <v>59716.8423915706</v>
      </c>
      <c r="Z12" s="107" t="n">
        <f aca="false">SEP!Z44</f>
        <v>0</v>
      </c>
      <c r="AA12" s="107"/>
      <c r="AB12" s="107" t="n">
        <f aca="false">SEP!AB12</f>
        <v>0</v>
      </c>
      <c r="AC12" s="107" t="n">
        <f aca="false">SEP!AC44</f>
        <v>0</v>
      </c>
      <c r="AD12" s="107" t="n">
        <f aca="false">SEP!AD44</f>
        <v>686.079533178098</v>
      </c>
      <c r="AE12" s="107" t="n">
        <f aca="false">SEP!AE49</f>
        <v>31024</v>
      </c>
      <c r="AF12" s="216" t="n">
        <f aca="false">SEP!AF49</f>
        <v>311.1</v>
      </c>
      <c r="AG12" s="218" t="n">
        <f aca="false">SEP!AG49</f>
        <v>237.9</v>
      </c>
      <c r="AH12" s="107"/>
      <c r="AI12" s="107"/>
      <c r="AJ12" s="107"/>
      <c r="AK12" s="107" t="n">
        <f aca="false">SEP!AK49</f>
        <v>115077.4576015</v>
      </c>
      <c r="AL12" s="107" t="n">
        <f aca="false">SEP!AL49</f>
        <v>3492.38585955369</v>
      </c>
      <c r="AM12" s="107" t="n">
        <f aca="false">SEP!AM49</f>
        <v>118569.843461054</v>
      </c>
      <c r="AN12" s="220"/>
      <c r="AO12" s="136"/>
      <c r="AP12" s="136"/>
      <c r="AQ12" s="136" t="n">
        <f aca="false">SEP!AQ50</f>
        <v>945.374503875825</v>
      </c>
      <c r="AR12" s="136" t="n">
        <f aca="false">SEP!AR49</f>
        <v>3024.9425</v>
      </c>
      <c r="AS12" s="136"/>
      <c r="AT12" s="215" t="n">
        <f aca="false">SEP!AS49</f>
        <v>694.19</v>
      </c>
      <c r="AU12" s="215" t="n">
        <f aca="false">SEP!AT49</f>
        <v>0</v>
      </c>
      <c r="AV12" s="215"/>
      <c r="AW12" s="320"/>
      <c r="AX12" s="215"/>
      <c r="AY12" s="215"/>
      <c r="AZ12" s="299"/>
      <c r="BA12" s="331"/>
    </row>
    <row r="13" s="230" customFormat="true" ht="12.95" hidden="false" customHeight="true" outlineLevel="0" collapsed="false">
      <c r="A13" s="177" t="s">
        <v>100</v>
      </c>
      <c r="B13" s="106" t="n">
        <f aca="false">SEP!B44</f>
        <v>6874.49</v>
      </c>
      <c r="C13" s="107" t="n">
        <f aca="false">SEP!C44</f>
        <v>200122</v>
      </c>
      <c r="D13" s="107" t="n">
        <f aca="false">SEP!D53</f>
        <v>-93563</v>
      </c>
      <c r="E13" s="107" t="n">
        <f aca="false">SEP!E53</f>
        <v>48144</v>
      </c>
      <c r="F13" s="214" t="n">
        <f aca="false">SEP!F52</f>
        <v>-47133.3501386438</v>
      </c>
      <c r="G13" s="107" t="n">
        <f aca="false">SEP!G52</f>
        <v>75543</v>
      </c>
      <c r="H13" s="561" t="n">
        <f aca="false">SEP!H52</f>
        <v>1210.39</v>
      </c>
      <c r="I13" s="107" t="n">
        <f aca="false">SEP!I52</f>
        <v>76752.77</v>
      </c>
      <c r="J13" s="107" t="n">
        <f aca="false">SEP!J52</f>
        <v>7305.63475674313</v>
      </c>
      <c r="K13" s="107" t="n">
        <f aca="false">SEP!K52</f>
        <v>84058.3947567431</v>
      </c>
      <c r="L13" s="107" t="n">
        <f aca="false">SEP!L52</f>
        <v>3216.54746285619</v>
      </c>
      <c r="M13" s="216" t="n">
        <f aca="false">SEP!M52</f>
        <v>43166.4</v>
      </c>
      <c r="N13" s="107" t="n">
        <f aca="false">SEP!N52</f>
        <v>181.8189255</v>
      </c>
      <c r="O13" s="107" t="n">
        <f aca="false">SEP!O52</f>
        <v>13674.1405</v>
      </c>
      <c r="P13" s="158"/>
      <c r="Q13" s="107" t="n">
        <f aca="false">SEP!Q52</f>
        <v>731.91955195124</v>
      </c>
      <c r="R13" s="215" t="n">
        <f aca="false">SEP!R52</f>
        <v>956.01093552</v>
      </c>
      <c r="S13" s="107" t="n">
        <f aca="false">SEP!S52</f>
        <v>199.15526736</v>
      </c>
      <c r="T13" s="107" t="n">
        <f aca="false">SEP!T52</f>
        <v>301.84463712</v>
      </c>
      <c r="U13" s="316" t="n">
        <f aca="false">SEP!U52</f>
        <v>27.7983443318626</v>
      </c>
      <c r="V13" s="107" t="n">
        <f aca="false">SEP!V52</f>
        <v>25678</v>
      </c>
      <c r="W13" s="107" t="n">
        <f aca="false">SEP!W52</f>
        <v>11310.4</v>
      </c>
      <c r="X13" s="107" t="n">
        <f aca="false">SEP!X52</f>
        <v>67099.7343382169</v>
      </c>
      <c r="Y13" s="107" t="n">
        <f aca="false">SEP!Y52</f>
        <v>65585.6742660984</v>
      </c>
      <c r="Z13" s="107"/>
      <c r="AA13" s="107"/>
      <c r="AB13" s="107"/>
      <c r="AC13" s="107" t="n">
        <f aca="false">SEP!AC52</f>
        <v>0</v>
      </c>
      <c r="AD13" s="107"/>
      <c r="AE13" s="107" t="n">
        <f aca="false">SEP!AE52</f>
        <v>0</v>
      </c>
      <c r="AF13" s="266"/>
      <c r="AG13" s="267"/>
      <c r="AH13" s="107" t="n">
        <f aca="false">SEP!AH52</f>
        <v>15929</v>
      </c>
      <c r="AI13" s="107" t="n">
        <f aca="false">SEP!AI52</f>
        <v>5465.25787748929</v>
      </c>
      <c r="AJ13" s="107" t="n">
        <f aca="false">SEP!AJ52</f>
        <v>33</v>
      </c>
      <c r="AK13" s="107" t="n">
        <f aca="false">SEP!AK52</f>
        <v>127102.6576015</v>
      </c>
      <c r="AL13" s="107" t="n">
        <f aca="false">SEP!AL52</f>
        <v>4089.08729388694</v>
      </c>
      <c r="AM13" s="107" t="n">
        <f aca="false">SEP!AM52</f>
        <v>131191.744895387</v>
      </c>
      <c r="AN13" s="220" t="n">
        <f aca="false">SEP!AN53</f>
        <v>11712.1708</v>
      </c>
      <c r="AO13" s="136" t="n">
        <f aca="false">SEP!AO52</f>
        <v>1514.06007211854</v>
      </c>
      <c r="AP13" s="136"/>
      <c r="AQ13" s="136" t="n">
        <f aca="false">SEP!AQ53</f>
        <v>945.374503875825</v>
      </c>
      <c r="AR13" s="158"/>
      <c r="AS13" s="158"/>
      <c r="AT13" s="215" t="n">
        <f aca="false">SEP!AS52</f>
        <v>0</v>
      </c>
      <c r="AU13" s="215" t="n">
        <f aca="false">SEP!AT52</f>
        <v>0</v>
      </c>
      <c r="AV13" s="215" t="n">
        <f aca="false">SEP!AU49</f>
        <v>1513.34</v>
      </c>
      <c r="AW13" s="320" t="n">
        <f aca="false">SEP!AV52</f>
        <v>4.53</v>
      </c>
      <c r="AX13" s="215"/>
      <c r="AY13" s="215"/>
      <c r="AZ13" s="302"/>
      <c r="BA13" s="338" t="n">
        <f aca="false">SEP!AZ52</f>
        <v>2405.8676617831</v>
      </c>
    </row>
    <row r="14" customFormat="false" ht="3" hidden="false" customHeight="true" outlineLevel="0" collapsed="false">
      <c r="A14" s="231"/>
      <c r="B14" s="232"/>
      <c r="C14" s="233"/>
      <c r="D14" s="234"/>
      <c r="E14" s="233"/>
      <c r="F14" s="235"/>
      <c r="G14" s="234"/>
      <c r="H14" s="562"/>
      <c r="I14" s="234"/>
      <c r="J14" s="234"/>
      <c r="K14" s="234"/>
      <c r="L14" s="234"/>
      <c r="M14" s="237"/>
      <c r="N14" s="234"/>
      <c r="O14" s="234"/>
      <c r="P14" s="238"/>
      <c r="Q14" s="234"/>
      <c r="R14" s="234"/>
      <c r="S14" s="234"/>
      <c r="T14" s="234"/>
      <c r="U14" s="239"/>
      <c r="V14" s="234"/>
      <c r="W14" s="234"/>
      <c r="X14" s="234"/>
      <c r="Y14" s="234"/>
      <c r="Z14" s="233"/>
      <c r="AA14" s="234"/>
      <c r="AB14" s="233"/>
      <c r="AC14" s="233"/>
      <c r="AD14" s="233"/>
      <c r="AE14" s="234"/>
      <c r="AF14" s="237"/>
      <c r="AG14" s="241"/>
      <c r="AH14" s="234"/>
      <c r="AI14" s="233"/>
      <c r="AJ14" s="233"/>
      <c r="AK14" s="234"/>
      <c r="AL14" s="234"/>
      <c r="AM14" s="234"/>
      <c r="AN14" s="242"/>
      <c r="AO14" s="240"/>
      <c r="AP14" s="240"/>
      <c r="AQ14" s="238"/>
      <c r="AR14" s="238"/>
      <c r="AS14" s="238"/>
      <c r="AT14" s="238"/>
      <c r="AU14" s="238"/>
      <c r="AV14" s="243" t="s">
        <v>140</v>
      </c>
      <c r="AW14" s="484"/>
      <c r="AX14" s="243"/>
      <c r="AY14" s="243"/>
      <c r="AZ14" s="257"/>
      <c r="BA14" s="317"/>
    </row>
    <row r="15" customFormat="false" ht="12.95" hidden="false" customHeight="true" outlineLevel="0" collapsed="false">
      <c r="A15" s="183" t="n">
        <v>1</v>
      </c>
      <c r="B15" s="106" t="n">
        <v>6874.32</v>
      </c>
      <c r="C15" s="107" t="n">
        <v>199642</v>
      </c>
      <c r="D15" s="215" t="n">
        <f aca="false">C15-C13</f>
        <v>-480</v>
      </c>
      <c r="E15" s="107" t="n">
        <f aca="false">C15-152000</f>
        <v>47642</v>
      </c>
      <c r="F15" s="246" t="n">
        <f aca="false">D15/$D$2</f>
        <v>-241.9964708848</v>
      </c>
      <c r="G15" s="135" t="n">
        <v>41</v>
      </c>
      <c r="H15" s="563" t="n">
        <v>0</v>
      </c>
      <c r="I15" s="135" t="n">
        <f aca="false">G15+H15</f>
        <v>41</v>
      </c>
      <c r="J15" s="136" t="n">
        <f aca="false">IF(L15&gt;0,L15,0)</f>
        <v>0</v>
      </c>
      <c r="K15" s="135" t="n">
        <f aca="false">I15+J15</f>
        <v>41</v>
      </c>
      <c r="L15" s="135" t="n">
        <f aca="false">F15-(I15-AK15)</f>
        <v>-12.9964708847996</v>
      </c>
      <c r="M15" s="248" t="n">
        <v>114</v>
      </c>
      <c r="N15" s="158" t="n">
        <f aca="false">(1.8299*1.03)/2+0.312</f>
        <v>1.2543985</v>
      </c>
      <c r="O15" s="135" t="n">
        <f aca="false">49*1.05</f>
        <v>51.45</v>
      </c>
      <c r="P15" s="158" t="n">
        <v>0</v>
      </c>
      <c r="Q15" s="336" t="n">
        <f aca="false">1631400/325851/1.9835*1.02</f>
        <v>2.57459763980502</v>
      </c>
      <c r="R15" s="131" t="n">
        <v>4.2</v>
      </c>
      <c r="S15" s="131" t="n">
        <f aca="false">((5*1.04)-T15)-4.2</f>
        <v>0.0481920000000002</v>
      </c>
      <c r="T15" s="131" t="n">
        <f aca="false">0.9152*1.04</f>
        <v>0.951808</v>
      </c>
      <c r="U15" s="355" t="n">
        <v>0</v>
      </c>
      <c r="V15" s="135" t="n">
        <v>59</v>
      </c>
      <c r="W15" s="135" t="n">
        <v>0</v>
      </c>
      <c r="X15" s="135" t="n">
        <f aca="false">M15-N15-O15-P15-Q15-R15-S15-T15-U15+V15+W15-AU15+AR15</f>
        <v>112.521003860195</v>
      </c>
      <c r="Y15" s="135" t="n">
        <f aca="false">X15-AO15</f>
        <v>112.521003860195</v>
      </c>
      <c r="Z15" s="107"/>
      <c r="AA15" s="135"/>
      <c r="AB15" s="107"/>
      <c r="AC15" s="107" t="n">
        <f aca="false">AT15-AT15</f>
        <v>0</v>
      </c>
      <c r="AD15" s="215" t="n">
        <f aca="false">AD12+AP15+AT15</f>
        <v>612.303931678098</v>
      </c>
      <c r="AE15" s="135" t="n">
        <v>60</v>
      </c>
      <c r="AF15" s="137" t="n">
        <v>1.7</v>
      </c>
      <c r="AG15" s="138" t="n">
        <v>1.3</v>
      </c>
      <c r="AH15" s="135" t="n">
        <v>37</v>
      </c>
      <c r="AI15" s="107" t="n">
        <f aca="false">AI13-AH15</f>
        <v>5428.25787748929</v>
      </c>
      <c r="AJ15" s="107"/>
      <c r="AK15" s="134" t="n">
        <f aca="false">N15+O15+P15+Q15+R15+S15+T15+U15+X15+AE15+AH15</f>
        <v>270</v>
      </c>
      <c r="AL15" s="135" t="n">
        <f aca="false">IF(L15&lt;0,L15*-1,0)</f>
        <v>12.9964708847996</v>
      </c>
      <c r="AM15" s="135" t="n">
        <f aca="false">AK15+AL15</f>
        <v>282.9964708848</v>
      </c>
      <c r="AN15" s="281"/>
      <c r="AO15" s="136"/>
      <c r="AP15" s="97" t="n">
        <f aca="false">(I15-AO15)-Q15-R15-Y15-AF15</f>
        <v>-79.9956015</v>
      </c>
      <c r="AQ15" s="158" t="n">
        <f aca="false">18.67*(Z15*1.9835+AC15*1.9835)/E15</f>
        <v>0</v>
      </c>
      <c r="AR15" s="158"/>
      <c r="AS15" s="158"/>
      <c r="AT15" s="107" t="n">
        <v>6.22</v>
      </c>
      <c r="AU15" s="176"/>
      <c r="AV15" s="179" t="n">
        <f aca="false">O15</f>
        <v>51.45</v>
      </c>
      <c r="AW15" s="320" t="n">
        <v>0</v>
      </c>
      <c r="AX15" s="215" t="n">
        <v>79</v>
      </c>
      <c r="AY15" s="215" t="n">
        <v>42</v>
      </c>
      <c r="AZ15" s="299"/>
      <c r="BA15" s="250" t="n">
        <f aca="false">SUM(N15,P15:U15)</f>
        <v>9.02899613980502</v>
      </c>
    </row>
    <row r="16" customFormat="false" ht="12.95" hidden="false" customHeight="true" outlineLevel="0" collapsed="false">
      <c r="A16" s="183" t="n">
        <f aca="false">A15+1</f>
        <v>2</v>
      </c>
      <c r="B16" s="106" t="n">
        <v>6874.13</v>
      </c>
      <c r="C16" s="107" t="n">
        <v>199106</v>
      </c>
      <c r="D16" s="215" t="n">
        <f aca="false">C16-C15</f>
        <v>-536</v>
      </c>
      <c r="E16" s="107" t="n">
        <f aca="false">C16-152000</f>
        <v>47106</v>
      </c>
      <c r="F16" s="246" t="n">
        <f aca="false">D16/$D$2</f>
        <v>-270.229392488026</v>
      </c>
      <c r="G16" s="135" t="n">
        <v>40</v>
      </c>
      <c r="H16" s="563" t="n">
        <v>0</v>
      </c>
      <c r="I16" s="135" t="n">
        <f aca="false">G16+H16</f>
        <v>40</v>
      </c>
      <c r="J16" s="136" t="n">
        <f aca="false">IF(L16&gt;0,L16,0)</f>
        <v>0</v>
      </c>
      <c r="K16" s="135" t="n">
        <f aca="false">I16+J16</f>
        <v>40</v>
      </c>
      <c r="L16" s="135" t="n">
        <f aca="false">F16-(I16-AK16)</f>
        <v>-10.2293924880262</v>
      </c>
      <c r="M16" s="248" t="n">
        <v>132</v>
      </c>
      <c r="N16" s="158" t="n">
        <f aca="false">(1.8299*1.03)/2+0.312</f>
        <v>1.2543985</v>
      </c>
      <c r="O16" s="135" t="n">
        <f aca="false">60*1.05</f>
        <v>63</v>
      </c>
      <c r="P16" s="158" t="n">
        <v>0</v>
      </c>
      <c r="Q16" s="336" t="n">
        <f aca="false">1588400/325851/1.9835*1.02</f>
        <v>2.50673709149583</v>
      </c>
      <c r="R16" s="131" t="n">
        <v>4.2</v>
      </c>
      <c r="S16" s="131" t="n">
        <f aca="false">((5*1.04)-T16)-4.2</f>
        <v>0.0481920000000002</v>
      </c>
      <c r="T16" s="131" t="n">
        <f aca="false">0.9152*1.04</f>
        <v>0.951808</v>
      </c>
      <c r="U16" s="355" t="n">
        <v>0</v>
      </c>
      <c r="V16" s="135" t="n">
        <v>70</v>
      </c>
      <c r="W16" s="135" t="n">
        <v>0</v>
      </c>
      <c r="X16" s="135" t="n">
        <f aca="false">M16-N16-O16-P16-Q16-R16-S16-T16-U16+V16+W16-AU16+AR16</f>
        <v>130.038864408504</v>
      </c>
      <c r="Y16" s="135" t="n">
        <f aca="false">X16-AO16</f>
        <v>130.038864408504</v>
      </c>
      <c r="Z16" s="107"/>
      <c r="AA16" s="135"/>
      <c r="AB16" s="107"/>
      <c r="AC16" s="107" t="n">
        <f aca="false">AT16-AT16</f>
        <v>0</v>
      </c>
      <c r="AD16" s="215" t="n">
        <f aca="false">AD15+AP16+AT16</f>
        <v>519.978330178098</v>
      </c>
      <c r="AE16" s="135" t="n">
        <v>61</v>
      </c>
      <c r="AF16" s="137" t="n">
        <v>1.7</v>
      </c>
      <c r="AG16" s="138" t="n">
        <v>1.3</v>
      </c>
      <c r="AH16" s="135" t="n">
        <v>37</v>
      </c>
      <c r="AI16" s="107" t="n">
        <f aca="false">AI15-AH16</f>
        <v>5391.25787748929</v>
      </c>
      <c r="AJ16" s="107"/>
      <c r="AK16" s="134" t="n">
        <f aca="false">N16+O16+P16+Q16+R16+S16+T16+U16+X16+AE16+AH16</f>
        <v>300</v>
      </c>
      <c r="AL16" s="135" t="n">
        <f aca="false">IF(L16&lt;0,L16*-1,0)</f>
        <v>10.2293924880262</v>
      </c>
      <c r="AM16" s="135" t="n">
        <f aca="false">AK16+AL16</f>
        <v>310.229392488026</v>
      </c>
      <c r="AN16" s="281"/>
      <c r="AO16" s="136"/>
      <c r="AP16" s="97" t="n">
        <f aca="false">(I16-AO16)-Q16-R16-Y16-AF16</f>
        <v>-98.4456015</v>
      </c>
      <c r="AQ16" s="158" t="n">
        <f aca="false">18.67*(Z16*1.9835+AC16*1.9835)/E16</f>
        <v>0</v>
      </c>
      <c r="AR16" s="158"/>
      <c r="AS16" s="158"/>
      <c r="AT16" s="107" t="n">
        <v>6.12</v>
      </c>
      <c r="AU16" s="176"/>
      <c r="AV16" s="179" t="n">
        <f aca="false">O16</f>
        <v>63</v>
      </c>
      <c r="AW16" s="320" t="n">
        <v>0</v>
      </c>
      <c r="AX16" s="215" t="n">
        <v>79</v>
      </c>
      <c r="AY16" s="215" t="n">
        <v>46</v>
      </c>
      <c r="AZ16" s="299"/>
      <c r="BA16" s="250" t="n">
        <f aca="false">SUM(N16,P16:U16)</f>
        <v>8.96113559149583</v>
      </c>
    </row>
    <row r="17" customFormat="false" ht="12.95" hidden="false" customHeight="true" outlineLevel="0" collapsed="false">
      <c r="A17" s="183" t="n">
        <f aca="false">A16+1</f>
        <v>3</v>
      </c>
      <c r="B17" s="106" t="n">
        <v>6873.93</v>
      </c>
      <c r="C17" s="107" t="n">
        <v>198544</v>
      </c>
      <c r="D17" s="215" t="n">
        <f aca="false">C17-C16</f>
        <v>-562</v>
      </c>
      <c r="E17" s="107" t="n">
        <f aca="false">C17-152000</f>
        <v>46544</v>
      </c>
      <c r="F17" s="246" t="n">
        <f aca="false">D17/$D$2</f>
        <v>-283.337534660953</v>
      </c>
      <c r="G17" s="135" t="n">
        <v>39</v>
      </c>
      <c r="H17" s="563" t="n">
        <v>0</v>
      </c>
      <c r="I17" s="135" t="n">
        <f aca="false">G17+H17</f>
        <v>39</v>
      </c>
      <c r="J17" s="136" t="n">
        <f aca="false">IF(L17&gt;0,L17,0)</f>
        <v>0</v>
      </c>
      <c r="K17" s="135" t="n">
        <f aca="false">I17+J17</f>
        <v>39</v>
      </c>
      <c r="L17" s="135" t="n">
        <f aca="false">F17-(I17-AK17)</f>
        <v>-8.33753466095288</v>
      </c>
      <c r="M17" s="248" t="n">
        <v>143</v>
      </c>
      <c r="N17" s="158" t="n">
        <f aca="false">(1.8299*1.03)/2+0.312</f>
        <v>1.2543985</v>
      </c>
      <c r="O17" s="135" t="n">
        <f aca="false">70*1.05</f>
        <v>73.5</v>
      </c>
      <c r="P17" s="158" t="n">
        <v>0</v>
      </c>
      <c r="Q17" s="336" t="n">
        <f aca="false">1526200/325851/1.9835*1.02</f>
        <v>2.40857601929044</v>
      </c>
      <c r="R17" s="131" t="n">
        <v>4.2</v>
      </c>
      <c r="S17" s="131" t="n">
        <f aca="false">((5*1.04)-T17)-4.2</f>
        <v>0.0481920000000002</v>
      </c>
      <c r="T17" s="131" t="n">
        <f aca="false">0.9152*1.04</f>
        <v>0.951808</v>
      </c>
      <c r="U17" s="355" t="n">
        <v>0</v>
      </c>
      <c r="V17" s="135" t="n">
        <v>76</v>
      </c>
      <c r="W17" s="135" t="n">
        <v>0</v>
      </c>
      <c r="X17" s="135" t="n">
        <f aca="false">M17-N17-O17-P17-Q17-R17-S17-T17-U17+V17+W17-AU17+AR17</f>
        <v>136.63702548071</v>
      </c>
      <c r="Y17" s="135" t="n">
        <f aca="false">X17-AO17</f>
        <v>136.63702548071</v>
      </c>
      <c r="Z17" s="107"/>
      <c r="AA17" s="135"/>
      <c r="AB17" s="107"/>
      <c r="AC17" s="107" t="n">
        <f aca="false">AT17-AT17</f>
        <v>0</v>
      </c>
      <c r="AD17" s="215" t="n">
        <f aca="false">AD16+AP17+AT17</f>
        <v>419.872728678098</v>
      </c>
      <c r="AE17" s="135" t="n">
        <v>58</v>
      </c>
      <c r="AF17" s="137" t="n">
        <v>1.7</v>
      </c>
      <c r="AG17" s="138" t="n">
        <v>1.3</v>
      </c>
      <c r="AH17" s="135" t="n">
        <v>37</v>
      </c>
      <c r="AI17" s="107" t="n">
        <f aca="false">AI16-AH17</f>
        <v>5354.25787748929</v>
      </c>
      <c r="AJ17" s="107"/>
      <c r="AK17" s="134" t="n">
        <f aca="false">N17+O17+P17+Q17+R17+S17+T17+U17+X17+AE17+AH17</f>
        <v>314</v>
      </c>
      <c r="AL17" s="135" t="n">
        <f aca="false">IF(L17&lt;0,L17*-1,0)</f>
        <v>8.33753466095288</v>
      </c>
      <c r="AM17" s="135" t="n">
        <f aca="false">AK17+AL17</f>
        <v>322.337534660953</v>
      </c>
      <c r="AN17" s="281"/>
      <c r="AO17" s="136"/>
      <c r="AP17" s="97" t="n">
        <f aca="false">(I17-AO17)-Q17-R17-Y17-AF17</f>
        <v>-105.9456015</v>
      </c>
      <c r="AQ17" s="158" t="n">
        <f aca="false">18.67*(Z17*1.9835+AC17*1.9835)/E17</f>
        <v>0</v>
      </c>
      <c r="AR17" s="158"/>
      <c r="AS17" s="158"/>
      <c r="AT17" s="107" t="n">
        <v>5.84</v>
      </c>
      <c r="AU17" s="176"/>
      <c r="AV17" s="179" t="n">
        <f aca="false">O17</f>
        <v>73.5</v>
      </c>
      <c r="AW17" s="320" t="n">
        <v>0</v>
      </c>
      <c r="AX17" s="215" t="n">
        <v>81</v>
      </c>
      <c r="AY17" s="215" t="n">
        <v>44</v>
      </c>
      <c r="AZ17" s="299"/>
      <c r="BA17" s="250" t="n">
        <f aca="false">SUM(N17,P17:U17)</f>
        <v>8.86297451929044</v>
      </c>
    </row>
    <row r="18" customFormat="false" ht="12.95" hidden="false" customHeight="true" outlineLevel="0" collapsed="false">
      <c r="A18" s="183" t="n">
        <f aca="false">A17+1</f>
        <v>4</v>
      </c>
      <c r="B18" s="106" t="n">
        <v>6873.76</v>
      </c>
      <c r="C18" s="107" t="n">
        <v>198071</v>
      </c>
      <c r="D18" s="215" t="n">
        <f aca="false">C18-C17</f>
        <v>-473</v>
      </c>
      <c r="E18" s="107" t="n">
        <f aca="false">C18-152000</f>
        <v>46071</v>
      </c>
      <c r="F18" s="246" t="n">
        <f aca="false">D18/$D$2</f>
        <v>-238.467355684396</v>
      </c>
      <c r="G18" s="135" t="n">
        <v>37</v>
      </c>
      <c r="H18" s="563" t="n">
        <v>0</v>
      </c>
      <c r="I18" s="135" t="n">
        <f aca="false">G18+H18</f>
        <v>37</v>
      </c>
      <c r="J18" s="136" t="n">
        <f aca="false">IF(L18&gt;0,L18,0)</f>
        <v>0</v>
      </c>
      <c r="K18" s="135" t="n">
        <f aca="false">I18+J18</f>
        <v>37</v>
      </c>
      <c r="L18" s="135" t="n">
        <f aca="false">F18-(I18-AK18)</f>
        <v>-18.4673556843963</v>
      </c>
      <c r="M18" s="248" t="n">
        <v>82</v>
      </c>
      <c r="N18" s="158" t="n">
        <f aca="false">(1.8299*1.03)/2+0.312</f>
        <v>1.2543985</v>
      </c>
      <c r="O18" s="135" t="n">
        <f aca="false">34*1.05</f>
        <v>35.7</v>
      </c>
      <c r="P18" s="158" t="n">
        <v>0</v>
      </c>
      <c r="Q18" s="336" t="n">
        <f aca="false">1421800/325851/1.9835*1.02</f>
        <v>2.24381692060487</v>
      </c>
      <c r="R18" s="131" t="n">
        <v>4.2</v>
      </c>
      <c r="S18" s="131" t="n">
        <f aca="false">((5*1.04)-T18)-4.2</f>
        <v>0.0481920000000002</v>
      </c>
      <c r="T18" s="131" t="n">
        <f aca="false">0.9152*1.04</f>
        <v>0.951808</v>
      </c>
      <c r="U18" s="355" t="n">
        <v>0</v>
      </c>
      <c r="V18" s="135" t="n">
        <v>79</v>
      </c>
      <c r="W18" s="135" t="n">
        <v>0</v>
      </c>
      <c r="X18" s="135" t="n">
        <f aca="false">M18-N18-O18-P18-Q18-R18-S18-T18-U18+V18+W18-AU18+AR18</f>
        <v>116.601784579395</v>
      </c>
      <c r="Y18" s="135" t="n">
        <f aca="false">X18-AO18</f>
        <v>116.601784579395</v>
      </c>
      <c r="Z18" s="107"/>
      <c r="AA18" s="135"/>
      <c r="AB18" s="107"/>
      <c r="AC18" s="107" t="n">
        <f aca="false">AT18-AT18</f>
        <v>0</v>
      </c>
      <c r="AD18" s="215" t="n">
        <f aca="false">AD17+AP18+AT18</f>
        <v>337.957127178098</v>
      </c>
      <c r="AE18" s="135" t="n">
        <v>59</v>
      </c>
      <c r="AF18" s="137" t="n">
        <v>1.7</v>
      </c>
      <c r="AG18" s="138" t="n">
        <v>1.3</v>
      </c>
      <c r="AH18" s="135" t="n">
        <v>37</v>
      </c>
      <c r="AI18" s="107" t="n">
        <f aca="false">AI17-AH18</f>
        <v>5317.25787748929</v>
      </c>
      <c r="AJ18" s="107"/>
      <c r="AK18" s="134" t="n">
        <f aca="false">N18+O18+P18+Q18+R18+S18+T18+U18+X18+AE18+AH18</f>
        <v>257</v>
      </c>
      <c r="AL18" s="135" t="n">
        <f aca="false">IF(L18&lt;0,L18*-1,0)</f>
        <v>18.4673556843963</v>
      </c>
      <c r="AM18" s="135" t="n">
        <f aca="false">AK18+AL18</f>
        <v>275.467355684396</v>
      </c>
      <c r="AN18" s="281"/>
      <c r="AO18" s="136"/>
      <c r="AP18" s="97" t="n">
        <f aca="false">(I18-AO18)-Q18-R18-Y18-AF18</f>
        <v>-87.7456015</v>
      </c>
      <c r="AQ18" s="158" t="n">
        <f aca="false">18.67*(Z18*1.9835+AC18*1.9835)/E18</f>
        <v>0</v>
      </c>
      <c r="AR18" s="158"/>
      <c r="AS18" s="158"/>
      <c r="AT18" s="107" t="n">
        <v>5.83</v>
      </c>
      <c r="AU18" s="176"/>
      <c r="AV18" s="179" t="n">
        <f aca="false">O18</f>
        <v>35.7</v>
      </c>
      <c r="AW18" s="320" t="n">
        <v>0</v>
      </c>
      <c r="AX18" s="215" t="n">
        <v>79</v>
      </c>
      <c r="AY18" s="215" t="n">
        <v>44</v>
      </c>
      <c r="AZ18" s="299"/>
      <c r="BA18" s="250" t="n">
        <f aca="false">SUM(N18,P18:U18)</f>
        <v>8.69821542060487</v>
      </c>
    </row>
    <row r="19" customFormat="false" ht="12.95" hidden="false" customHeight="true" outlineLevel="0" collapsed="false">
      <c r="A19" s="183" t="n">
        <f aca="false">A18+1</f>
        <v>5</v>
      </c>
      <c r="B19" s="106" t="n">
        <v>6873.61</v>
      </c>
      <c r="C19" s="107" t="n">
        <v>197653</v>
      </c>
      <c r="D19" s="215" t="n">
        <f aca="false">C19-C18</f>
        <v>-418</v>
      </c>
      <c r="E19" s="107" t="n">
        <f aca="false">C19-152000</f>
        <v>45653</v>
      </c>
      <c r="F19" s="246" t="n">
        <f aca="false">D19/$D$2</f>
        <v>-210.738593395513</v>
      </c>
      <c r="G19" s="135" t="n">
        <v>36</v>
      </c>
      <c r="H19" s="563" t="n">
        <v>0</v>
      </c>
      <c r="I19" s="135" t="n">
        <f aca="false">G19+H19</f>
        <v>36</v>
      </c>
      <c r="J19" s="136" t="n">
        <f aca="false">IF(L19&gt;0,L19,0)</f>
        <v>0</v>
      </c>
      <c r="K19" s="135" t="n">
        <f aca="false">I19+J19</f>
        <v>36</v>
      </c>
      <c r="L19" s="135" t="n">
        <f aca="false">F19-(I19-AK19)</f>
        <v>-24.738593395513</v>
      </c>
      <c r="M19" s="248" t="n">
        <v>66</v>
      </c>
      <c r="N19" s="158" t="n">
        <f aca="false">(1.8299*1.03)/2+0.312</f>
        <v>1.2543985</v>
      </c>
      <c r="O19" s="135" t="n">
        <f aca="false">14*1.05</f>
        <v>14.7</v>
      </c>
      <c r="P19" s="158" t="n">
        <v>0</v>
      </c>
      <c r="Q19" s="336" t="n">
        <f aca="false">1490300/325851/1.9835*1.02</f>
        <v>2.3519203522137</v>
      </c>
      <c r="R19" s="131" t="n">
        <v>4.2</v>
      </c>
      <c r="S19" s="131" t="n">
        <f aca="false">((5*1.04)-T19)-4.2</f>
        <v>0.114544</v>
      </c>
      <c r="T19" s="131" t="n">
        <f aca="false">0.8514*1.04</f>
        <v>0.885456</v>
      </c>
      <c r="U19" s="355" t="n">
        <v>0</v>
      </c>
      <c r="V19" s="135" t="n">
        <v>78</v>
      </c>
      <c r="W19" s="135" t="n">
        <v>0</v>
      </c>
      <c r="X19" s="135" t="n">
        <f aca="false">M19-N19-O19-P19-Q19-R19-S19-T19-U19+V19+W19-AU19+AR19</f>
        <v>120.493681147786</v>
      </c>
      <c r="Y19" s="135" t="n">
        <f aca="false">X19-AO19</f>
        <v>120.493681147786</v>
      </c>
      <c r="Z19" s="107"/>
      <c r="AA19" s="135"/>
      <c r="AB19" s="107"/>
      <c r="AC19" s="107" t="n">
        <f aca="false">AT19-AT19</f>
        <v>0</v>
      </c>
      <c r="AD19" s="215" t="n">
        <f aca="false">AD18+AP19+AT19</f>
        <v>251.171525678098</v>
      </c>
      <c r="AE19" s="135" t="n">
        <v>41</v>
      </c>
      <c r="AF19" s="137" t="n">
        <v>1.7</v>
      </c>
      <c r="AG19" s="138" t="n">
        <v>1.3</v>
      </c>
      <c r="AH19" s="135" t="n">
        <v>37</v>
      </c>
      <c r="AI19" s="107" t="n">
        <f aca="false">AI18-AH19</f>
        <v>5280.25787748929</v>
      </c>
      <c r="AJ19" s="107"/>
      <c r="AK19" s="134" t="n">
        <f aca="false">N19+O19+P19+Q19+R19+S19+T19+U19+X19+AE19+AH19</f>
        <v>222</v>
      </c>
      <c r="AL19" s="135" t="n">
        <f aca="false">IF(L19&lt;0,L19*-1,0)</f>
        <v>24.738593395513</v>
      </c>
      <c r="AM19" s="135" t="n">
        <f aca="false">AK19+AL19</f>
        <v>246.738593395513</v>
      </c>
      <c r="AN19" s="281"/>
      <c r="AO19" s="136"/>
      <c r="AP19" s="97" t="n">
        <f aca="false">(I19-AO19)-Q19-R19-Y19-AF19</f>
        <v>-92.7456015</v>
      </c>
      <c r="AQ19" s="158" t="n">
        <f aca="false">18.67*(Z19*1.9835+AC19*1.9835)/E19</f>
        <v>0</v>
      </c>
      <c r="AR19" s="158"/>
      <c r="AS19" s="158"/>
      <c r="AT19" s="107" t="n">
        <v>5.96</v>
      </c>
      <c r="AU19" s="176"/>
      <c r="AV19" s="179" t="n">
        <f aca="false">O19</f>
        <v>14.7</v>
      </c>
      <c r="AW19" s="320" t="n">
        <v>0</v>
      </c>
      <c r="AX19" s="215" t="n">
        <v>75</v>
      </c>
      <c r="AY19" s="215" t="n">
        <v>40</v>
      </c>
      <c r="AZ19" s="299"/>
      <c r="BA19" s="250" t="n">
        <f aca="false">SUM(N19,P19:U19)</f>
        <v>8.8063188522137</v>
      </c>
    </row>
    <row r="20" customFormat="false" ht="12.95" hidden="false" customHeight="true" outlineLevel="0" collapsed="false">
      <c r="A20" s="183" t="n">
        <f aca="false">A19+1</f>
        <v>6</v>
      </c>
      <c r="B20" s="106" t="n">
        <v>6873.5</v>
      </c>
      <c r="C20" s="107" t="n">
        <v>197346</v>
      </c>
      <c r="D20" s="215" t="n">
        <f aca="false">C20-C19</f>
        <v>-307</v>
      </c>
      <c r="E20" s="107" t="n">
        <f aca="false">C20-152000</f>
        <v>45346</v>
      </c>
      <c r="F20" s="246" t="n">
        <f aca="false">D20/$D$2</f>
        <v>-154.776909503403</v>
      </c>
      <c r="G20" s="135" t="n">
        <v>37</v>
      </c>
      <c r="H20" s="563" t="n">
        <v>0</v>
      </c>
      <c r="I20" s="135" t="n">
        <f aca="false">G20+H20</f>
        <v>37</v>
      </c>
      <c r="J20" s="136" t="n">
        <f aca="false">IF(L20&gt;0,L20,0)</f>
        <v>0</v>
      </c>
      <c r="K20" s="135" t="n">
        <f aca="false">I20+J20</f>
        <v>37</v>
      </c>
      <c r="L20" s="135" t="n">
        <f aca="false">F20-(I20-AK20)</f>
        <v>-32.7769095034031</v>
      </c>
      <c r="M20" s="248" t="n">
        <v>44</v>
      </c>
      <c r="N20" s="158" t="n">
        <f aca="false">(1.8299*1.03)/2+0.312</f>
        <v>1.2543985</v>
      </c>
      <c r="O20" s="135" t="n">
        <f aca="false">7.3*1.05</f>
        <v>7.665</v>
      </c>
      <c r="P20" s="158" t="n">
        <v>0</v>
      </c>
      <c r="Q20" s="336" t="n">
        <f aca="false">1398000/325851/1.9835*1.02</f>
        <v>2.20625689619187</v>
      </c>
      <c r="R20" s="131" t="n">
        <f aca="false">(4.7*1.04)-T20</f>
        <v>4.002544</v>
      </c>
      <c r="S20" s="131" t="n">
        <v>0</v>
      </c>
      <c r="T20" s="131" t="n">
        <f aca="false">0.8514*1.04</f>
        <v>0.885456</v>
      </c>
      <c r="U20" s="355" t="n">
        <v>0</v>
      </c>
      <c r="V20" s="135" t="n">
        <v>78</v>
      </c>
      <c r="W20" s="135" t="n">
        <v>0</v>
      </c>
      <c r="X20" s="135" t="n">
        <f aca="false">M20-N20-O20-P20-Q20-R20-S20-T20-U20+V20+W20-AU20+AR20</f>
        <v>105.986344603808</v>
      </c>
      <c r="Y20" s="135" t="n">
        <f aca="false">X20-AO20</f>
        <v>105.986344603808</v>
      </c>
      <c r="Z20" s="107"/>
      <c r="AA20" s="135"/>
      <c r="AB20" s="107"/>
      <c r="AC20" s="107" t="n">
        <f aca="false">AT20-AT20</f>
        <v>0</v>
      </c>
      <c r="AD20" s="215" t="n">
        <f aca="false">AD19+AP20+AT20</f>
        <v>180.276380178098</v>
      </c>
      <c r="AE20" s="135" t="n">
        <v>0</v>
      </c>
      <c r="AF20" s="137" t="n">
        <v>1.7</v>
      </c>
      <c r="AG20" s="138" t="n">
        <v>1.3</v>
      </c>
      <c r="AH20" s="135" t="n">
        <v>37</v>
      </c>
      <c r="AI20" s="107" t="n">
        <f aca="false">AI19-AH20</f>
        <v>5243.25787748929</v>
      </c>
      <c r="AJ20" s="107"/>
      <c r="AK20" s="134" t="n">
        <f aca="false">N20+O20+P20+Q20+R20+S20+T20+U20+X20+AE20+AH20</f>
        <v>159</v>
      </c>
      <c r="AL20" s="135" t="n">
        <f aca="false">IF(L20&lt;0,L20*-1,0)</f>
        <v>32.7769095034031</v>
      </c>
      <c r="AM20" s="135" t="n">
        <f aca="false">AK20+AL20</f>
        <v>191.776909503403</v>
      </c>
      <c r="AN20" s="281"/>
      <c r="AO20" s="136"/>
      <c r="AP20" s="97" t="n">
        <f aca="false">(I20-AO20)-Q20-R20-Y20-AF20</f>
        <v>-76.8951455</v>
      </c>
      <c r="AQ20" s="158" t="n">
        <f aca="false">18.67*(Z20*1.9835+AC20*1.9835)/E20</f>
        <v>0</v>
      </c>
      <c r="AR20" s="158"/>
      <c r="AS20" s="158"/>
      <c r="AT20" s="107" t="n">
        <v>6</v>
      </c>
      <c r="AU20" s="176"/>
      <c r="AV20" s="179" t="n">
        <f aca="false">O20</f>
        <v>7.665</v>
      </c>
      <c r="AW20" s="320" t="n">
        <v>0</v>
      </c>
      <c r="AX20" s="215" t="n">
        <v>68</v>
      </c>
      <c r="AY20" s="215" t="n">
        <v>43</v>
      </c>
      <c r="AZ20" s="299"/>
      <c r="BA20" s="250" t="n">
        <f aca="false">SUM(N20,P20:U20)</f>
        <v>8.34865539619188</v>
      </c>
    </row>
    <row r="21" customFormat="false" ht="12.95" hidden="false" customHeight="true" outlineLevel="0" collapsed="false">
      <c r="A21" s="183" t="n">
        <f aca="false">A20+1</f>
        <v>7</v>
      </c>
      <c r="B21" s="106" t="n">
        <v>6873.4</v>
      </c>
      <c r="C21" s="107" t="n">
        <v>197067</v>
      </c>
      <c r="D21" s="215" t="n">
        <f aca="false">C21-C20</f>
        <v>-279</v>
      </c>
      <c r="E21" s="107" t="n">
        <f aca="false">C21-152000</f>
        <v>45067</v>
      </c>
      <c r="F21" s="246" t="n">
        <f aca="false">D21/$D$2</f>
        <v>-140.66044870179</v>
      </c>
      <c r="G21" s="135" t="n">
        <v>37</v>
      </c>
      <c r="H21" s="563" t="n">
        <v>0</v>
      </c>
      <c r="I21" s="135" t="n">
        <f aca="false">G21+H21</f>
        <v>37</v>
      </c>
      <c r="J21" s="136" t="n">
        <f aca="false">IF(L21&gt;0,L21,0)</f>
        <v>0</v>
      </c>
      <c r="K21" s="135" t="n">
        <f aca="false">I21+J21</f>
        <v>37</v>
      </c>
      <c r="L21" s="135" t="n">
        <f aca="false">F21-(I21-AK21)</f>
        <v>-12.6604487017898</v>
      </c>
      <c r="M21" s="248" t="n">
        <v>50</v>
      </c>
      <c r="N21" s="158" t="n">
        <f aca="false">(1.8299*1.03)/2+0.312</f>
        <v>1.2543985</v>
      </c>
      <c r="O21" s="135" t="n">
        <f aca="false">5.1*1.05</f>
        <v>5.355</v>
      </c>
      <c r="P21" s="158" t="n">
        <v>0</v>
      </c>
      <c r="Q21" s="336" t="n">
        <f aca="false">1463000/325851/1.9835*1.02</f>
        <v>2.30883679479879</v>
      </c>
      <c r="R21" s="131" t="n">
        <f aca="false">(4.7*1.04)-T21</f>
        <v>4.002544</v>
      </c>
      <c r="S21" s="131" t="n">
        <v>0</v>
      </c>
      <c r="T21" s="131" t="n">
        <f aca="false">0.8514*1.04</f>
        <v>0.885456</v>
      </c>
      <c r="U21" s="355" t="n">
        <v>0</v>
      </c>
      <c r="V21" s="564" t="n">
        <v>78</v>
      </c>
      <c r="W21" s="135" t="n">
        <v>0</v>
      </c>
      <c r="X21" s="135" t="n">
        <f aca="false">M21-N21-O21-P21-Q21-R21-S21-T21-U21+V21+W21-AU21+AR21</f>
        <v>114.193764705201</v>
      </c>
      <c r="Y21" s="135" t="n">
        <f aca="false">X21-AO21</f>
        <v>114.193764705201</v>
      </c>
      <c r="Z21" s="107"/>
      <c r="AA21" s="135"/>
      <c r="AB21" s="107"/>
      <c r="AC21" s="107" t="n">
        <f aca="false">AT21-AT21</f>
        <v>0</v>
      </c>
      <c r="AD21" s="215" t="n">
        <f aca="false">AD20+AP21+AT21</f>
        <v>100.861234678098</v>
      </c>
      <c r="AE21" s="135" t="n">
        <v>0</v>
      </c>
      <c r="AF21" s="137" t="n">
        <v>1.7</v>
      </c>
      <c r="AG21" s="138" t="n">
        <v>1.3</v>
      </c>
      <c r="AH21" s="135" t="n">
        <v>37</v>
      </c>
      <c r="AI21" s="107" t="n">
        <f aca="false">AI20-AH21</f>
        <v>5206.25787748929</v>
      </c>
      <c r="AJ21" s="107"/>
      <c r="AK21" s="134" t="n">
        <f aca="false">N21+O21+P21+Q21+R21+S21+T21+U21+X21+AE21+AH21</f>
        <v>165</v>
      </c>
      <c r="AL21" s="135" t="n">
        <f aca="false">IF(L21&lt;0,L21*-1,0)</f>
        <v>12.6604487017898</v>
      </c>
      <c r="AM21" s="135" t="n">
        <f aca="false">AK21+AL21</f>
        <v>177.66044870179</v>
      </c>
      <c r="AN21" s="281"/>
      <c r="AO21" s="136"/>
      <c r="AP21" s="97" t="n">
        <f aca="false">(I21-AO21)-Q21-R21-Y21-AF21</f>
        <v>-85.2051455</v>
      </c>
      <c r="AQ21" s="158" t="n">
        <f aca="false">18.67*(Z21*1.9835+AC21*1.9835)/E21</f>
        <v>0</v>
      </c>
      <c r="AR21" s="158"/>
      <c r="AS21" s="158"/>
      <c r="AT21" s="107" t="n">
        <v>5.79</v>
      </c>
      <c r="AU21" s="176"/>
      <c r="AV21" s="179" t="n">
        <f aca="false">O21</f>
        <v>5.355</v>
      </c>
      <c r="AW21" s="320" t="n">
        <v>0</v>
      </c>
      <c r="AX21" s="215" t="n">
        <v>66</v>
      </c>
      <c r="AY21" s="215" t="n">
        <v>32</v>
      </c>
      <c r="AZ21" s="299"/>
      <c r="BA21" s="250" t="n">
        <f aca="false">SUM(N21,P21:U21)</f>
        <v>8.45123529479879</v>
      </c>
    </row>
    <row r="22" customFormat="false" ht="12.95" hidden="false" customHeight="true" outlineLevel="0" collapsed="false">
      <c r="A22" s="183" t="n">
        <f aca="false">A21+1</f>
        <v>8</v>
      </c>
      <c r="B22" s="106" t="n">
        <v>6873.3</v>
      </c>
      <c r="C22" s="107" t="n">
        <v>196789</v>
      </c>
      <c r="D22" s="215" t="n">
        <f aca="false">C22-C21</f>
        <v>-278</v>
      </c>
      <c r="E22" s="107" t="n">
        <f aca="false">C22-152000</f>
        <v>44789</v>
      </c>
      <c r="F22" s="246" t="n">
        <f aca="false">D22/$D$2</f>
        <v>-140.156289387446</v>
      </c>
      <c r="G22" s="135" t="n">
        <v>38</v>
      </c>
      <c r="H22" s="563" t="n">
        <v>0</v>
      </c>
      <c r="I22" s="135" t="n">
        <f aca="false">G22+H22</f>
        <v>38</v>
      </c>
      <c r="J22" s="136" t="n">
        <f aca="false">IF(L22&gt;0,L22,0)</f>
        <v>0</v>
      </c>
      <c r="K22" s="135" t="n">
        <f aca="false">I22+J22</f>
        <v>38</v>
      </c>
      <c r="L22" s="135" t="n">
        <f aca="false">F22-(I22-AK22)</f>
        <v>-14.1562893874464</v>
      </c>
      <c r="M22" s="248" t="n">
        <v>48</v>
      </c>
      <c r="N22" s="158" t="n">
        <f aca="false">(1.8299*1.03)/2+0.312</f>
        <v>1.2543985</v>
      </c>
      <c r="O22" s="135" t="n">
        <f aca="false">16*1.05</f>
        <v>16.8</v>
      </c>
      <c r="P22" s="158" t="n">
        <v>0</v>
      </c>
      <c r="Q22" s="336" t="n">
        <f aca="false">1434600/325851/1.9835*1.02</f>
        <v>2.264017269869</v>
      </c>
      <c r="R22" s="131" t="n">
        <f aca="false">(4.4*1.04)-T22</f>
        <v>3.690544</v>
      </c>
      <c r="S22" s="131" t="n">
        <v>0</v>
      </c>
      <c r="T22" s="131" t="n">
        <f aca="false">0.8514*1.04</f>
        <v>0.885456</v>
      </c>
      <c r="U22" s="355" t="n">
        <v>0</v>
      </c>
      <c r="V22" s="135" t="n">
        <v>79</v>
      </c>
      <c r="W22" s="135" t="n">
        <v>0</v>
      </c>
      <c r="X22" s="135" t="n">
        <f aca="false">M22-N22-O22-P22-Q22-R22-S22-T22-U22+V22+W22-AU22+AR22</f>
        <v>102.105584230131</v>
      </c>
      <c r="Y22" s="135" t="n">
        <f aca="false">X22-AO22</f>
        <v>102.105584230131</v>
      </c>
      <c r="Z22" s="107"/>
      <c r="AA22" s="135"/>
      <c r="AB22" s="107"/>
      <c r="AC22" s="107" t="n">
        <f aca="false">AT22-AT22</f>
        <v>0</v>
      </c>
      <c r="AD22" s="215" t="n">
        <f aca="false">AD21+AP22+AT22</f>
        <v>34.851089178098</v>
      </c>
      <c r="AE22" s="135" t="n">
        <v>0</v>
      </c>
      <c r="AF22" s="137" t="n">
        <v>1.7</v>
      </c>
      <c r="AG22" s="138" t="n">
        <v>1.3</v>
      </c>
      <c r="AH22" s="135" t="n">
        <v>37</v>
      </c>
      <c r="AI22" s="107" t="n">
        <f aca="false">AI21-AH22</f>
        <v>5169.25787748929</v>
      </c>
      <c r="AJ22" s="107"/>
      <c r="AK22" s="134" t="n">
        <f aca="false">N22+O22+P22+Q22+R22+S22+T22+U22+X22+AE22+AH22</f>
        <v>164</v>
      </c>
      <c r="AL22" s="135" t="n">
        <f aca="false">IF(L22&lt;0,L22*-1,0)</f>
        <v>14.1562893874464</v>
      </c>
      <c r="AM22" s="135" t="n">
        <f aca="false">AK22+AL22</f>
        <v>178.156289387446</v>
      </c>
      <c r="AN22" s="281"/>
      <c r="AO22" s="136"/>
      <c r="AP22" s="97" t="n">
        <f aca="false">(I22-AO22)-Q22-R22-Y22-AF22</f>
        <v>-71.7601455</v>
      </c>
      <c r="AQ22" s="158" t="n">
        <f aca="false">18.67*(Z22*1.9835+AC22*1.9835)/E22</f>
        <v>0</v>
      </c>
      <c r="AR22" s="158"/>
      <c r="AS22" s="158"/>
      <c r="AT22" s="107" t="n">
        <v>5.75</v>
      </c>
      <c r="AU22" s="176"/>
      <c r="AV22" s="179" t="n">
        <f aca="false">O22</f>
        <v>16.8</v>
      </c>
      <c r="AW22" s="320" t="n">
        <v>0</v>
      </c>
      <c r="AX22" s="215" t="n">
        <v>71</v>
      </c>
      <c r="AY22" s="215" t="n">
        <v>33</v>
      </c>
      <c r="AZ22" s="299"/>
      <c r="BA22" s="250" t="n">
        <f aca="false">SUM(N22,P22:U22)</f>
        <v>8.094415769869</v>
      </c>
    </row>
    <row r="23" customFormat="false" ht="12.95" hidden="false" customHeight="true" outlineLevel="0" collapsed="false">
      <c r="A23" s="183" t="n">
        <f aca="false">A22+1</f>
        <v>9</v>
      </c>
      <c r="B23" s="106" t="n">
        <v>6873.2</v>
      </c>
      <c r="C23" s="107" t="n">
        <v>196510</v>
      </c>
      <c r="D23" s="215" t="n">
        <f aca="false">C23-C22</f>
        <v>-279</v>
      </c>
      <c r="E23" s="107" t="n">
        <f aca="false">C23-152000</f>
        <v>44510</v>
      </c>
      <c r="F23" s="246" t="n">
        <f aca="false">D23/$D$2</f>
        <v>-140.66044870179</v>
      </c>
      <c r="G23" s="135" t="n">
        <v>40</v>
      </c>
      <c r="H23" s="563" t="n">
        <v>0</v>
      </c>
      <c r="I23" s="135" t="n">
        <f aca="false">G23+H23</f>
        <v>40</v>
      </c>
      <c r="J23" s="136" t="n">
        <f aca="false">IF(L23&gt;0,L23,0)</f>
        <v>0</v>
      </c>
      <c r="K23" s="135" t="n">
        <f aca="false">I23+J23</f>
        <v>40</v>
      </c>
      <c r="L23" s="135" t="n">
        <f aca="false">F23-(I23-AK23)</f>
        <v>-21.6604487017898</v>
      </c>
      <c r="M23" s="248" t="n">
        <v>49</v>
      </c>
      <c r="N23" s="158" t="n">
        <f aca="false">(1.8299*1.03)/2+0.312</f>
        <v>1.2543985</v>
      </c>
      <c r="O23" s="135" t="n">
        <f aca="false">17*1.05</f>
        <v>17.85</v>
      </c>
      <c r="P23" s="158" t="n">
        <v>0</v>
      </c>
      <c r="Q23" s="336" t="n">
        <f aca="false">1533400/325851/1.9835*1.02</f>
        <v>2.41993871575152</v>
      </c>
      <c r="R23" s="131" t="n">
        <f aca="false">(4.2*1.04)-T23</f>
        <v>3.482544</v>
      </c>
      <c r="S23" s="131" t="n">
        <v>0</v>
      </c>
      <c r="T23" s="131" t="n">
        <f aca="false">0.8514*1.04</f>
        <v>0.885456</v>
      </c>
      <c r="U23" s="355" t="n">
        <v>0</v>
      </c>
      <c r="V23" s="135" t="n">
        <v>73</v>
      </c>
      <c r="W23" s="135" t="n">
        <v>0</v>
      </c>
      <c r="X23" s="135" t="n">
        <f aca="false">M23-N23-O23-P23-Q23-R23-S23-T23-U23+V23+W23-AU23+AR23</f>
        <v>96.1076627842485</v>
      </c>
      <c r="Y23" s="135" t="n">
        <f aca="false">X23-AO23</f>
        <v>96.1076627842485</v>
      </c>
      <c r="Z23" s="107"/>
      <c r="AA23" s="135"/>
      <c r="AB23" s="107"/>
      <c r="AC23" s="107" t="n">
        <f aca="false">AT23-AT23</f>
        <v>0</v>
      </c>
      <c r="AD23" s="215" t="n">
        <f aca="false">AD22+AP23+AT23</f>
        <v>-23.029056321902</v>
      </c>
      <c r="AE23" s="135" t="n">
        <v>0</v>
      </c>
      <c r="AF23" s="137" t="n">
        <v>1.7</v>
      </c>
      <c r="AG23" s="138" t="n">
        <v>1.3</v>
      </c>
      <c r="AH23" s="135" t="n">
        <v>37</v>
      </c>
      <c r="AI23" s="107" t="n">
        <f aca="false">AI22-AH23</f>
        <v>5132.25787748929</v>
      </c>
      <c r="AJ23" s="107"/>
      <c r="AK23" s="134" t="n">
        <f aca="false">N23+O23+P23+Q23+R23+S23+T23+U23+X23+AE23+AH23</f>
        <v>159</v>
      </c>
      <c r="AL23" s="135" t="n">
        <f aca="false">IF(L23&lt;0,L23*-1,0)</f>
        <v>21.6604487017898</v>
      </c>
      <c r="AM23" s="135" t="n">
        <f aca="false">AK23+AL23</f>
        <v>180.66044870179</v>
      </c>
      <c r="AN23" s="281"/>
      <c r="AO23" s="136"/>
      <c r="AP23" s="97" t="n">
        <f aca="false">(I23-AO23)-Q23-R23-Y23-AF23</f>
        <v>-63.7101455</v>
      </c>
      <c r="AQ23" s="158" t="n">
        <f aca="false">18.67*(Z23*1.9835+AC23*1.9835)/E23</f>
        <v>0</v>
      </c>
      <c r="AR23" s="158"/>
      <c r="AS23" s="158"/>
      <c r="AT23" s="107" t="n">
        <v>5.83</v>
      </c>
      <c r="AU23" s="176"/>
      <c r="AV23" s="179" t="n">
        <f aca="false">O23</f>
        <v>17.85</v>
      </c>
      <c r="AW23" s="320" t="n">
        <v>0</v>
      </c>
      <c r="AX23" s="221" t="n">
        <v>73</v>
      </c>
      <c r="AY23" s="215" t="n">
        <v>38</v>
      </c>
      <c r="AZ23" s="299"/>
      <c r="BA23" s="250" t="n">
        <f aca="false">SUM(N23,P23:U23)</f>
        <v>8.04233721575152</v>
      </c>
    </row>
    <row r="24" customFormat="false" ht="12.95" hidden="false" customHeight="true" outlineLevel="0" collapsed="false">
      <c r="A24" s="183" t="n">
        <f aca="false">A23+1</f>
        <v>10</v>
      </c>
      <c r="B24" s="106" t="n">
        <v>6873.16</v>
      </c>
      <c r="C24" s="107" t="n">
        <v>196399</v>
      </c>
      <c r="D24" s="215" t="n">
        <f aca="false">C24-C23</f>
        <v>-111</v>
      </c>
      <c r="E24" s="107" t="n">
        <f aca="false">C24-152000</f>
        <v>44399</v>
      </c>
      <c r="F24" s="246" t="n">
        <f aca="false">D24/$D$2</f>
        <v>-55.9616838921099</v>
      </c>
      <c r="G24" s="135" t="n">
        <v>42</v>
      </c>
      <c r="H24" s="563" t="n">
        <v>0</v>
      </c>
      <c r="I24" s="135" t="n">
        <f aca="false">G24+H24</f>
        <v>42</v>
      </c>
      <c r="J24" s="136" t="n">
        <f aca="false">IF(L24&gt;0,L24,0)</f>
        <v>0</v>
      </c>
      <c r="K24" s="135" t="n">
        <f aca="false">I24+J24</f>
        <v>42</v>
      </c>
      <c r="L24" s="135" t="n">
        <f aca="false">F24-(I24-AK24)</f>
        <v>-31.7716838921099</v>
      </c>
      <c r="M24" s="248" t="n">
        <v>29</v>
      </c>
      <c r="N24" s="158" t="n">
        <f aca="false">(1.8299*1.03)/2</f>
        <v>0.9423985</v>
      </c>
      <c r="O24" s="135" t="n">
        <f aca="false">12*1.05</f>
        <v>12.6</v>
      </c>
      <c r="P24" s="158" t="n">
        <v>0</v>
      </c>
      <c r="Q24" s="336" t="n">
        <f aca="false">1566100/325851/1.9835*1.02</f>
        <v>2.47154429551223</v>
      </c>
      <c r="R24" s="131" t="n">
        <f aca="false">(4*1.04)-T24</f>
        <v>3.274544</v>
      </c>
      <c r="S24" s="131" t="n">
        <v>0</v>
      </c>
      <c r="T24" s="131" t="n">
        <f aca="false">0.8514*1.04</f>
        <v>0.885456</v>
      </c>
      <c r="U24" s="355" t="n">
        <v>0</v>
      </c>
      <c r="V24" s="135" t="n">
        <v>0.19</v>
      </c>
      <c r="W24" s="135" t="n">
        <v>0</v>
      </c>
      <c r="X24" s="135" t="n">
        <f aca="false">M24-N24-O24-P24-Q24-R24-S24-T24-U24+V24+W24-AU24+AR24</f>
        <v>9.01605720448777</v>
      </c>
      <c r="Y24" s="135" t="n">
        <f aca="false">X24-AO24</f>
        <v>9.01605720448777</v>
      </c>
      <c r="Z24" s="107"/>
      <c r="AA24" s="135"/>
      <c r="AB24" s="107"/>
      <c r="AC24" s="107" t="n">
        <f aca="false">AT24-AT24</f>
        <v>0</v>
      </c>
      <c r="AD24" s="215" t="n">
        <f aca="false">AD23+AP24+AT24</f>
        <v>4.97879817809802</v>
      </c>
      <c r="AE24" s="136" t="n">
        <v>0</v>
      </c>
      <c r="AF24" s="137" t="n">
        <v>1.7</v>
      </c>
      <c r="AG24" s="138" t="n">
        <v>1.3</v>
      </c>
      <c r="AH24" s="135" t="n">
        <v>37</v>
      </c>
      <c r="AI24" s="107" t="n">
        <f aca="false">AI23-AH24</f>
        <v>5095.25787748929</v>
      </c>
      <c r="AJ24" s="107"/>
      <c r="AK24" s="134" t="n">
        <f aca="false">N24+O24+P24+Q24+R24+S24+T24+U24+X24+AE24+AH24</f>
        <v>66.19</v>
      </c>
      <c r="AL24" s="135" t="n">
        <f aca="false">IF(L24&lt;0,L24*-1,0)</f>
        <v>31.7716838921099</v>
      </c>
      <c r="AM24" s="135" t="n">
        <f aca="false">AK24+AL24</f>
        <v>97.9616838921099</v>
      </c>
      <c r="AN24" s="281"/>
      <c r="AO24" s="136"/>
      <c r="AP24" s="97" t="n">
        <f aca="false">(I24-AO24)-Q24-R24-Y24-AF24</f>
        <v>25.5378545</v>
      </c>
      <c r="AQ24" s="158" t="n">
        <f aca="false">18.67*(Z24*1.9835+AC24*1.9835)/E24</f>
        <v>0</v>
      </c>
      <c r="AR24" s="158"/>
      <c r="AS24" s="158"/>
      <c r="AT24" s="107" t="n">
        <v>2.47</v>
      </c>
      <c r="AU24" s="176"/>
      <c r="AV24" s="179" t="n">
        <f aca="false">O24</f>
        <v>12.6</v>
      </c>
      <c r="AW24" s="320" t="n">
        <v>0</v>
      </c>
      <c r="AX24" s="215" t="n">
        <v>74</v>
      </c>
      <c r="AY24" s="215" t="n">
        <v>41</v>
      </c>
      <c r="AZ24" s="299"/>
      <c r="BA24" s="250" t="n">
        <f aca="false">SUM(N24,P24:U24)</f>
        <v>7.57394279551223</v>
      </c>
    </row>
    <row r="25" customFormat="false" ht="12.95" hidden="false" customHeight="true" outlineLevel="0" collapsed="false">
      <c r="A25" s="183" t="n">
        <f aca="false">A24+1</f>
        <v>11</v>
      </c>
      <c r="B25" s="106" t="n">
        <v>6873.12</v>
      </c>
      <c r="C25" s="107" t="n">
        <v>196287</v>
      </c>
      <c r="D25" s="215" t="n">
        <f aca="false">C25-C24</f>
        <v>-112</v>
      </c>
      <c r="E25" s="107" t="n">
        <f aca="false">C25-152000</f>
        <v>44287</v>
      </c>
      <c r="F25" s="246" t="n">
        <f aca="false">D25/$D$2</f>
        <v>-56.4658432064532</v>
      </c>
      <c r="G25" s="135" t="n">
        <v>38</v>
      </c>
      <c r="H25" s="563" t="n">
        <v>0</v>
      </c>
      <c r="I25" s="135" t="n">
        <f aca="false">G25+H25</f>
        <v>38</v>
      </c>
      <c r="J25" s="136" t="n">
        <f aca="false">IF(L25&gt;0,L25,0)</f>
        <v>0</v>
      </c>
      <c r="K25" s="135" t="n">
        <f aca="false">I25+J25</f>
        <v>38</v>
      </c>
      <c r="L25" s="135" t="n">
        <f aca="false">F25-(I25-AK25)</f>
        <v>-25.4658432064532</v>
      </c>
      <c r="M25" s="248" t="n">
        <v>32</v>
      </c>
      <c r="N25" s="158" t="n">
        <f aca="false">(1.8299*1.03)/2</f>
        <v>0.9423985</v>
      </c>
      <c r="O25" s="135" t="n">
        <f aca="false">15*1.05</f>
        <v>15.75</v>
      </c>
      <c r="P25" s="158" t="n">
        <v>0</v>
      </c>
      <c r="Q25" s="336" t="n">
        <f aca="false">1396100/325851/1.9835*1.02</f>
        <v>2.20325840684798</v>
      </c>
      <c r="R25" s="131" t="n">
        <f aca="false">(3.6*1.04)-T25</f>
        <v>2.858544</v>
      </c>
      <c r="S25" s="131" t="n">
        <v>0</v>
      </c>
      <c r="T25" s="131" t="n">
        <f aca="false">0.8514*1.04</f>
        <v>0.885456</v>
      </c>
      <c r="U25" s="355" t="n">
        <v>0</v>
      </c>
      <c r="V25" s="135" t="n">
        <v>0</v>
      </c>
      <c r="W25" s="135" t="n">
        <v>0</v>
      </c>
      <c r="X25" s="135" t="n">
        <f aca="false">M25-N25-O25-P25-Q25-R25-S25-T25-U25+V25+W25-AU25+AR25</f>
        <v>9.36034309315202</v>
      </c>
      <c r="Y25" s="135" t="n">
        <f aca="false">X25-AO25</f>
        <v>9.36034309315202</v>
      </c>
      <c r="Z25" s="107"/>
      <c r="AA25" s="135"/>
      <c r="AB25" s="107"/>
      <c r="AC25" s="107"/>
      <c r="AD25" s="215"/>
      <c r="AE25" s="135" t="n">
        <v>0</v>
      </c>
      <c r="AF25" s="137" t="n">
        <v>1.7</v>
      </c>
      <c r="AG25" s="138" t="n">
        <v>1.3</v>
      </c>
      <c r="AH25" s="135" t="n">
        <v>37</v>
      </c>
      <c r="AI25" s="107" t="n">
        <f aca="false">AI24-AH25</f>
        <v>5058.25787748929</v>
      </c>
      <c r="AJ25" s="107"/>
      <c r="AK25" s="134" t="n">
        <f aca="false">N25+O25+P25+Q25+R25+S25+T25+U25+X25+AE25+AH25</f>
        <v>69</v>
      </c>
      <c r="AL25" s="135" t="n">
        <f aca="false">IF(L25&lt;0,L25*-1,0)</f>
        <v>25.4658432064532</v>
      </c>
      <c r="AM25" s="135" t="n">
        <f aca="false">AK25+AL25</f>
        <v>94.4658432064532</v>
      </c>
      <c r="AN25" s="281"/>
      <c r="AO25" s="136"/>
      <c r="AP25" s="97"/>
      <c r="AQ25" s="158" t="n">
        <f aca="false">18.67*(Z25*1.9835+AC25*1.9835)/E25</f>
        <v>0</v>
      </c>
      <c r="AR25" s="158"/>
      <c r="AS25" s="158"/>
      <c r="AT25" s="107"/>
      <c r="AU25" s="176"/>
      <c r="AV25" s="179" t="n">
        <f aca="false">O25</f>
        <v>15.75</v>
      </c>
      <c r="AW25" s="320" t="n">
        <v>0.02</v>
      </c>
      <c r="AX25" s="215" t="n">
        <v>77</v>
      </c>
      <c r="AY25" s="215" t="n">
        <v>41</v>
      </c>
      <c r="AZ25" s="299"/>
      <c r="BA25" s="250" t="n">
        <f aca="false">SUM(N25,P25:U25)</f>
        <v>6.88965690684798</v>
      </c>
    </row>
    <row r="26" customFormat="false" ht="12.95" hidden="false" customHeight="true" outlineLevel="0" collapsed="false">
      <c r="A26" s="183" t="n">
        <f aca="false">A25+1</f>
        <v>12</v>
      </c>
      <c r="B26" s="106" t="n">
        <v>6873.11</v>
      </c>
      <c r="C26" s="107" t="n">
        <v>196259</v>
      </c>
      <c r="D26" s="215" t="n">
        <f aca="false">C26-C25</f>
        <v>-28</v>
      </c>
      <c r="E26" s="107" t="n">
        <f aca="false">C26-152000</f>
        <v>44259</v>
      </c>
      <c r="F26" s="246" t="n">
        <f aca="false">D26/$D$2</f>
        <v>-14.1164608016133</v>
      </c>
      <c r="G26" s="135" t="n">
        <v>39</v>
      </c>
      <c r="H26" s="563" t="n">
        <v>0</v>
      </c>
      <c r="I26" s="135" t="n">
        <f aca="false">G26+H26</f>
        <v>39</v>
      </c>
      <c r="J26" s="136" t="n">
        <f aca="false">IF(L26&gt;0,L26,0)</f>
        <v>0.883539198386691</v>
      </c>
      <c r="K26" s="135" t="n">
        <f aca="false">I26+J26</f>
        <v>39.8835391983867</v>
      </c>
      <c r="L26" s="135" t="n">
        <f aca="false">F26-(I26-AK26)</f>
        <v>0.883539198386691</v>
      </c>
      <c r="M26" s="248" t="n">
        <v>17</v>
      </c>
      <c r="N26" s="158" t="n">
        <f aca="false">(1.8299*1.03)/2</f>
        <v>0.9423985</v>
      </c>
      <c r="O26" s="135" t="n">
        <f aca="false">14*1.05</f>
        <v>14.7</v>
      </c>
      <c r="P26" s="158" t="n">
        <v>0</v>
      </c>
      <c r="Q26" s="336" t="n">
        <f aca="false">1024000/325851/1.9835*1.02</f>
        <v>1.61602794113053</v>
      </c>
      <c r="R26" s="131" t="n">
        <f aca="false">(3.6*1.04)-T26</f>
        <v>3.086304</v>
      </c>
      <c r="S26" s="131" t="n">
        <v>0</v>
      </c>
      <c r="T26" s="131" t="n">
        <f aca="false">0.6324*1.04</f>
        <v>0.657696</v>
      </c>
      <c r="U26" s="355" t="n">
        <v>0</v>
      </c>
      <c r="V26" s="135" t="n">
        <v>0</v>
      </c>
      <c r="W26" s="135" t="n">
        <v>0</v>
      </c>
      <c r="X26" s="135" t="n">
        <f aca="false">M26-N26-O26-P26-Q26-R26-S26-T26-U26+V26+W26-AU26+AR26</f>
        <v>-4.00242644113053</v>
      </c>
      <c r="Y26" s="135" t="n">
        <f aca="false">X26-AO26</f>
        <v>-4.00242644113053</v>
      </c>
      <c r="Z26" s="107"/>
      <c r="AA26" s="135"/>
      <c r="AB26" s="107"/>
      <c r="AC26" s="107"/>
      <c r="AD26" s="215"/>
      <c r="AE26" s="135" t="n">
        <v>0</v>
      </c>
      <c r="AF26" s="137" t="n">
        <v>1.7</v>
      </c>
      <c r="AG26" s="138" t="n">
        <v>1.3</v>
      </c>
      <c r="AH26" s="135" t="n">
        <v>37</v>
      </c>
      <c r="AI26" s="107" t="n">
        <f aca="false">AI25-AH26</f>
        <v>5021.25787748929</v>
      </c>
      <c r="AJ26" s="107"/>
      <c r="AK26" s="134" t="n">
        <f aca="false">N26+O26+P26+Q26+R26+S26+T26+U26+X26+AE26+AH26</f>
        <v>54</v>
      </c>
      <c r="AL26" s="135" t="n">
        <f aca="false">IF(L26&lt;0,L26*-1,0)</f>
        <v>0</v>
      </c>
      <c r="AM26" s="135" t="n">
        <f aca="false">AK26+AL26</f>
        <v>54</v>
      </c>
      <c r="AN26" s="281"/>
      <c r="AO26" s="136"/>
      <c r="AP26" s="97"/>
      <c r="AQ26" s="158" t="n">
        <f aca="false">18.67*(Z26*1.9835+AC26*1.9835)/E26</f>
        <v>0</v>
      </c>
      <c r="AR26" s="158"/>
      <c r="AS26" s="158"/>
      <c r="AT26" s="107"/>
      <c r="AU26" s="176"/>
      <c r="AV26" s="179" t="n">
        <f aca="false">O26</f>
        <v>14.7</v>
      </c>
      <c r="AW26" s="320" t="n">
        <v>0.25</v>
      </c>
      <c r="AX26" s="215" t="n">
        <v>62</v>
      </c>
      <c r="AY26" s="215" t="n">
        <v>38</v>
      </c>
      <c r="AZ26" s="299"/>
      <c r="BA26" s="250" t="n">
        <f aca="false">SUM(N26,P26:U26)</f>
        <v>6.30242644113053</v>
      </c>
    </row>
    <row r="27" customFormat="false" ht="12.95" hidden="false" customHeight="true" outlineLevel="0" collapsed="false">
      <c r="A27" s="183" t="n">
        <f aca="false">A26+1</f>
        <v>13</v>
      </c>
      <c r="B27" s="106" t="n">
        <v>6873.11</v>
      </c>
      <c r="C27" s="107" t="n">
        <v>196259</v>
      </c>
      <c r="D27" s="215" t="n">
        <f aca="false">C27-C26</f>
        <v>0</v>
      </c>
      <c r="E27" s="107" t="n">
        <f aca="false">C27-152000</f>
        <v>44259</v>
      </c>
      <c r="F27" s="246" t="n">
        <f aca="false">D27/$D$2</f>
        <v>0</v>
      </c>
      <c r="G27" s="135" t="n">
        <v>55</v>
      </c>
      <c r="H27" s="563" t="n">
        <v>0</v>
      </c>
      <c r="I27" s="135" t="n">
        <f aca="false">G27+H27</f>
        <v>55</v>
      </c>
      <c r="J27" s="136" t="n">
        <f aca="false">IF(L27&gt;0,L27,0)</f>
        <v>0</v>
      </c>
      <c r="K27" s="135" t="n">
        <f aca="false">I27+J27</f>
        <v>55</v>
      </c>
      <c r="L27" s="135" t="n">
        <f aca="false">F27-(I27-AK27)</f>
        <v>-10.2</v>
      </c>
      <c r="M27" s="248" t="n">
        <v>7.8</v>
      </c>
      <c r="N27" s="158" t="n">
        <f aca="false">(1.8299*1.03)/2</f>
        <v>0.9423985</v>
      </c>
      <c r="O27" s="135" t="n">
        <f aca="false">13*1.05</f>
        <v>13.65</v>
      </c>
      <c r="P27" s="158" t="n">
        <v>0</v>
      </c>
      <c r="Q27" s="336" t="n">
        <f aca="false">1196000/325851/1.9835*1.02</f>
        <v>1.8874701343673</v>
      </c>
      <c r="R27" s="131" t="n">
        <f aca="false">(3.4*1.04)-T27</f>
        <v>2.878304</v>
      </c>
      <c r="S27" s="131" t="n">
        <v>0</v>
      </c>
      <c r="T27" s="131" t="n">
        <f aca="false">0.6324*1.04</f>
        <v>0.657696</v>
      </c>
      <c r="U27" s="355" t="n">
        <v>0</v>
      </c>
      <c r="V27" s="135" t="n">
        <v>0</v>
      </c>
      <c r="W27" s="135" t="n">
        <v>0</v>
      </c>
      <c r="X27" s="135" t="n">
        <f aca="false">M27-N27-O27-P27-Q27-R27-S27-T27-U27+V27+W27-AU27+AR27</f>
        <v>-12.2158686343673</v>
      </c>
      <c r="Y27" s="135" t="n">
        <f aca="false">X27-AO27</f>
        <v>-12.2158686343673</v>
      </c>
      <c r="Z27" s="107"/>
      <c r="AA27" s="135"/>
      <c r="AB27" s="107"/>
      <c r="AC27" s="107"/>
      <c r="AD27" s="215"/>
      <c r="AE27" s="135" t="n">
        <v>0</v>
      </c>
      <c r="AF27" s="137" t="n">
        <v>1.7</v>
      </c>
      <c r="AG27" s="138" t="n">
        <v>1.3</v>
      </c>
      <c r="AH27" s="135" t="n">
        <v>37</v>
      </c>
      <c r="AI27" s="107" t="n">
        <f aca="false">AI26-AH27</f>
        <v>4984.25787748929</v>
      </c>
      <c r="AJ27" s="107"/>
      <c r="AK27" s="134" t="n">
        <f aca="false">N27+O27+P27+Q27+R27+S27+T27+U27+X27+AE27+AH27</f>
        <v>44.8</v>
      </c>
      <c r="AL27" s="135" t="n">
        <f aca="false">IF(L27&lt;0,L27*-1,0)</f>
        <v>10.2</v>
      </c>
      <c r="AM27" s="135" t="n">
        <f aca="false">AK27+AL27</f>
        <v>55</v>
      </c>
      <c r="AN27" s="281"/>
      <c r="AO27" s="136"/>
      <c r="AP27" s="97"/>
      <c r="AQ27" s="158" t="n">
        <f aca="false">18.67*(Z27*1.9835+AC27*1.9835)/E27</f>
        <v>0</v>
      </c>
      <c r="AR27" s="158"/>
      <c r="AS27" s="158"/>
      <c r="AT27" s="107"/>
      <c r="AU27" s="176"/>
      <c r="AV27" s="179" t="n">
        <f aca="false">O27</f>
        <v>13.65</v>
      </c>
      <c r="AW27" s="320" t="n">
        <v>0.05</v>
      </c>
      <c r="AX27" s="215" t="n">
        <v>59</v>
      </c>
      <c r="AY27" s="215" t="n">
        <v>34</v>
      </c>
      <c r="AZ27" s="299"/>
      <c r="BA27" s="250" t="n">
        <f aca="false">SUM(N27,P27:U27)</f>
        <v>6.3658686343673</v>
      </c>
    </row>
    <row r="28" customFormat="false" ht="12.95" hidden="false" customHeight="true" outlineLevel="0" collapsed="false">
      <c r="A28" s="183" t="n">
        <f aca="false">A27+1</f>
        <v>14</v>
      </c>
      <c r="B28" s="106" t="n">
        <v>6873.11</v>
      </c>
      <c r="C28" s="107" t="n">
        <v>196259</v>
      </c>
      <c r="D28" s="215" t="n">
        <f aca="false">C28-C27</f>
        <v>0</v>
      </c>
      <c r="E28" s="107" t="n">
        <f aca="false">C28-152000</f>
        <v>44259</v>
      </c>
      <c r="F28" s="246" t="n">
        <f aca="false">D28/$D$2</f>
        <v>0</v>
      </c>
      <c r="G28" s="135" t="n">
        <v>53</v>
      </c>
      <c r="H28" s="563" t="n">
        <v>0</v>
      </c>
      <c r="I28" s="135" t="n">
        <f aca="false">G28+H28</f>
        <v>53</v>
      </c>
      <c r="J28" s="136" t="n">
        <f aca="false">IF(L28&gt;0,L28,0)</f>
        <v>4</v>
      </c>
      <c r="K28" s="135" t="n">
        <f aca="false">I28+J28</f>
        <v>57</v>
      </c>
      <c r="L28" s="135" t="n">
        <f aca="false">F28-(I28-AK28)</f>
        <v>4</v>
      </c>
      <c r="M28" s="248" t="n">
        <v>19</v>
      </c>
      <c r="N28" s="158" t="n">
        <f aca="false">(1.8299*1.03)/2</f>
        <v>0.9423985</v>
      </c>
      <c r="O28" s="135" t="n">
        <f aca="false">13*1.05</f>
        <v>13.65</v>
      </c>
      <c r="P28" s="158" t="n">
        <v>0</v>
      </c>
      <c r="Q28" s="336" t="n">
        <f aca="false">1340900/325851/1.9835*1.02</f>
        <v>2.11614440064641</v>
      </c>
      <c r="R28" s="131" t="n">
        <f aca="false">(2.6*1.04)-T28</f>
        <v>2.046304</v>
      </c>
      <c r="S28" s="131" t="n">
        <v>0</v>
      </c>
      <c r="T28" s="131" t="n">
        <f aca="false">0.6324*1.04</f>
        <v>0.657696</v>
      </c>
      <c r="U28" s="355" t="n">
        <v>0</v>
      </c>
      <c r="V28" s="135" t="n">
        <v>0</v>
      </c>
      <c r="W28" s="337" t="n">
        <v>0</v>
      </c>
      <c r="X28" s="135" t="n">
        <f aca="false">M28-N28-O28-P28-Q28-R28-S28-T28-U28+V28+W28-AU28+AR28</f>
        <v>-0.412542900646412</v>
      </c>
      <c r="Y28" s="135" t="n">
        <f aca="false">X28-AO28</f>
        <v>-0.412542900646412</v>
      </c>
      <c r="Z28" s="107"/>
      <c r="AA28" s="135"/>
      <c r="AB28" s="107"/>
      <c r="AC28" s="107"/>
      <c r="AD28" s="215"/>
      <c r="AE28" s="135" t="n">
        <v>0</v>
      </c>
      <c r="AF28" s="137" t="n">
        <v>1.7</v>
      </c>
      <c r="AG28" s="138" t="n">
        <v>1.3</v>
      </c>
      <c r="AH28" s="135" t="n">
        <v>38</v>
      </c>
      <c r="AI28" s="107" t="n">
        <f aca="false">AI27-AH28</f>
        <v>4946.25787748929</v>
      </c>
      <c r="AJ28" s="107"/>
      <c r="AK28" s="134" t="n">
        <f aca="false">N28+O28+P28+Q28+R28+S28+T28+U28+X28+AE28+AH28</f>
        <v>57</v>
      </c>
      <c r="AL28" s="135" t="n">
        <f aca="false">IF(L28&lt;0,L28*-1,0)</f>
        <v>0</v>
      </c>
      <c r="AM28" s="135" t="n">
        <f aca="false">AK28+AL28</f>
        <v>57</v>
      </c>
      <c r="AN28" s="281"/>
      <c r="AO28" s="136"/>
      <c r="AP28" s="97"/>
      <c r="AQ28" s="158" t="n">
        <f aca="false">18.67*(Z28*1.9835+AC28*1.9835)/E28</f>
        <v>0</v>
      </c>
      <c r="AR28" s="158"/>
      <c r="AS28" s="158"/>
      <c r="AT28" s="107"/>
      <c r="AU28" s="176"/>
      <c r="AV28" s="179" t="n">
        <f aca="false">O28</f>
        <v>13.65</v>
      </c>
      <c r="AW28" s="320" t="n">
        <v>0</v>
      </c>
      <c r="AX28" s="221" t="n">
        <v>69</v>
      </c>
      <c r="AY28" s="215" t="n">
        <v>35</v>
      </c>
      <c r="AZ28" s="299"/>
      <c r="BA28" s="250" t="n">
        <f aca="false">SUM(N28,P28:U28)</f>
        <v>5.76254290064641</v>
      </c>
    </row>
    <row r="29" customFormat="false" ht="12.95" hidden="false" customHeight="true" outlineLevel="0" collapsed="false">
      <c r="A29" s="183" t="n">
        <f aca="false">A28+1</f>
        <v>15</v>
      </c>
      <c r="B29" s="106" t="n">
        <v>6873.09</v>
      </c>
      <c r="C29" s="107" t="n">
        <v>196203</v>
      </c>
      <c r="D29" s="215" t="n">
        <f aca="false">C29-C28</f>
        <v>-56</v>
      </c>
      <c r="E29" s="107" t="n">
        <f aca="false">C29-152000</f>
        <v>44203</v>
      </c>
      <c r="F29" s="246" t="n">
        <f aca="false">D29/$D$2</f>
        <v>-28.2329216032266</v>
      </c>
      <c r="G29" s="135" t="n">
        <v>43</v>
      </c>
      <c r="H29" s="563" t="n">
        <v>0</v>
      </c>
      <c r="I29" s="135" t="n">
        <f aca="false">G29+H29</f>
        <v>43</v>
      </c>
      <c r="J29" s="136" t="n">
        <f aca="false">IF(L29&gt;0,L29,0)</f>
        <v>0</v>
      </c>
      <c r="K29" s="135" t="n">
        <f aca="false">I29+J29</f>
        <v>43</v>
      </c>
      <c r="L29" s="135" t="n">
        <f aca="false">F29-(I29-AK29)</f>
        <v>-9.23292160322662</v>
      </c>
      <c r="M29" s="248" t="n">
        <v>22</v>
      </c>
      <c r="N29" s="158" t="n">
        <f aca="false">(1.8299*1.03)/2</f>
        <v>0.9423985</v>
      </c>
      <c r="O29" s="135" t="n">
        <f aca="false">8.8*1.05</f>
        <v>9.24</v>
      </c>
      <c r="P29" s="158" t="n">
        <v>0</v>
      </c>
      <c r="Q29" s="336" t="n">
        <f aca="false">1675100/325851/1.9835*1.02</f>
        <v>2.6435628947146</v>
      </c>
      <c r="R29" s="131" t="n">
        <f aca="false">(2.1*1.04)-T29</f>
        <v>1.526304</v>
      </c>
      <c r="S29" s="131" t="n">
        <v>0</v>
      </c>
      <c r="T29" s="131" t="n">
        <f aca="false">0.6324*1.04</f>
        <v>0.657696</v>
      </c>
      <c r="U29" s="355" t="n">
        <v>0</v>
      </c>
      <c r="V29" s="135" t="n">
        <v>0</v>
      </c>
      <c r="W29" s="337" t="n">
        <v>0</v>
      </c>
      <c r="X29" s="135" t="n">
        <f aca="false">M29-N29-O29-P29-Q29-R29-S29-T29-U29+V29+W29-AU29+AR29</f>
        <v>6.9900386052854</v>
      </c>
      <c r="Y29" s="135" t="n">
        <f aca="false">X29-AO29</f>
        <v>6.9900386052854</v>
      </c>
      <c r="Z29" s="107"/>
      <c r="AA29" s="135"/>
      <c r="AB29" s="107"/>
      <c r="AC29" s="107"/>
      <c r="AD29" s="215"/>
      <c r="AE29" s="135" t="n">
        <v>0</v>
      </c>
      <c r="AF29" s="137" t="n">
        <v>1.7</v>
      </c>
      <c r="AG29" s="138" t="n">
        <v>1.3</v>
      </c>
      <c r="AH29" s="135" t="n">
        <v>40</v>
      </c>
      <c r="AI29" s="107" t="n">
        <f aca="false">AI28-AH29</f>
        <v>4906.25787748929</v>
      </c>
      <c r="AJ29" s="107"/>
      <c r="AK29" s="134" t="n">
        <f aca="false">N29+O29+P29+Q29+R29+S29+T29+U29+X29+AE29+AH29</f>
        <v>62</v>
      </c>
      <c r="AL29" s="135" t="n">
        <f aca="false">IF(L29&lt;0,L29*-1,0)</f>
        <v>9.23292160322662</v>
      </c>
      <c r="AM29" s="135" t="n">
        <f aca="false">AK29+AL29</f>
        <v>71.2329216032266</v>
      </c>
      <c r="AN29" s="281"/>
      <c r="AO29" s="136"/>
      <c r="AP29" s="97"/>
      <c r="AQ29" s="158" t="n">
        <f aca="false">18.67*(Z29*1.9835+AC29*1.9835)/E29</f>
        <v>0</v>
      </c>
      <c r="AR29" s="158"/>
      <c r="AS29" s="158"/>
      <c r="AT29" s="107"/>
      <c r="AU29" s="176"/>
      <c r="AV29" s="179" t="n">
        <f aca="false">O29</f>
        <v>9.24</v>
      </c>
      <c r="AW29" s="320" t="n">
        <v>0</v>
      </c>
      <c r="AX29" s="221" t="n">
        <v>71</v>
      </c>
      <c r="AY29" s="215" t="n">
        <v>36</v>
      </c>
      <c r="AZ29" s="299"/>
      <c r="BA29" s="250" t="n">
        <f aca="false">SUM(N29,P29:U29)</f>
        <v>5.7699613947146</v>
      </c>
    </row>
    <row r="30" customFormat="false" ht="12.95" hidden="false" customHeight="true" outlineLevel="0" collapsed="false">
      <c r="A30" s="183" t="n">
        <f aca="false">A29+1</f>
        <v>16</v>
      </c>
      <c r="B30" s="106" t="n">
        <v>6873.07</v>
      </c>
      <c r="C30" s="107" t="n">
        <v>196148</v>
      </c>
      <c r="D30" s="215" t="n">
        <f aca="false">C30-C29</f>
        <v>-55</v>
      </c>
      <c r="E30" s="107" t="n">
        <f aca="false">C30-152000</f>
        <v>44148</v>
      </c>
      <c r="F30" s="246" t="n">
        <f aca="false">D30/$D$2</f>
        <v>-27.7287622888833</v>
      </c>
      <c r="G30" s="135" t="n">
        <v>40</v>
      </c>
      <c r="H30" s="563" t="n">
        <v>0</v>
      </c>
      <c r="I30" s="135" t="n">
        <f aca="false">G30+H30</f>
        <v>40</v>
      </c>
      <c r="J30" s="136" t="n">
        <f aca="false">IF(L30&gt;0,L30,0)</f>
        <v>0</v>
      </c>
      <c r="K30" s="135" t="n">
        <f aca="false">I30+J30</f>
        <v>40</v>
      </c>
      <c r="L30" s="135" t="n">
        <f aca="false">F30-(I30-AK30)</f>
        <v>-18.4987622888833</v>
      </c>
      <c r="M30" s="248" t="n">
        <v>7.9</v>
      </c>
      <c r="N30" s="158" t="n">
        <f aca="false">(1.8299*1.03)/2</f>
        <v>0.9423985</v>
      </c>
      <c r="O30" s="135" t="n">
        <f aca="false">2.4*1.05</f>
        <v>2.52</v>
      </c>
      <c r="P30" s="158" t="n">
        <v>0</v>
      </c>
      <c r="Q30" s="336" t="n">
        <f aca="false">1250800/325851/1.9835*1.02</f>
        <v>1.97395287965436</v>
      </c>
      <c r="R30" s="131" t="n">
        <f aca="false">(2.1*1.04)-T30</f>
        <v>1.526304</v>
      </c>
      <c r="S30" s="131" t="n">
        <v>0</v>
      </c>
      <c r="T30" s="131" t="n">
        <f aca="false">0.6324*1.04</f>
        <v>0.657696</v>
      </c>
      <c r="U30" s="355" t="n">
        <v>0</v>
      </c>
      <c r="V30" s="135" t="n">
        <v>0</v>
      </c>
      <c r="W30" s="135" t="n">
        <v>1.33</v>
      </c>
      <c r="X30" s="135" t="n">
        <f aca="false">M30-N30-O30-P30-Q30-R30-S30-T30-U30+V30+W30-AU30+AR30</f>
        <v>1.60964862034564</v>
      </c>
      <c r="Y30" s="135" t="n">
        <f aca="false">X30-AO30</f>
        <v>1.60964862034564</v>
      </c>
      <c r="Z30" s="107"/>
      <c r="AA30" s="135"/>
      <c r="AB30" s="107"/>
      <c r="AC30" s="107"/>
      <c r="AD30" s="215"/>
      <c r="AE30" s="135" t="n">
        <v>0</v>
      </c>
      <c r="AF30" s="137" t="n">
        <v>1.7</v>
      </c>
      <c r="AG30" s="138" t="n">
        <v>1.3</v>
      </c>
      <c r="AH30" s="135" t="n">
        <v>40</v>
      </c>
      <c r="AI30" s="107" t="n">
        <f aca="false">AI29-AH30</f>
        <v>4866.25787748929</v>
      </c>
      <c r="AJ30" s="107"/>
      <c r="AK30" s="134" t="n">
        <f aca="false">N30+O30+P30+Q30+R30+S30+T30+U30+X30+AE30+AH30</f>
        <v>49.23</v>
      </c>
      <c r="AL30" s="135" t="n">
        <f aca="false">IF(L30&lt;0,L30*-1,0)</f>
        <v>18.4987622888833</v>
      </c>
      <c r="AM30" s="135" t="n">
        <f aca="false">AK30+AL30</f>
        <v>67.7287622888833</v>
      </c>
      <c r="AN30" s="281"/>
      <c r="AO30" s="136"/>
      <c r="AP30" s="97"/>
      <c r="AQ30" s="158" t="n">
        <f aca="false">18.67*(Z30*1.9835+AC30*1.9835)/E30</f>
        <v>0</v>
      </c>
      <c r="AR30" s="158"/>
      <c r="AS30" s="136"/>
      <c r="AT30" s="107"/>
      <c r="AU30" s="176"/>
      <c r="AV30" s="179" t="n">
        <f aca="false">O30</f>
        <v>2.52</v>
      </c>
      <c r="AW30" s="320" t="n">
        <v>0</v>
      </c>
      <c r="AX30" s="221" t="n">
        <v>71</v>
      </c>
      <c r="AY30" s="215" t="n">
        <v>39</v>
      </c>
      <c r="AZ30" s="299"/>
      <c r="BA30" s="250" t="n">
        <f aca="false">SUM(N30,P30:U30)</f>
        <v>5.10035137965436</v>
      </c>
    </row>
    <row r="31" customFormat="false" ht="12.95" hidden="false" customHeight="true" outlineLevel="0" collapsed="false">
      <c r="A31" s="183" t="n">
        <f aca="false">A30+1</f>
        <v>17</v>
      </c>
      <c r="B31" s="106" t="n">
        <v>6873.05</v>
      </c>
      <c r="C31" s="107" t="n">
        <v>196092</v>
      </c>
      <c r="D31" s="215" t="n">
        <f aca="false">C31-C30</f>
        <v>-56</v>
      </c>
      <c r="E31" s="107" t="n">
        <f aca="false">C31-152000</f>
        <v>44092</v>
      </c>
      <c r="F31" s="246" t="n">
        <f aca="false">D31/$D$2</f>
        <v>-28.2329216032266</v>
      </c>
      <c r="G31" s="135" t="n">
        <v>38</v>
      </c>
      <c r="H31" s="563" t="n">
        <v>0</v>
      </c>
      <c r="I31" s="135" t="n">
        <f aca="false">G31+H31</f>
        <v>38</v>
      </c>
      <c r="J31" s="136" t="n">
        <f aca="false">IF(L31&gt;0,L31,0)</f>
        <v>0</v>
      </c>
      <c r="K31" s="135" t="n">
        <f aca="false">I31+J31</f>
        <v>38</v>
      </c>
      <c r="L31" s="135" t="n">
        <f aca="false">F31-(I31-AK31)</f>
        <v>-20.3329216032266</v>
      </c>
      <c r="M31" s="248" t="n">
        <v>5.9</v>
      </c>
      <c r="N31" s="158" t="n">
        <f aca="false">(1.8299*1.03)/2</f>
        <v>0.9423985</v>
      </c>
      <c r="O31" s="135" t="n">
        <f aca="false">0*1.05</f>
        <v>0</v>
      </c>
      <c r="P31" s="158" t="n">
        <v>0</v>
      </c>
      <c r="Q31" s="336" t="n">
        <f aca="false">1174400/325851/1.9835*1.02</f>
        <v>1.85338204498408</v>
      </c>
      <c r="R31" s="131" t="n">
        <f aca="false">(2*1.04)-T31</f>
        <v>1.422304</v>
      </c>
      <c r="S31" s="131" t="n">
        <v>0</v>
      </c>
      <c r="T31" s="131" t="n">
        <f aca="false">0.6324*1.04</f>
        <v>0.657696</v>
      </c>
      <c r="U31" s="355" t="n">
        <v>0</v>
      </c>
      <c r="V31" s="135" t="n">
        <v>0</v>
      </c>
      <c r="W31" s="135" t="n">
        <v>0</v>
      </c>
      <c r="X31" s="135" t="n">
        <f aca="false">M31-N31-O31-P31-Q31-R31-S31-T31-U31+V31+W31-AU31+AR31</f>
        <v>1.02421945501593</v>
      </c>
      <c r="Y31" s="135" t="n">
        <f aca="false">X31-AO31</f>
        <v>1.02421945501593</v>
      </c>
      <c r="Z31" s="107"/>
      <c r="AA31" s="135"/>
      <c r="AB31" s="107"/>
      <c r="AC31" s="107"/>
      <c r="AD31" s="107"/>
      <c r="AE31" s="135" t="n">
        <v>0</v>
      </c>
      <c r="AF31" s="137" t="n">
        <v>1.7</v>
      </c>
      <c r="AG31" s="138" t="n">
        <v>1.3</v>
      </c>
      <c r="AH31" s="135" t="n">
        <v>40</v>
      </c>
      <c r="AI31" s="107" t="n">
        <f aca="false">AI30-AH31</f>
        <v>4826.25787748929</v>
      </c>
      <c r="AJ31" s="107"/>
      <c r="AK31" s="134" t="n">
        <f aca="false">N31+O31+P31+Q31+R31+S31+T31+U31+X31+AE31+AH31</f>
        <v>45.9</v>
      </c>
      <c r="AL31" s="135" t="n">
        <f aca="false">IF(L31&lt;0,L31*-1,0)</f>
        <v>20.3329216032266</v>
      </c>
      <c r="AM31" s="135" t="n">
        <f aca="false">AK31+AL31</f>
        <v>66.2329216032266</v>
      </c>
      <c r="AN31" s="281"/>
      <c r="AO31" s="136"/>
      <c r="AP31" s="97"/>
      <c r="AQ31" s="158" t="n">
        <f aca="false">18.67*(Z31*1.9835+AC31*1.9835)/E31</f>
        <v>0</v>
      </c>
      <c r="AR31" s="158"/>
      <c r="AS31" s="136"/>
      <c r="AT31" s="107"/>
      <c r="AU31" s="176"/>
      <c r="AV31" s="179" t="n">
        <f aca="false">O31</f>
        <v>0</v>
      </c>
      <c r="AW31" s="320" t="n">
        <v>0</v>
      </c>
      <c r="AX31" s="221" t="n">
        <v>64</v>
      </c>
      <c r="AY31" s="215" t="n">
        <v>37</v>
      </c>
      <c r="AZ31" s="299"/>
      <c r="BA31" s="250" t="n">
        <f aca="false">SUM(N31,P31:U31)</f>
        <v>4.87578054498407</v>
      </c>
    </row>
    <row r="32" customFormat="false" ht="12.95" hidden="false" customHeight="true" outlineLevel="0" collapsed="false">
      <c r="A32" s="183" t="n">
        <f aca="false">A31+1</f>
        <v>18</v>
      </c>
      <c r="B32" s="106" t="n">
        <v>6873.04</v>
      </c>
      <c r="C32" s="107" t="n">
        <v>196064</v>
      </c>
      <c r="D32" s="215" t="n">
        <f aca="false">C32-C31</f>
        <v>-28</v>
      </c>
      <c r="E32" s="107" t="n">
        <f aca="false">C32-152000</f>
        <v>44064</v>
      </c>
      <c r="F32" s="246" t="n">
        <f aca="false">D32/$D$2</f>
        <v>-14.1164608016133</v>
      </c>
      <c r="G32" s="135" t="n">
        <v>36</v>
      </c>
      <c r="H32" s="563" t="n">
        <v>0</v>
      </c>
      <c r="I32" s="135" t="n">
        <f aca="false">G32+H32</f>
        <v>36</v>
      </c>
      <c r="J32" s="136" t="n">
        <f aca="false">IF(L32&gt;0,L32,0)</f>
        <v>0</v>
      </c>
      <c r="K32" s="135" t="n">
        <f aca="false">I32+J32</f>
        <v>36</v>
      </c>
      <c r="L32" s="135" t="n">
        <f aca="false">F32-(I32-AK32)</f>
        <v>-5.01646080161331</v>
      </c>
      <c r="M32" s="248" t="n">
        <v>6.1</v>
      </c>
      <c r="N32" s="158" t="n">
        <f aca="false">(1.8299*1.03)/2</f>
        <v>0.9423985</v>
      </c>
      <c r="O32" s="135" t="n">
        <f aca="false">0.02*1.05</f>
        <v>0.021</v>
      </c>
      <c r="P32" s="158" t="n">
        <v>0</v>
      </c>
      <c r="Q32" s="336" t="n">
        <f aca="false">1244100/325851/1.9835*1.02</f>
        <v>1.96337925933642</v>
      </c>
      <c r="R32" s="131" t="n">
        <f aca="false">(2*1.04)-T32</f>
        <v>1.422304</v>
      </c>
      <c r="S32" s="131" t="n">
        <v>0</v>
      </c>
      <c r="T32" s="131" t="n">
        <f aca="false">0.6324*1.04</f>
        <v>0.657696</v>
      </c>
      <c r="U32" s="355" t="n">
        <v>0</v>
      </c>
      <c r="V32" s="135" t="n">
        <v>0</v>
      </c>
      <c r="W32" s="135" t="n">
        <v>0</v>
      </c>
      <c r="X32" s="135" t="n">
        <f aca="false">M32-N32-O32-P32-Q32-R32-S32-T32-U32+V32+W32-AU32+AR32</f>
        <v>1.09322224066358</v>
      </c>
      <c r="Y32" s="135" t="n">
        <f aca="false">X32-AO32</f>
        <v>1.09322224066358</v>
      </c>
      <c r="Z32" s="107"/>
      <c r="AA32" s="135"/>
      <c r="AB32" s="107"/>
      <c r="AC32" s="107"/>
      <c r="AD32" s="107"/>
      <c r="AE32" s="135" t="n">
        <v>0</v>
      </c>
      <c r="AF32" s="137" t="n">
        <v>1.7</v>
      </c>
      <c r="AG32" s="138" t="n">
        <v>1.3</v>
      </c>
      <c r="AH32" s="135" t="n">
        <v>39</v>
      </c>
      <c r="AI32" s="107" t="n">
        <f aca="false">AI31-AH32</f>
        <v>4787.25787748929</v>
      </c>
      <c r="AJ32" s="107"/>
      <c r="AK32" s="134" t="n">
        <f aca="false">N32+O32+P32+Q32+R32+S32+T32+U32+X32+AE32+AH32</f>
        <v>45.1</v>
      </c>
      <c r="AL32" s="135" t="n">
        <f aca="false">IF(L32&lt;0,L32*-1,0)</f>
        <v>5.01646080161331</v>
      </c>
      <c r="AM32" s="135" t="n">
        <f aca="false">AK32+AL32</f>
        <v>50.1164608016133</v>
      </c>
      <c r="AN32" s="281"/>
      <c r="AO32" s="136"/>
      <c r="AP32" s="97"/>
      <c r="AQ32" s="158" t="n">
        <f aca="false">18.67*(Z32*1.9835+AC32*1.9835)/E32</f>
        <v>0</v>
      </c>
      <c r="AR32" s="158"/>
      <c r="AS32" s="136"/>
      <c r="AT32" s="107"/>
      <c r="AU32" s="176"/>
      <c r="AV32" s="179" t="n">
        <f aca="false">O32</f>
        <v>0.021</v>
      </c>
      <c r="AW32" s="320" t="n">
        <v>0</v>
      </c>
      <c r="AX32" s="221" t="n">
        <v>72</v>
      </c>
      <c r="AY32" s="215" t="n">
        <v>25</v>
      </c>
      <c r="AZ32" s="299"/>
      <c r="BA32" s="250" t="n">
        <f aca="false">SUM(N32,P32:U32)</f>
        <v>4.98577775933642</v>
      </c>
    </row>
    <row r="33" customFormat="false" ht="12.95" hidden="false" customHeight="true" outlineLevel="0" collapsed="false">
      <c r="A33" s="183" t="n">
        <f aca="false">A32+1</f>
        <v>19</v>
      </c>
      <c r="B33" s="106" t="n">
        <v>6873.03</v>
      </c>
      <c r="C33" s="107" t="n">
        <v>196036</v>
      </c>
      <c r="D33" s="215" t="n">
        <f aca="false">C33-C32</f>
        <v>-28</v>
      </c>
      <c r="E33" s="107" t="n">
        <f aca="false">C33-152000</f>
        <v>44036</v>
      </c>
      <c r="F33" s="246" t="n">
        <f aca="false">D33/$D$2</f>
        <v>-14.1164608016133</v>
      </c>
      <c r="G33" s="135" t="n">
        <v>36</v>
      </c>
      <c r="H33" s="563" t="n">
        <v>0</v>
      </c>
      <c r="I33" s="135" t="n">
        <f aca="false">G33+H33</f>
        <v>36</v>
      </c>
      <c r="J33" s="136" t="n">
        <f aca="false">IF(L33&gt;0,L33,0)</f>
        <v>0</v>
      </c>
      <c r="K33" s="135" t="n">
        <f aca="false">I33+J33</f>
        <v>36</v>
      </c>
      <c r="L33" s="135" t="n">
        <f aca="false">F33-(I33-AK33)</f>
        <v>-6.11646080161331</v>
      </c>
      <c r="M33" s="248" t="n">
        <v>4</v>
      </c>
      <c r="N33" s="158" t="n">
        <f aca="false">(1.8299*1.03)/2</f>
        <v>0.9423985</v>
      </c>
      <c r="O33" s="135" t="n">
        <f aca="false">0.77*1.05</f>
        <v>0.8085</v>
      </c>
      <c r="P33" s="158" t="n">
        <v>0</v>
      </c>
      <c r="Q33" s="336" t="n">
        <f aca="false">1300800/325851/1.9835*1.02</f>
        <v>2.05286049396737</v>
      </c>
      <c r="R33" s="131" t="n">
        <f aca="false">(2*1.04)-T33</f>
        <v>1.49292</v>
      </c>
      <c r="S33" s="131" t="n">
        <v>0</v>
      </c>
      <c r="T33" s="131" t="n">
        <f aca="false">0.5645*1.04</f>
        <v>0.58708</v>
      </c>
      <c r="U33" s="355" t="n">
        <v>0</v>
      </c>
      <c r="V33" s="135" t="n">
        <v>0</v>
      </c>
      <c r="W33" s="135" t="n">
        <v>0</v>
      </c>
      <c r="X33" s="135" t="n">
        <f aca="false">M33-N33-O33-P33-Q33-R33-S33-T33-U33+V33+W33-AU33+AR33</f>
        <v>-1.88375899396737</v>
      </c>
      <c r="Y33" s="135" t="n">
        <f aca="false">X33-AO33</f>
        <v>-1.88375899396737</v>
      </c>
      <c r="Z33" s="107"/>
      <c r="AA33" s="135"/>
      <c r="AB33" s="107"/>
      <c r="AC33" s="107"/>
      <c r="AD33" s="107"/>
      <c r="AE33" s="135" t="n">
        <v>0</v>
      </c>
      <c r="AF33" s="137" t="n">
        <v>1.7</v>
      </c>
      <c r="AG33" s="138" t="n">
        <v>1.3</v>
      </c>
      <c r="AH33" s="135" t="n">
        <v>40</v>
      </c>
      <c r="AI33" s="107" t="n">
        <f aca="false">AI32-AH33</f>
        <v>4747.25787748929</v>
      </c>
      <c r="AJ33" s="107"/>
      <c r="AK33" s="134" t="n">
        <f aca="false">N33+O33+P33+Q33+R33+S33+T33+U33+X33+AE33+AH33</f>
        <v>44</v>
      </c>
      <c r="AL33" s="135" t="n">
        <f aca="false">IF(L33&lt;0,L33*-1,0)</f>
        <v>6.11646080161331</v>
      </c>
      <c r="AM33" s="135" t="n">
        <f aca="false">AK33+AL33</f>
        <v>50.1164608016133</v>
      </c>
      <c r="AN33" s="281"/>
      <c r="AO33" s="136"/>
      <c r="AP33" s="97"/>
      <c r="AQ33" s="158" t="n">
        <f aca="false">18.67*(Z33*1.9835+AC33*1.9835)/E33</f>
        <v>0</v>
      </c>
      <c r="AR33" s="158"/>
      <c r="AS33" s="158"/>
      <c r="AT33" s="107"/>
      <c r="AU33" s="176"/>
      <c r="AV33" s="179" t="n">
        <f aca="false">O33</f>
        <v>0.8085</v>
      </c>
      <c r="AW33" s="320" t="n">
        <v>0</v>
      </c>
      <c r="AX33" s="221" t="n">
        <v>73</v>
      </c>
      <c r="AY33" s="215" t="n">
        <v>33</v>
      </c>
      <c r="AZ33" s="299"/>
      <c r="BA33" s="250" t="n">
        <f aca="false">SUM(N33,P33:U33)</f>
        <v>5.07525899396738</v>
      </c>
    </row>
    <row r="34" customFormat="false" ht="12.95" hidden="false" customHeight="true" outlineLevel="0" collapsed="false">
      <c r="A34" s="183" t="n">
        <f aca="false">A33+1</f>
        <v>20</v>
      </c>
      <c r="B34" s="106" t="n">
        <v>6873.01</v>
      </c>
      <c r="C34" s="107" t="n">
        <v>195981</v>
      </c>
      <c r="D34" s="215" t="n">
        <f aca="false">C34-C33</f>
        <v>-55</v>
      </c>
      <c r="E34" s="107" t="n">
        <f aca="false">C34-152000</f>
        <v>43981</v>
      </c>
      <c r="F34" s="246" t="n">
        <f aca="false">D34/$D$2</f>
        <v>-27.7287622888833</v>
      </c>
      <c r="G34" s="135" t="n">
        <v>35</v>
      </c>
      <c r="H34" s="563" t="n">
        <v>0</v>
      </c>
      <c r="I34" s="135" t="n">
        <f aca="false">G34+H34</f>
        <v>35</v>
      </c>
      <c r="J34" s="136" t="n">
        <f aca="false">IF(L34&gt;0,L34,0)</f>
        <v>0</v>
      </c>
      <c r="K34" s="135" t="n">
        <f aca="false">I34+J34</f>
        <v>35</v>
      </c>
      <c r="L34" s="135" t="n">
        <f aca="false">F34-(I34-AK34)</f>
        <v>-18.7287622888833</v>
      </c>
      <c r="M34" s="248" t="n">
        <v>4</v>
      </c>
      <c r="N34" s="158" t="n">
        <f aca="false">(1.8299*1.03)/2</f>
        <v>0.9423985</v>
      </c>
      <c r="O34" s="135" t="n">
        <f aca="false">5.2*1.05</f>
        <v>5.46</v>
      </c>
      <c r="P34" s="158" t="n">
        <v>0</v>
      </c>
      <c r="Q34" s="336" t="n">
        <f aca="false">1420500/325851/1.9835*1.02</f>
        <v>2.24176532263273</v>
      </c>
      <c r="R34" s="131" t="n">
        <f aca="false">(2*1.04)-T34</f>
        <v>1.49292</v>
      </c>
      <c r="S34" s="131" t="n">
        <v>0</v>
      </c>
      <c r="T34" s="131" t="n">
        <f aca="false">0.5645*1.04</f>
        <v>0.58708</v>
      </c>
      <c r="U34" s="355" t="n">
        <v>0</v>
      </c>
      <c r="V34" s="135" t="n">
        <v>0</v>
      </c>
      <c r="W34" s="135" t="n">
        <v>0</v>
      </c>
      <c r="X34" s="135" t="n">
        <f aca="false">M34-N34-O34-P34-Q34-R34-S34-T34-U34+V34+W34-AU34+AR34</f>
        <v>-6.72416382263273</v>
      </c>
      <c r="Y34" s="135" t="n">
        <f aca="false">X34-AO34</f>
        <v>-6.72416382263273</v>
      </c>
      <c r="Z34" s="107"/>
      <c r="AA34" s="135"/>
      <c r="AB34" s="107"/>
      <c r="AC34" s="107"/>
      <c r="AD34" s="107"/>
      <c r="AE34" s="135" t="n">
        <v>0</v>
      </c>
      <c r="AF34" s="137" t="n">
        <v>1.7</v>
      </c>
      <c r="AG34" s="138" t="n">
        <v>1.3</v>
      </c>
      <c r="AH34" s="135" t="n">
        <v>40</v>
      </c>
      <c r="AI34" s="107" t="n">
        <f aca="false">AI33-AH34</f>
        <v>4707.25787748929</v>
      </c>
      <c r="AJ34" s="107"/>
      <c r="AK34" s="134" t="n">
        <f aca="false">N34+O34+P34+Q34+R34+S34+T34+U34+X34+AE34+AH34</f>
        <v>44</v>
      </c>
      <c r="AL34" s="135" t="n">
        <f aca="false">IF(L34&lt;0,L34*-1,0)</f>
        <v>18.7287622888833</v>
      </c>
      <c r="AM34" s="135" t="n">
        <f aca="false">AK34+AL34</f>
        <v>62.7287622888833</v>
      </c>
      <c r="AN34" s="281"/>
      <c r="AO34" s="136"/>
      <c r="AP34" s="97"/>
      <c r="AQ34" s="158" t="n">
        <f aca="false">18.67*(Z34*1.9835+AC34*1.9835)/E34</f>
        <v>0</v>
      </c>
      <c r="AR34" s="158"/>
      <c r="AS34" s="158"/>
      <c r="AT34" s="107"/>
      <c r="AU34" s="176"/>
      <c r="AV34" s="179" t="n">
        <f aca="false">O34</f>
        <v>5.46</v>
      </c>
      <c r="AW34" s="320" t="n">
        <v>0</v>
      </c>
      <c r="AX34" s="221" t="n">
        <v>74</v>
      </c>
      <c r="AY34" s="215" t="n">
        <v>37</v>
      </c>
      <c r="AZ34" s="299"/>
      <c r="BA34" s="250" t="n">
        <f aca="false">SUM(N34,P34:U34)</f>
        <v>5.26416382263273</v>
      </c>
    </row>
    <row r="35" customFormat="false" ht="12.95" hidden="false" customHeight="true" outlineLevel="0" collapsed="false">
      <c r="A35" s="183" t="n">
        <f aca="false">A34+1</f>
        <v>21</v>
      </c>
      <c r="B35" s="106" t="n">
        <v>6873</v>
      </c>
      <c r="C35" s="107" t="n">
        <v>195953</v>
      </c>
      <c r="D35" s="215" t="n">
        <f aca="false">C35-C34</f>
        <v>-28</v>
      </c>
      <c r="E35" s="107" t="n">
        <f aca="false">C35-152000</f>
        <v>43953</v>
      </c>
      <c r="F35" s="246" t="n">
        <f aca="false">D35/$D$2</f>
        <v>-14.1164608016133</v>
      </c>
      <c r="G35" s="135" t="n">
        <v>34</v>
      </c>
      <c r="H35" s="563" t="n">
        <v>0</v>
      </c>
      <c r="I35" s="135" t="n">
        <f aca="false">G35+H35</f>
        <v>34</v>
      </c>
      <c r="J35" s="136" t="n">
        <f aca="false">IF(L35&gt;0,L35,0)</f>
        <v>0</v>
      </c>
      <c r="K35" s="135" t="n">
        <f aca="false">I35+J35</f>
        <v>34</v>
      </c>
      <c r="L35" s="135" t="n">
        <f aca="false">F35-(I35-AK35)</f>
        <v>-4.91646080161331</v>
      </c>
      <c r="M35" s="248" t="n">
        <v>4.2</v>
      </c>
      <c r="N35" s="158" t="n">
        <f aca="false">(1.8299*1.03)/2</f>
        <v>0.9423985</v>
      </c>
      <c r="O35" s="135" t="n">
        <f aca="false">7.5*1.05</f>
        <v>7.875</v>
      </c>
      <c r="P35" s="158" t="n">
        <v>0</v>
      </c>
      <c r="Q35" s="336" t="n">
        <f aca="false">1421800/325851/1.9835*1.02</f>
        <v>2.24381692060487</v>
      </c>
      <c r="R35" s="131" t="n">
        <f aca="false">(1.6*1.04)-T35</f>
        <v>1.07692</v>
      </c>
      <c r="S35" s="131" t="n">
        <v>0</v>
      </c>
      <c r="T35" s="131" t="n">
        <f aca="false">0.5645*1.04</f>
        <v>0.58708</v>
      </c>
      <c r="U35" s="355" t="n">
        <v>0</v>
      </c>
      <c r="V35" s="135" t="n">
        <v>0</v>
      </c>
      <c r="W35" s="135" t="n">
        <v>0</v>
      </c>
      <c r="X35" s="135" t="n">
        <f aca="false">M35-N35-O35-P35-Q35-R35-S35-T35-U35+V35+W35-AU35+AR35</f>
        <v>-8.52521542060487</v>
      </c>
      <c r="Y35" s="135" t="n">
        <f aca="false">X35-AO35</f>
        <v>-8.52521542060487</v>
      </c>
      <c r="Z35" s="107"/>
      <c r="AA35" s="135"/>
      <c r="AB35" s="107"/>
      <c r="AC35" s="107"/>
      <c r="AD35" s="107"/>
      <c r="AE35" s="135" t="n">
        <v>0</v>
      </c>
      <c r="AF35" s="137" t="n">
        <v>1.7</v>
      </c>
      <c r="AG35" s="138" t="n">
        <v>1.3</v>
      </c>
      <c r="AH35" s="135" t="n">
        <v>39</v>
      </c>
      <c r="AI35" s="107" t="n">
        <f aca="false">AI34-AH35</f>
        <v>4668.25787748929</v>
      </c>
      <c r="AJ35" s="107"/>
      <c r="AK35" s="134" t="n">
        <f aca="false">N35+O35+P35+Q35+R35+S35+T35+U35+X35+AE35+AH35</f>
        <v>43.2</v>
      </c>
      <c r="AL35" s="135" t="n">
        <f aca="false">IF(L35&lt;0,L35*-1,0)</f>
        <v>4.91646080161331</v>
      </c>
      <c r="AM35" s="135" t="n">
        <f aca="false">AK35+AL35</f>
        <v>48.1164608016133</v>
      </c>
      <c r="AN35" s="281"/>
      <c r="AO35" s="136"/>
      <c r="AP35" s="97"/>
      <c r="AQ35" s="158" t="n">
        <f aca="false">18.67*(Z35*1.9835+AC35*1.9835)/E35</f>
        <v>0</v>
      </c>
      <c r="AR35" s="158"/>
      <c r="AS35" s="158"/>
      <c r="AT35" s="107"/>
      <c r="AU35" s="176"/>
      <c r="AV35" s="179" t="n">
        <f aca="false">O35</f>
        <v>7.875</v>
      </c>
      <c r="AW35" s="320" t="n">
        <v>0</v>
      </c>
      <c r="AX35" s="215" t="n">
        <v>69</v>
      </c>
      <c r="AY35" s="215" t="n">
        <v>37</v>
      </c>
      <c r="AZ35" s="299"/>
      <c r="BA35" s="250" t="n">
        <f aca="false">SUM(N35,P35:U35)</f>
        <v>4.85021542060487</v>
      </c>
    </row>
    <row r="36" customFormat="false" ht="12.95" hidden="false" customHeight="true" outlineLevel="0" collapsed="false">
      <c r="A36" s="183" t="n">
        <f aca="false">A35+1</f>
        <v>22</v>
      </c>
      <c r="B36" s="106" t="n">
        <v>6872.98</v>
      </c>
      <c r="C36" s="107" t="n">
        <v>195898</v>
      </c>
      <c r="D36" s="215" t="n">
        <f aca="false">C36-C35</f>
        <v>-55</v>
      </c>
      <c r="E36" s="107" t="n">
        <f aca="false">C36-152000</f>
        <v>43898</v>
      </c>
      <c r="F36" s="246" t="n">
        <f aca="false">D36/$D$2</f>
        <v>-27.7287622888833</v>
      </c>
      <c r="G36" s="135" t="n">
        <v>34</v>
      </c>
      <c r="H36" s="563" t="n">
        <v>0</v>
      </c>
      <c r="I36" s="135" t="n">
        <f aca="false">G36+H36</f>
        <v>34</v>
      </c>
      <c r="J36" s="136" t="n">
        <f aca="false">IF(L36&gt;0,L36,0)</f>
        <v>0</v>
      </c>
      <c r="K36" s="135" t="n">
        <f aca="false">I36+J36</f>
        <v>34</v>
      </c>
      <c r="L36" s="135" t="n">
        <f aca="false">F36-(I36-AK36)</f>
        <v>-18.5287622888833</v>
      </c>
      <c r="M36" s="248" t="n">
        <v>4.2</v>
      </c>
      <c r="N36" s="158" t="n">
        <f aca="false">(1.8299*1.03)/2</f>
        <v>0.9423985</v>
      </c>
      <c r="O36" s="135" t="n">
        <f aca="false">3.5*1.05</f>
        <v>3.675</v>
      </c>
      <c r="P36" s="158" t="n">
        <v>0</v>
      </c>
      <c r="Q36" s="336" t="n">
        <f aca="false">1295900/325851/1.9835*1.02</f>
        <v>2.0451275477647</v>
      </c>
      <c r="R36" s="131" t="n">
        <f aca="false">(2.2*1.04)-T36</f>
        <v>1.70092</v>
      </c>
      <c r="S36" s="131" t="n">
        <v>0</v>
      </c>
      <c r="T36" s="131" t="n">
        <f aca="false">0.5645*1.04</f>
        <v>0.58708</v>
      </c>
      <c r="U36" s="355" t="n">
        <v>0</v>
      </c>
      <c r="V36" s="135" t="n">
        <v>0</v>
      </c>
      <c r="W36" s="135" t="n">
        <v>0</v>
      </c>
      <c r="X36" s="135" t="n">
        <f aca="false">M36-N36-O36-P36-Q36-R36-S36-T36-U36+V36+W36-AU36+AR36</f>
        <v>-4.7505260477647</v>
      </c>
      <c r="Y36" s="135" t="n">
        <f aca="false">X36-AO36</f>
        <v>-4.7505260477647</v>
      </c>
      <c r="Z36" s="107"/>
      <c r="AA36" s="135"/>
      <c r="AB36" s="107"/>
      <c r="AC36" s="107"/>
      <c r="AD36" s="107"/>
      <c r="AE36" s="135" t="n">
        <v>0</v>
      </c>
      <c r="AF36" s="137" t="n">
        <v>1.7</v>
      </c>
      <c r="AG36" s="138" t="n">
        <v>1.3</v>
      </c>
      <c r="AH36" s="135" t="n">
        <v>39</v>
      </c>
      <c r="AI36" s="107" t="n">
        <f aca="false">AI35-AH36</f>
        <v>4629.25787748929</v>
      </c>
      <c r="AJ36" s="107"/>
      <c r="AK36" s="134" t="n">
        <f aca="false">N36+O36+P36+Q36+R36+S36+T36+U36+X36+AE36+AH36</f>
        <v>43.2</v>
      </c>
      <c r="AL36" s="135" t="n">
        <f aca="false">IF(L36&lt;0,L36*-1,0)</f>
        <v>18.5287622888833</v>
      </c>
      <c r="AM36" s="135" t="n">
        <f aca="false">AK36+AL36</f>
        <v>61.7287622888833</v>
      </c>
      <c r="AN36" s="281"/>
      <c r="AO36" s="136"/>
      <c r="AP36" s="136"/>
      <c r="AQ36" s="158" t="n">
        <f aca="false">18.67*(Z36*1.9835+AC36*1.9835)/E36</f>
        <v>0</v>
      </c>
      <c r="AR36" s="158"/>
      <c r="AS36" s="158"/>
      <c r="AT36" s="107"/>
      <c r="AU36" s="176"/>
      <c r="AV36" s="179" t="n">
        <f aca="false">O36</f>
        <v>3.675</v>
      </c>
      <c r="AW36" s="320" t="n">
        <v>0</v>
      </c>
      <c r="AX36" s="215" t="n">
        <v>68</v>
      </c>
      <c r="AY36" s="215" t="n">
        <v>37</v>
      </c>
      <c r="AZ36" s="299"/>
      <c r="BA36" s="250" t="n">
        <f aca="false">SUM(N36,P36:U36)</f>
        <v>5.2755260477647</v>
      </c>
    </row>
    <row r="37" customFormat="false" ht="12.95" hidden="false" customHeight="true" outlineLevel="0" collapsed="false">
      <c r="A37" s="183" t="n">
        <f aca="false">A36+1</f>
        <v>23</v>
      </c>
      <c r="B37" s="106" t="n">
        <v>6872.97</v>
      </c>
      <c r="C37" s="107" t="n">
        <v>195870</v>
      </c>
      <c r="D37" s="215" t="n">
        <f aca="false">C37-C36</f>
        <v>-28</v>
      </c>
      <c r="E37" s="107" t="n">
        <f aca="false">C37-152000</f>
        <v>43870</v>
      </c>
      <c r="F37" s="246" t="n">
        <f aca="false">D37/$D$2</f>
        <v>-14.1164608016133</v>
      </c>
      <c r="G37" s="135" t="n">
        <v>34</v>
      </c>
      <c r="H37" s="563" t="n">
        <v>0</v>
      </c>
      <c r="I37" s="135" t="n">
        <f aca="false">G37+H37</f>
        <v>34</v>
      </c>
      <c r="J37" s="136" t="n">
        <f aca="false">IF(L37&gt;0,L37,0)</f>
        <v>0</v>
      </c>
      <c r="K37" s="135" t="n">
        <f aca="false">I37+J37</f>
        <v>34</v>
      </c>
      <c r="L37" s="135" t="n">
        <f aca="false">F37-(I37-AK37)</f>
        <v>-4.81646080161331</v>
      </c>
      <c r="M37" s="248" t="n">
        <v>4.3</v>
      </c>
      <c r="N37" s="158" t="n">
        <f aca="false">(1.8299*1.03)/2</f>
        <v>0.9423985</v>
      </c>
      <c r="O37" s="135" t="n">
        <f aca="false">6.3*1.05</f>
        <v>6.615</v>
      </c>
      <c r="P37" s="158" t="n">
        <v>0</v>
      </c>
      <c r="Q37" s="336" t="n">
        <f aca="false">1044900/325851/1.9835*1.02</f>
        <v>1.64901132391337</v>
      </c>
      <c r="R37" s="131" t="n">
        <f aca="false">(2.2*1.04)-T37</f>
        <v>1.70092</v>
      </c>
      <c r="S37" s="131" t="n">
        <v>0</v>
      </c>
      <c r="T37" s="131" t="n">
        <f aca="false">0.5645*1.04</f>
        <v>0.58708</v>
      </c>
      <c r="U37" s="355" t="n">
        <v>0</v>
      </c>
      <c r="V37" s="135" t="n">
        <v>0</v>
      </c>
      <c r="W37" s="135" t="n">
        <v>0</v>
      </c>
      <c r="X37" s="135" t="n">
        <f aca="false">M37-N37-O37-P37-Q37-R37-S37-T37-U37+V37+W37-AU37+AR37</f>
        <v>-7.19440982391337</v>
      </c>
      <c r="Y37" s="135" t="n">
        <f aca="false">X37-AO37</f>
        <v>-7.19440982391337</v>
      </c>
      <c r="Z37" s="107"/>
      <c r="AA37" s="135"/>
      <c r="AB37" s="107"/>
      <c r="AC37" s="107"/>
      <c r="AD37" s="107"/>
      <c r="AE37" s="135" t="n">
        <v>0</v>
      </c>
      <c r="AF37" s="137" t="n">
        <v>1.7</v>
      </c>
      <c r="AG37" s="138" t="n">
        <v>1.3</v>
      </c>
      <c r="AH37" s="135" t="n">
        <v>39</v>
      </c>
      <c r="AI37" s="107" t="n">
        <f aca="false">AI36-AH37</f>
        <v>4590.25787748929</v>
      </c>
      <c r="AJ37" s="107"/>
      <c r="AK37" s="134" t="n">
        <f aca="false">N37+O37+P37+Q37+R37+S37+T37+U37+X37+AE37+AH37</f>
        <v>43.3</v>
      </c>
      <c r="AL37" s="135" t="n">
        <f aca="false">IF(L37&lt;0,L37*-1,0)</f>
        <v>4.81646080161331</v>
      </c>
      <c r="AM37" s="135" t="n">
        <f aca="false">AK37+AL37</f>
        <v>48.1164608016133</v>
      </c>
      <c r="AN37" s="281"/>
      <c r="AO37" s="136"/>
      <c r="AP37" s="136"/>
      <c r="AQ37" s="158" t="n">
        <f aca="false">18.67*(Z37*1.9835+AC37*1.9835)/E37</f>
        <v>0</v>
      </c>
      <c r="AR37" s="158"/>
      <c r="AS37" s="158"/>
      <c r="AT37" s="107"/>
      <c r="AU37" s="176"/>
      <c r="AV37" s="179" t="n">
        <f aca="false">O37</f>
        <v>6.615</v>
      </c>
      <c r="AW37" s="320" t="n">
        <v>0</v>
      </c>
      <c r="AX37" s="215" t="n">
        <v>70</v>
      </c>
      <c r="AY37" s="221" t="n">
        <v>47</v>
      </c>
      <c r="AZ37" s="299"/>
      <c r="BA37" s="250" t="n">
        <f aca="false">SUM(N37,P37:U37)</f>
        <v>4.87940982391337</v>
      </c>
    </row>
    <row r="38" customFormat="false" ht="12.95" hidden="false" customHeight="true" outlineLevel="0" collapsed="false">
      <c r="A38" s="183" t="n">
        <f aca="false">A37+1</f>
        <v>24</v>
      </c>
      <c r="B38" s="106" t="n">
        <v>6872.94</v>
      </c>
      <c r="C38" s="107" t="n">
        <v>195788</v>
      </c>
      <c r="D38" s="215" t="n">
        <f aca="false">C38-C37</f>
        <v>-82</v>
      </c>
      <c r="E38" s="107" t="n">
        <f aca="false">C38-152000</f>
        <v>43788</v>
      </c>
      <c r="F38" s="246" t="n">
        <f aca="false">D38/$D$2</f>
        <v>-41.3410637761533</v>
      </c>
      <c r="G38" s="135" t="n">
        <v>31</v>
      </c>
      <c r="H38" s="563" t="n">
        <v>0</v>
      </c>
      <c r="I38" s="135" t="n">
        <f aca="false">G38+H38</f>
        <v>31</v>
      </c>
      <c r="J38" s="136" t="n">
        <f aca="false">IF(L38&gt;0,L38,0)</f>
        <v>0</v>
      </c>
      <c r="K38" s="135" t="n">
        <f aca="false">I38+J38</f>
        <v>31</v>
      </c>
      <c r="L38" s="135" t="n">
        <f aca="false">F38-(I38-AK38)</f>
        <v>-28.9410637761533</v>
      </c>
      <c r="M38" s="248" t="n">
        <v>4.4</v>
      </c>
      <c r="N38" s="158" t="n">
        <f aca="false">(1.8299*1.03)/2</f>
        <v>0.9423985</v>
      </c>
      <c r="O38" s="135" t="n">
        <f aca="false">10*1.05</f>
        <v>10.5</v>
      </c>
      <c r="P38" s="158" t="n">
        <v>0</v>
      </c>
      <c r="Q38" s="336" t="n">
        <f aca="false">1066200/325851/1.9835*1.02</f>
        <v>1.68262596761071</v>
      </c>
      <c r="R38" s="131" t="n">
        <f aca="false">(2.2*1.04)-T38</f>
        <v>1.70092</v>
      </c>
      <c r="S38" s="131" t="n">
        <v>0</v>
      </c>
      <c r="T38" s="131" t="n">
        <f aca="false">0.5645*1.04</f>
        <v>0.58708</v>
      </c>
      <c r="U38" s="355" t="n">
        <v>0</v>
      </c>
      <c r="V38" s="135" t="n">
        <v>0</v>
      </c>
      <c r="W38" s="135" t="n">
        <v>0</v>
      </c>
      <c r="X38" s="135" t="n">
        <f aca="false">M38-N38-O38-P38-Q38-R38-S38-T38-U38+V38+W38-AU38+AR38</f>
        <v>-11.0130244676107</v>
      </c>
      <c r="Y38" s="135" t="n">
        <f aca="false">X38-AO38</f>
        <v>-11.0130244676107</v>
      </c>
      <c r="Z38" s="107"/>
      <c r="AA38" s="135"/>
      <c r="AB38" s="107"/>
      <c r="AC38" s="107"/>
      <c r="AD38" s="107"/>
      <c r="AE38" s="135" t="n">
        <v>0</v>
      </c>
      <c r="AF38" s="137" t="n">
        <v>1.7</v>
      </c>
      <c r="AG38" s="138" t="n">
        <v>1.3</v>
      </c>
      <c r="AH38" s="135" t="n">
        <v>39</v>
      </c>
      <c r="AI38" s="107" t="n">
        <f aca="false">AI37-AH38</f>
        <v>4551.25787748929</v>
      </c>
      <c r="AJ38" s="107"/>
      <c r="AK38" s="134" t="n">
        <f aca="false">N38+O38+P38+Q38+R38+S38+T38+U38+X38+AE38+AH38</f>
        <v>43.4</v>
      </c>
      <c r="AL38" s="135" t="n">
        <f aca="false">IF(L38&lt;0,L38*-1,0)</f>
        <v>28.9410637761533</v>
      </c>
      <c r="AM38" s="135" t="n">
        <f aca="false">AK38+AL38</f>
        <v>72.3410637761533</v>
      </c>
      <c r="AN38" s="281"/>
      <c r="AO38" s="136"/>
      <c r="AP38" s="136"/>
      <c r="AQ38" s="158" t="n">
        <f aca="false">18.67*(Z38*1.9835+AC38*1.9835)/E38</f>
        <v>0</v>
      </c>
      <c r="AR38" s="158"/>
      <c r="AS38" s="158"/>
      <c r="AT38" s="107"/>
      <c r="AU38" s="176"/>
      <c r="AV38" s="179" t="n">
        <f aca="false">O38</f>
        <v>10.5</v>
      </c>
      <c r="AW38" s="320" t="n">
        <v>0</v>
      </c>
      <c r="AX38" s="215" t="n">
        <v>66</v>
      </c>
      <c r="AY38" s="221" t="n">
        <v>34</v>
      </c>
      <c r="AZ38" s="299"/>
      <c r="BA38" s="250" t="n">
        <f aca="false">SUM(N38,P38:U38)</f>
        <v>4.91302446761071</v>
      </c>
    </row>
    <row r="39" customFormat="false" ht="12.95" hidden="false" customHeight="true" outlineLevel="0" collapsed="false">
      <c r="A39" s="183" t="n">
        <v>25</v>
      </c>
      <c r="B39" s="106" t="n">
        <v>6872.89</v>
      </c>
      <c r="C39" s="107" t="n">
        <v>195650</v>
      </c>
      <c r="D39" s="215" t="n">
        <f aca="false">C39-C38</f>
        <v>-138</v>
      </c>
      <c r="E39" s="107" t="n">
        <f aca="false">C39-152000</f>
        <v>43650</v>
      </c>
      <c r="F39" s="246" t="n">
        <f aca="false">D39/$D$2</f>
        <v>-69.5739853793799</v>
      </c>
      <c r="G39" s="135" t="n">
        <v>32</v>
      </c>
      <c r="H39" s="563" t="n">
        <v>0</v>
      </c>
      <c r="I39" s="135" t="n">
        <f aca="false">G39+H39</f>
        <v>32</v>
      </c>
      <c r="J39" s="136" t="n">
        <f aca="false">IF(L39&gt;0,L39,0)</f>
        <v>0</v>
      </c>
      <c r="K39" s="135" t="n">
        <f aca="false">I39+J39</f>
        <v>32</v>
      </c>
      <c r="L39" s="135" t="n">
        <f aca="false">F39-(I39-AK39)</f>
        <v>-28.5739853793799</v>
      </c>
      <c r="M39" s="248" t="n">
        <v>34</v>
      </c>
      <c r="N39" s="158" t="n">
        <f aca="false">(1.8299*1.03)/2</f>
        <v>0.9423985</v>
      </c>
      <c r="O39" s="135" t="n">
        <f aca="false">13*1.05</f>
        <v>13.65</v>
      </c>
      <c r="P39" s="158" t="n">
        <v>0</v>
      </c>
      <c r="Q39" s="336" t="n">
        <f aca="false">1075800/325851/1.9835*1.02</f>
        <v>1.69777622955881</v>
      </c>
      <c r="R39" s="131" t="n">
        <f aca="false">(3.3*1.04)-T39</f>
        <v>2.84492</v>
      </c>
      <c r="S39" s="131" t="n">
        <v>0</v>
      </c>
      <c r="T39" s="131" t="n">
        <f aca="false">0.5645*1.04</f>
        <v>0.58708</v>
      </c>
      <c r="U39" s="355" t="n">
        <v>0</v>
      </c>
      <c r="V39" s="135" t="n">
        <v>0</v>
      </c>
      <c r="W39" s="135" t="n">
        <v>0</v>
      </c>
      <c r="X39" s="135" t="n">
        <f aca="false">M39-N39-O39-P39-Q39-R39-S39-T39-U39+V39+W39-AU39+AR39</f>
        <v>14.2778252704412</v>
      </c>
      <c r="Y39" s="135" t="n">
        <f aca="false">X39-AO39</f>
        <v>14.2778252704412</v>
      </c>
      <c r="Z39" s="107"/>
      <c r="AA39" s="135"/>
      <c r="AB39" s="107"/>
      <c r="AC39" s="107"/>
      <c r="AD39" s="107"/>
      <c r="AE39" s="135" t="n">
        <v>0</v>
      </c>
      <c r="AF39" s="137" t="n">
        <v>1.7</v>
      </c>
      <c r="AG39" s="138" t="n">
        <v>1.3</v>
      </c>
      <c r="AH39" s="135" t="n">
        <v>39</v>
      </c>
      <c r="AI39" s="107" t="n">
        <f aca="false">AI38-AH39</f>
        <v>4512.25787748929</v>
      </c>
      <c r="AJ39" s="107"/>
      <c r="AK39" s="134" t="n">
        <f aca="false">N39+O39+P39+Q39+R39+S39+T39+U39+X39+AE39+AH39</f>
        <v>73</v>
      </c>
      <c r="AL39" s="135" t="n">
        <f aca="false">IF(L39&lt;0,L39*-1,0)</f>
        <v>28.5739853793799</v>
      </c>
      <c r="AM39" s="135" t="n">
        <f aca="false">AK39+AL39</f>
        <v>101.57398537938</v>
      </c>
      <c r="AN39" s="281"/>
      <c r="AO39" s="136"/>
      <c r="AP39" s="136"/>
      <c r="AQ39" s="158" t="n">
        <f aca="false">18.67*(Z39*1.9835+AC39*1.9835)/E39</f>
        <v>0</v>
      </c>
      <c r="AR39" s="158"/>
      <c r="AS39" s="158"/>
      <c r="AT39" s="107"/>
      <c r="AU39" s="176"/>
      <c r="AV39" s="179" t="n">
        <f aca="false">O39</f>
        <v>13.65</v>
      </c>
      <c r="AW39" s="320" t="n">
        <v>0</v>
      </c>
      <c r="AX39" s="215" t="n">
        <v>52</v>
      </c>
      <c r="AY39" s="221" t="n">
        <v>23</v>
      </c>
      <c r="AZ39" s="299"/>
      <c r="BA39" s="250" t="n">
        <f aca="false">SUM(N39,P39:U39)</f>
        <v>6.07217472955881</v>
      </c>
    </row>
    <row r="40" customFormat="false" ht="12.95" hidden="false" customHeight="true" outlineLevel="0" collapsed="false">
      <c r="A40" s="183" t="n">
        <v>26</v>
      </c>
      <c r="B40" s="106" t="n">
        <v>6872.83</v>
      </c>
      <c r="C40" s="107" t="n">
        <v>195485</v>
      </c>
      <c r="D40" s="215" t="n">
        <f aca="false">C40-C39</f>
        <v>-165</v>
      </c>
      <c r="E40" s="107" t="n">
        <f aca="false">C40-152000</f>
        <v>43485</v>
      </c>
      <c r="F40" s="246" t="n">
        <f aca="false">D40/$D$2</f>
        <v>-83.1862868666499</v>
      </c>
      <c r="G40" s="135" t="n">
        <v>30</v>
      </c>
      <c r="H40" s="563" t="n">
        <v>0</v>
      </c>
      <c r="I40" s="135" t="n">
        <f aca="false">G40+H40</f>
        <v>30</v>
      </c>
      <c r="J40" s="136" t="n">
        <f aca="false">IF(L40&gt;0,L40,0)</f>
        <v>0</v>
      </c>
      <c r="K40" s="135" t="n">
        <f aca="false">I40+J40</f>
        <v>30</v>
      </c>
      <c r="L40" s="135" t="n">
        <f aca="false">F40-(I40-AK40)</f>
        <v>-21.1862868666499</v>
      </c>
      <c r="M40" s="248" t="n">
        <v>53</v>
      </c>
      <c r="N40" s="158" t="n">
        <f aca="false">(1.8299*1.03)/2</f>
        <v>0.9423985</v>
      </c>
      <c r="O40" s="135" t="n">
        <f aca="false">20*1.05</f>
        <v>21</v>
      </c>
      <c r="P40" s="158" t="n">
        <v>0</v>
      </c>
      <c r="Q40" s="336" t="n">
        <f aca="false">965300/325851/1.9835*1.02</f>
        <v>1.52339040192705</v>
      </c>
      <c r="R40" s="131" t="n">
        <f aca="false">(3.3*1.04)-T40</f>
        <v>2.827552</v>
      </c>
      <c r="S40" s="131" t="n">
        <v>0</v>
      </c>
      <c r="T40" s="131" t="n">
        <f aca="false">0.5812*1.04</f>
        <v>0.604448</v>
      </c>
      <c r="U40" s="355" t="n">
        <v>0</v>
      </c>
      <c r="V40" s="135" t="n">
        <v>0</v>
      </c>
      <c r="W40" s="135" t="n">
        <v>0</v>
      </c>
      <c r="X40" s="135" t="n">
        <f aca="false">M40-N40-O40-P40-Q40-R40-S40-T40-U40+V40+W40-AU40+AR40</f>
        <v>26.1022110980729</v>
      </c>
      <c r="Y40" s="135" t="n">
        <f aca="false">X40-AO40</f>
        <v>26.1022110980729</v>
      </c>
      <c r="Z40" s="107"/>
      <c r="AA40" s="135"/>
      <c r="AB40" s="107"/>
      <c r="AC40" s="107"/>
      <c r="AD40" s="107"/>
      <c r="AE40" s="135" t="n">
        <v>0</v>
      </c>
      <c r="AF40" s="137" t="n">
        <v>1.7</v>
      </c>
      <c r="AG40" s="138" t="n">
        <v>1.3</v>
      </c>
      <c r="AH40" s="135" t="n">
        <v>39</v>
      </c>
      <c r="AI40" s="107" t="n">
        <f aca="false">AI39-AH40</f>
        <v>4473.25787748929</v>
      </c>
      <c r="AJ40" s="107"/>
      <c r="AK40" s="134" t="n">
        <f aca="false">N40+O40+P40+Q40+R40+S40+T40+U40+X40+AE40+AH40</f>
        <v>92</v>
      </c>
      <c r="AL40" s="135" t="n">
        <f aca="false">IF(L40&lt;0,L40*-1,0)</f>
        <v>21.1862868666499</v>
      </c>
      <c r="AM40" s="135" t="n">
        <f aca="false">AK40+AL40</f>
        <v>113.18628686665</v>
      </c>
      <c r="AN40" s="281"/>
      <c r="AO40" s="136"/>
      <c r="AP40" s="136"/>
      <c r="AQ40" s="158" t="n">
        <f aca="false">18.67*(Z40*1.9835+AC40*1.9835)/E40</f>
        <v>0</v>
      </c>
      <c r="AR40" s="158"/>
      <c r="AS40" s="158"/>
      <c r="AT40" s="107"/>
      <c r="AU40" s="176"/>
      <c r="AV40" s="179" t="n">
        <f aca="false">O40</f>
        <v>21</v>
      </c>
      <c r="AW40" s="320" t="n">
        <v>0</v>
      </c>
      <c r="AX40" s="215" t="n">
        <v>54</v>
      </c>
      <c r="AY40" s="221" t="n">
        <v>19</v>
      </c>
      <c r="AZ40" s="299"/>
      <c r="BA40" s="250" t="n">
        <f aca="false">SUM(N40,P40:U40)</f>
        <v>5.89778890192705</v>
      </c>
    </row>
    <row r="41" customFormat="false" ht="12.95" hidden="false" customHeight="true" outlineLevel="0" collapsed="false">
      <c r="A41" s="183" t="n">
        <v>27</v>
      </c>
      <c r="B41" s="106" t="n">
        <v>6872.79</v>
      </c>
      <c r="C41" s="107" t="n">
        <v>195375</v>
      </c>
      <c r="D41" s="215" t="n">
        <f aca="false">C41-C40</f>
        <v>-110</v>
      </c>
      <c r="E41" s="107" t="n">
        <f aca="false">C41-152000</f>
        <v>43375</v>
      </c>
      <c r="F41" s="246" t="n">
        <f aca="false">D41/$D$2</f>
        <v>-55.4575245777666</v>
      </c>
      <c r="G41" s="135" t="n">
        <v>27</v>
      </c>
      <c r="H41" s="563" t="n">
        <v>0</v>
      </c>
      <c r="I41" s="135" t="n">
        <f aca="false">G41+H41</f>
        <v>27</v>
      </c>
      <c r="J41" s="136" t="n">
        <f aca="false">IF(L41&gt;0,L41,0)</f>
        <v>0</v>
      </c>
      <c r="K41" s="135" t="n">
        <f aca="false">I41+J41</f>
        <v>27</v>
      </c>
      <c r="L41" s="135" t="n">
        <f aca="false">F41-(I41-AK41)</f>
        <v>-18.4575245777666</v>
      </c>
      <c r="M41" s="248" t="n">
        <v>25</v>
      </c>
      <c r="N41" s="158" t="n">
        <f aca="false">(1.8299*1.03)/2</f>
        <v>0.9423985</v>
      </c>
      <c r="O41" s="135" t="n">
        <f aca="false">22*1.05</f>
        <v>23.1</v>
      </c>
      <c r="P41" s="158" t="n">
        <v>0</v>
      </c>
      <c r="Q41" s="336" t="n">
        <f aca="false">1073300/325851/1.9835*1.02</f>
        <v>1.69383084884316</v>
      </c>
      <c r="R41" s="131" t="n">
        <f aca="false">(3.3*1.04)-T41</f>
        <v>2.827552</v>
      </c>
      <c r="S41" s="131" t="n">
        <v>0</v>
      </c>
      <c r="T41" s="131" t="n">
        <f aca="false">0.5812*1.04</f>
        <v>0.604448</v>
      </c>
      <c r="U41" s="355" t="n">
        <v>0</v>
      </c>
      <c r="V41" s="135" t="n">
        <v>0</v>
      </c>
      <c r="W41" s="135" t="n">
        <v>0</v>
      </c>
      <c r="X41" s="135" t="n">
        <f aca="false">M41-N41-O41-P41-Q41-R41-S41-T41-U41+V41+W41-AU41+AR41</f>
        <v>-4.16822934884316</v>
      </c>
      <c r="Y41" s="135" t="n">
        <f aca="false">X41-AO41</f>
        <v>-4.16822934884316</v>
      </c>
      <c r="Z41" s="107"/>
      <c r="AA41" s="135"/>
      <c r="AB41" s="107"/>
      <c r="AC41" s="107"/>
      <c r="AD41" s="107"/>
      <c r="AE41" s="135" t="n">
        <v>0</v>
      </c>
      <c r="AF41" s="137" t="n">
        <v>1.7</v>
      </c>
      <c r="AG41" s="138" t="n">
        <v>1.3</v>
      </c>
      <c r="AH41" s="135" t="n">
        <v>39</v>
      </c>
      <c r="AI41" s="107" t="n">
        <f aca="false">AI40-AH41</f>
        <v>4434.25787748929</v>
      </c>
      <c r="AJ41" s="107"/>
      <c r="AK41" s="134" t="n">
        <f aca="false">N41+O41+P41+Q41+R41+S41+T41+U41+X41+AE41+AH41</f>
        <v>64</v>
      </c>
      <c r="AL41" s="135" t="n">
        <f aca="false">IF(L41&lt;0,L41*-1,0)</f>
        <v>18.4575245777666</v>
      </c>
      <c r="AM41" s="135" t="n">
        <f aca="false">AK41+AL41</f>
        <v>82.4575245777666</v>
      </c>
      <c r="AN41" s="281"/>
      <c r="AO41" s="136"/>
      <c r="AP41" s="136"/>
      <c r="AQ41" s="158" t="n">
        <f aca="false">18.67*(Z41*1.9835+AC41*1.9835)/E41</f>
        <v>0</v>
      </c>
      <c r="AR41" s="158"/>
      <c r="AS41" s="158"/>
      <c r="AT41" s="107"/>
      <c r="AU41" s="176"/>
      <c r="AV41" s="179" t="n">
        <f aca="false">O41</f>
        <v>23.1</v>
      </c>
      <c r="AW41" s="320" t="n">
        <v>0</v>
      </c>
      <c r="AX41" s="215" t="n">
        <v>61</v>
      </c>
      <c r="AY41" s="221" t="n">
        <v>19</v>
      </c>
      <c r="AZ41" s="299"/>
      <c r="BA41" s="250" t="n">
        <f aca="false">SUM(N41,P41:U41)</f>
        <v>6.06822934884316</v>
      </c>
    </row>
    <row r="42" customFormat="false" ht="12.95" hidden="false" customHeight="true" outlineLevel="0" collapsed="false">
      <c r="A42" s="183" t="n">
        <v>28</v>
      </c>
      <c r="B42" s="106" t="n">
        <v>6872.77</v>
      </c>
      <c r="C42" s="107" t="n">
        <v>195320</v>
      </c>
      <c r="D42" s="215" t="n">
        <f aca="false">C42-C41</f>
        <v>-55</v>
      </c>
      <c r="E42" s="107" t="n">
        <f aca="false">C42-152000</f>
        <v>43320</v>
      </c>
      <c r="F42" s="246" t="n">
        <f aca="false">D42/$D$2</f>
        <v>-27.7287622888833</v>
      </c>
      <c r="G42" s="135" t="n">
        <v>27</v>
      </c>
      <c r="H42" s="563" t="n">
        <v>0</v>
      </c>
      <c r="I42" s="135" t="n">
        <f aca="false">G42+H42</f>
        <v>27</v>
      </c>
      <c r="J42" s="136" t="n">
        <f aca="false">IF(L42&gt;0,L42,0)</f>
        <v>0</v>
      </c>
      <c r="K42" s="135" t="n">
        <f aca="false">I42+J42</f>
        <v>27</v>
      </c>
      <c r="L42" s="135" t="n">
        <f aca="false">F42-(I42-AK42)</f>
        <v>-10.7287622888833</v>
      </c>
      <c r="M42" s="248" t="n">
        <v>5</v>
      </c>
      <c r="N42" s="158" t="n">
        <f aca="false">(1.8299*1.03)/2</f>
        <v>0.9423985</v>
      </c>
      <c r="O42" s="135" t="n">
        <f aca="false">13*1.05</f>
        <v>13.65</v>
      </c>
      <c r="P42" s="158" t="n">
        <v>0</v>
      </c>
      <c r="Q42" s="336" t="n">
        <f aca="false">1206200/325851/1.9835*1.02</f>
        <v>1.90356728768715</v>
      </c>
      <c r="R42" s="131" t="n">
        <f aca="false">(3.1*1.04)-T42</f>
        <v>2.619552</v>
      </c>
      <c r="S42" s="131" t="n">
        <v>0</v>
      </c>
      <c r="T42" s="131" t="n">
        <f aca="false">0.5812*1.04</f>
        <v>0.604448</v>
      </c>
      <c r="U42" s="355" t="n">
        <v>0</v>
      </c>
      <c r="V42" s="135" t="n">
        <v>0</v>
      </c>
      <c r="W42" s="135" t="n">
        <v>0</v>
      </c>
      <c r="X42" s="135" t="n">
        <f aca="false">M42-N42-O42-P42-Q42-R42-S42-T42-U42+V42+W42-AU42+AR42</f>
        <v>-14.7199657876872</v>
      </c>
      <c r="Y42" s="135" t="n">
        <f aca="false">X42-AO42</f>
        <v>-14.7199657876872</v>
      </c>
      <c r="Z42" s="107"/>
      <c r="AA42" s="135"/>
      <c r="AB42" s="107"/>
      <c r="AC42" s="107"/>
      <c r="AD42" s="107"/>
      <c r="AE42" s="135" t="n">
        <v>0</v>
      </c>
      <c r="AF42" s="137" t="n">
        <v>1.7</v>
      </c>
      <c r="AG42" s="138" t="n">
        <v>1.3</v>
      </c>
      <c r="AH42" s="135" t="n">
        <v>39</v>
      </c>
      <c r="AI42" s="107" t="n">
        <f aca="false">AI41-AH42</f>
        <v>4395.25787748929</v>
      </c>
      <c r="AJ42" s="107"/>
      <c r="AK42" s="134" t="n">
        <f aca="false">N42+O42+P42+Q42+R42+S42+T42+U42+X42+AE42+AH42</f>
        <v>44</v>
      </c>
      <c r="AL42" s="135" t="n">
        <f aca="false">IF(L42&lt;0,L42*-1,0)</f>
        <v>10.7287622888833</v>
      </c>
      <c r="AM42" s="135" t="n">
        <f aca="false">AK42+AL42</f>
        <v>54.7287622888833</v>
      </c>
      <c r="AN42" s="281"/>
      <c r="AO42" s="136"/>
      <c r="AP42" s="136"/>
      <c r="AQ42" s="158" t="n">
        <f aca="false">18.67*(Z42*1.9835+AC42*1.9835)/E42</f>
        <v>0</v>
      </c>
      <c r="AR42" s="158"/>
      <c r="AS42" s="158"/>
      <c r="AT42" s="107"/>
      <c r="AU42" s="176"/>
      <c r="AV42" s="179" t="n">
        <f aca="false">O42</f>
        <v>13.65</v>
      </c>
      <c r="AW42" s="320" t="n">
        <v>0</v>
      </c>
      <c r="AX42" s="215" t="n">
        <v>66</v>
      </c>
      <c r="AY42" s="221" t="n">
        <v>31</v>
      </c>
      <c r="AZ42" s="299"/>
      <c r="BA42" s="250" t="n">
        <f aca="false">SUM(N42,P42:U42)</f>
        <v>6.06996578768715</v>
      </c>
    </row>
    <row r="43" customFormat="false" ht="12.95" hidden="false" customHeight="true" outlineLevel="0" collapsed="false">
      <c r="A43" s="183" t="n">
        <v>29</v>
      </c>
      <c r="B43" s="106" t="n">
        <v>6872.75</v>
      </c>
      <c r="C43" s="107" t="n">
        <v>195265</v>
      </c>
      <c r="D43" s="215" t="n">
        <f aca="false">C43-C42</f>
        <v>-55</v>
      </c>
      <c r="E43" s="107" t="n">
        <f aca="false">C43-152000</f>
        <v>43265</v>
      </c>
      <c r="F43" s="246" t="n">
        <f aca="false">D43/$D$2</f>
        <v>-27.7287622888833</v>
      </c>
      <c r="G43" s="135" t="n">
        <v>30</v>
      </c>
      <c r="H43" s="563" t="n">
        <v>0</v>
      </c>
      <c r="I43" s="135" t="n">
        <f aca="false">G43+H43</f>
        <v>30</v>
      </c>
      <c r="J43" s="136" t="n">
        <f aca="false">IF(L43&gt;0,L43,0)</f>
        <v>0</v>
      </c>
      <c r="K43" s="135" t="n">
        <f aca="false">I43+J43</f>
        <v>30</v>
      </c>
      <c r="L43" s="135" t="n">
        <f aca="false">F43-(I43-AK43)</f>
        <v>-14.4287622888833</v>
      </c>
      <c r="M43" s="248" t="n">
        <v>4.3</v>
      </c>
      <c r="N43" s="158" t="n">
        <f aca="false">(1.8299*1.03)/2</f>
        <v>0.9423985</v>
      </c>
      <c r="O43" s="135" t="n">
        <f aca="false">10*1.05</f>
        <v>10.5</v>
      </c>
      <c r="P43" s="158" t="n">
        <v>0</v>
      </c>
      <c r="Q43" s="336" t="n">
        <f aca="false">1141600/325851/1.9835*1.02</f>
        <v>1.80161864999474</v>
      </c>
      <c r="R43" s="131" t="n">
        <f aca="false">(3*1.04)-T43</f>
        <v>2.515552</v>
      </c>
      <c r="S43" s="131" t="n">
        <v>0</v>
      </c>
      <c r="T43" s="131" t="n">
        <f aca="false">0.5812*1.04</f>
        <v>0.604448</v>
      </c>
      <c r="U43" s="355" t="n">
        <v>0</v>
      </c>
      <c r="V43" s="135" t="n">
        <v>0</v>
      </c>
      <c r="W43" s="135" t="n">
        <v>0</v>
      </c>
      <c r="X43" s="135" t="n">
        <f aca="false">M43-N43-O43-P43-Q43-R43-S43-T43-U43+V43+W43-AU43+AR43</f>
        <v>-12.0640171499947</v>
      </c>
      <c r="Y43" s="135" t="n">
        <f aca="false">X43-AO43</f>
        <v>-12.0640171499947</v>
      </c>
      <c r="Z43" s="107"/>
      <c r="AA43" s="135"/>
      <c r="AB43" s="107"/>
      <c r="AC43" s="107"/>
      <c r="AD43" s="107"/>
      <c r="AE43" s="135" t="n">
        <v>0</v>
      </c>
      <c r="AF43" s="137" t="n">
        <v>1.7</v>
      </c>
      <c r="AG43" s="138" t="n">
        <v>1.3</v>
      </c>
      <c r="AH43" s="135" t="n">
        <v>39</v>
      </c>
      <c r="AI43" s="107" t="n">
        <f aca="false">AI42-AH43</f>
        <v>4356.25787748929</v>
      </c>
      <c r="AJ43" s="107"/>
      <c r="AK43" s="134" t="n">
        <f aca="false">N43+O43+P43+Q43+R43+S43+T43+U43+X43+AE43+AH43</f>
        <v>43.3</v>
      </c>
      <c r="AL43" s="135" t="n">
        <f aca="false">IF(L43&lt;0,L43*-1,0)</f>
        <v>14.4287622888833</v>
      </c>
      <c r="AM43" s="135" t="n">
        <f aca="false">AK43+AL43</f>
        <v>57.7287622888833</v>
      </c>
      <c r="AN43" s="281"/>
      <c r="AO43" s="136"/>
      <c r="AP43" s="136"/>
      <c r="AQ43" s="158" t="n">
        <f aca="false">18.67*(Z43*1.9835+AC43*1.9835)/E43</f>
        <v>0</v>
      </c>
      <c r="AR43" s="158"/>
      <c r="AS43" s="158"/>
      <c r="AT43" s="107"/>
      <c r="AU43" s="176"/>
      <c r="AV43" s="179" t="n">
        <f aca="false">O43</f>
        <v>10.5</v>
      </c>
      <c r="AW43" s="320" t="n">
        <v>0</v>
      </c>
      <c r="AX43" s="215" t="n">
        <v>69</v>
      </c>
      <c r="AY43" s="221" t="n">
        <v>34</v>
      </c>
      <c r="AZ43" s="299"/>
      <c r="BA43" s="250" t="n">
        <f aca="false">SUM(N43,P43:U43)</f>
        <v>5.86401714999474</v>
      </c>
    </row>
    <row r="44" customFormat="false" ht="12.95" hidden="false" customHeight="true" outlineLevel="0" collapsed="false">
      <c r="A44" s="183" t="n">
        <v>30</v>
      </c>
      <c r="B44" s="106" t="n">
        <v>6872.73</v>
      </c>
      <c r="C44" s="107" t="n">
        <v>195210</v>
      </c>
      <c r="D44" s="215" t="n">
        <f aca="false">C44-C43</f>
        <v>-55</v>
      </c>
      <c r="E44" s="107" t="n">
        <f aca="false">C44-152000</f>
        <v>43210</v>
      </c>
      <c r="F44" s="246" t="n">
        <f aca="false">D44/$D$2</f>
        <v>-27.7287622888833</v>
      </c>
      <c r="G44" s="135" t="n">
        <v>30</v>
      </c>
      <c r="H44" s="563" t="n">
        <v>0</v>
      </c>
      <c r="I44" s="135" t="n">
        <f aca="false">G44+H44</f>
        <v>30</v>
      </c>
      <c r="J44" s="136" t="n">
        <f aca="false">IF(L44&gt;0,L44,0)</f>
        <v>0</v>
      </c>
      <c r="K44" s="135" t="n">
        <f aca="false">I44+J44</f>
        <v>30</v>
      </c>
      <c r="L44" s="135" t="n">
        <f aca="false">F44-(I44-AK44)</f>
        <v>-14.8287622888833</v>
      </c>
      <c r="M44" s="248" t="n">
        <v>3.9</v>
      </c>
      <c r="N44" s="158" t="n">
        <f aca="false">(1.8299*1.03)/2</f>
        <v>0.9423985</v>
      </c>
      <c r="O44" s="135" t="n">
        <f aca="false">23*1.05</f>
        <v>24.15</v>
      </c>
      <c r="P44" s="158" t="n">
        <v>0</v>
      </c>
      <c r="Q44" s="336" t="n">
        <f aca="false">971400/325851/1.9835*1.02</f>
        <v>1.53301713087324</v>
      </c>
      <c r="R44" s="131" t="n">
        <f aca="false">(2.3*1.04)-T44</f>
        <v>1.787552</v>
      </c>
      <c r="S44" s="131" t="n">
        <v>0</v>
      </c>
      <c r="T44" s="131" t="n">
        <f aca="false">0.5812*1.04</f>
        <v>0.604448</v>
      </c>
      <c r="U44" s="355" t="n">
        <v>0</v>
      </c>
      <c r="V44" s="135" t="n">
        <v>0</v>
      </c>
      <c r="W44" s="135" t="n">
        <v>0</v>
      </c>
      <c r="X44" s="135" t="n">
        <f aca="false">M44-N44-O44-P44-Q44-R44-S44-T44-U44+V44+W44-AU44+AR44</f>
        <v>-25.1174156308732</v>
      </c>
      <c r="Y44" s="135" t="n">
        <f aca="false">X44-AO44</f>
        <v>-25.1174156308732</v>
      </c>
      <c r="Z44" s="107"/>
      <c r="AA44" s="135"/>
      <c r="AB44" s="107"/>
      <c r="AC44" s="107"/>
      <c r="AD44" s="107"/>
      <c r="AE44" s="135" t="n">
        <v>0</v>
      </c>
      <c r="AF44" s="137" t="n">
        <v>1.7</v>
      </c>
      <c r="AG44" s="138" t="n">
        <v>1.3</v>
      </c>
      <c r="AH44" s="135" t="n">
        <v>39</v>
      </c>
      <c r="AI44" s="107" t="n">
        <f aca="false">AI43-AH44</f>
        <v>4317.25787748929</v>
      </c>
      <c r="AJ44" s="107"/>
      <c r="AK44" s="134" t="n">
        <f aca="false">N44+O44+P44+Q44+R44+S44+T44+U44+X44+AE44+AH44</f>
        <v>42.9</v>
      </c>
      <c r="AL44" s="135" t="n">
        <f aca="false">IF(L44&lt;0,L44*-1,0)</f>
        <v>14.8287622888833</v>
      </c>
      <c r="AM44" s="135" t="n">
        <f aca="false">AK44+AL44</f>
        <v>57.7287622888833</v>
      </c>
      <c r="AN44" s="281"/>
      <c r="AO44" s="136"/>
      <c r="AP44" s="136"/>
      <c r="AQ44" s="158" t="n">
        <f aca="false">18.67*(Z44*1.9835+AC44*1.9835)/E44</f>
        <v>0</v>
      </c>
      <c r="AR44" s="158"/>
      <c r="AS44" s="158"/>
      <c r="AT44" s="107"/>
      <c r="AU44" s="176"/>
      <c r="AV44" s="179" t="n">
        <f aca="false">O44</f>
        <v>24.15</v>
      </c>
      <c r="AW44" s="320" t="n">
        <v>0</v>
      </c>
      <c r="AX44" s="215" t="n">
        <v>70</v>
      </c>
      <c r="AY44" s="221" t="n">
        <v>36</v>
      </c>
      <c r="AZ44" s="299"/>
      <c r="BA44" s="250" t="n">
        <f aca="false">SUM(N44,P44:U44)</f>
        <v>4.86741563087324</v>
      </c>
    </row>
    <row r="45" customFormat="false" ht="12.95" hidden="false" customHeight="true" outlineLevel="0" collapsed="false">
      <c r="A45" s="183" t="n">
        <v>31</v>
      </c>
      <c r="B45" s="106" t="n">
        <v>6872.71</v>
      </c>
      <c r="C45" s="107" t="n">
        <v>195155</v>
      </c>
      <c r="D45" s="215" t="n">
        <f aca="false">C45-C44</f>
        <v>-55</v>
      </c>
      <c r="E45" s="107" t="n">
        <f aca="false">C45-152000</f>
        <v>43155</v>
      </c>
      <c r="F45" s="246" t="n">
        <f aca="false">D45/$D$2</f>
        <v>-27.7287622888833</v>
      </c>
      <c r="G45" s="135" t="n">
        <v>30</v>
      </c>
      <c r="H45" s="563" t="n">
        <v>0</v>
      </c>
      <c r="I45" s="135" t="n">
        <f aca="false">G45+H45</f>
        <v>30</v>
      </c>
      <c r="J45" s="136" t="n">
        <f aca="false">IF(L45&gt;0,L45,0)</f>
        <v>0</v>
      </c>
      <c r="K45" s="135" t="n">
        <f aca="false">I45+J45</f>
        <v>30</v>
      </c>
      <c r="L45" s="135" t="n">
        <f aca="false">F45-(I45-AK45)</f>
        <v>-16.5187622888833</v>
      </c>
      <c r="M45" s="248" t="n">
        <v>4.2</v>
      </c>
      <c r="N45" s="158" t="n">
        <f aca="false">(1.8299*1.03)/2</f>
        <v>0.9423985</v>
      </c>
      <c r="O45" s="135" t="n">
        <f aca="false">(30+4.6+3.91)*1.05</f>
        <v>40.4355</v>
      </c>
      <c r="P45" s="158" t="n">
        <v>0</v>
      </c>
      <c r="Q45" s="336" t="n">
        <f aca="false">1194300/325851/1.9835*1.02</f>
        <v>1.88478727548066</v>
      </c>
      <c r="R45" s="131" t="n">
        <f aca="false">(2.3*1.04)-T45</f>
        <v>1.787552</v>
      </c>
      <c r="S45" s="131" t="n">
        <v>0</v>
      </c>
      <c r="T45" s="131" t="n">
        <f aca="false">0.5812*1.04</f>
        <v>0.604448</v>
      </c>
      <c r="U45" s="355" t="n">
        <v>0</v>
      </c>
      <c r="V45" s="135" t="n">
        <v>0</v>
      </c>
      <c r="W45" s="135" t="n">
        <v>0.01</v>
      </c>
      <c r="X45" s="135" t="n">
        <f aca="false">M45-N45-O45-P45-Q45-R45-S45-T45-U45+V45+W45-AU45+AR45</f>
        <v>-41.4446857754807</v>
      </c>
      <c r="Y45" s="135" t="n">
        <f aca="false">X45-AO45</f>
        <v>-41.4446857754807</v>
      </c>
      <c r="Z45" s="107"/>
      <c r="AA45" s="135"/>
      <c r="AB45" s="107"/>
      <c r="AC45" s="107"/>
      <c r="AD45" s="107"/>
      <c r="AE45" s="135" t="n">
        <v>0</v>
      </c>
      <c r="AF45" s="137" t="n">
        <v>1.7</v>
      </c>
      <c r="AG45" s="138" t="n">
        <v>1.3</v>
      </c>
      <c r="AH45" s="135" t="n">
        <v>37</v>
      </c>
      <c r="AI45" s="107" t="n">
        <f aca="false">AI44-AH45</f>
        <v>4280.25787748929</v>
      </c>
      <c r="AJ45" s="107"/>
      <c r="AK45" s="134" t="n">
        <f aca="false">N45+O45+P45+Q45+R45+S45+T45+U45+X45+AE45+AH45</f>
        <v>41.21</v>
      </c>
      <c r="AL45" s="135" t="n">
        <f aca="false">IF(L45&lt;0,L45*-1,0)</f>
        <v>16.5187622888833</v>
      </c>
      <c r="AM45" s="246" t="n">
        <f aca="false">AK45+AL45</f>
        <v>57.7287622888833</v>
      </c>
      <c r="AN45" s="136"/>
      <c r="AO45" s="136"/>
      <c r="AP45" s="136"/>
      <c r="AQ45" s="158" t="n">
        <f aca="false">18.67*(Z45*1.9835+AC45*1.9835)/E45</f>
        <v>0</v>
      </c>
      <c r="AR45" s="158"/>
      <c r="AS45" s="158"/>
      <c r="AT45" s="107"/>
      <c r="AU45" s="176"/>
      <c r="AV45" s="179" t="n">
        <f aca="false">O45</f>
        <v>40.4355</v>
      </c>
      <c r="AW45" s="320" t="n">
        <v>0</v>
      </c>
      <c r="AX45" s="215" t="n">
        <v>71</v>
      </c>
      <c r="AY45" s="221" t="n">
        <v>34</v>
      </c>
      <c r="AZ45" s="299"/>
      <c r="BA45" s="250" t="n">
        <f aca="false">SUM(N45,P45:U45)</f>
        <v>5.21918577548066</v>
      </c>
    </row>
    <row r="46" customFormat="false" ht="3" hidden="false" customHeight="true" outlineLevel="0" collapsed="false">
      <c r="A46" s="231"/>
      <c r="B46" s="252"/>
      <c r="C46" s="233"/>
      <c r="D46" s="234"/>
      <c r="E46" s="233"/>
      <c r="F46" s="235"/>
      <c r="G46" s="234"/>
      <c r="H46" s="562"/>
      <c r="I46" s="234"/>
      <c r="J46" s="234"/>
      <c r="K46" s="234"/>
      <c r="L46" s="234"/>
      <c r="M46" s="237" t="n">
        <v>0</v>
      </c>
      <c r="N46" s="234"/>
      <c r="O46" s="234"/>
      <c r="P46" s="238"/>
      <c r="Q46" s="234"/>
      <c r="R46" s="234"/>
      <c r="S46" s="234"/>
      <c r="T46" s="234"/>
      <c r="U46" s="239"/>
      <c r="V46" s="234"/>
      <c r="W46" s="234" t="n">
        <v>0</v>
      </c>
      <c r="X46" s="234"/>
      <c r="Y46" s="234"/>
      <c r="Z46" s="233"/>
      <c r="AA46" s="234"/>
      <c r="AB46" s="233"/>
      <c r="AC46" s="233"/>
      <c r="AD46" s="233"/>
      <c r="AE46" s="234"/>
      <c r="AF46" s="237"/>
      <c r="AG46" s="241"/>
      <c r="AH46" s="234"/>
      <c r="AI46" s="234"/>
      <c r="AJ46" s="234"/>
      <c r="AK46" s="234"/>
      <c r="AL46" s="234"/>
      <c r="AM46" s="235"/>
      <c r="AN46" s="243"/>
      <c r="AO46" s="240"/>
      <c r="AP46" s="240"/>
      <c r="AQ46" s="238"/>
      <c r="AR46" s="238"/>
      <c r="AS46" s="238"/>
      <c r="AT46" s="243"/>
      <c r="AU46" s="243"/>
      <c r="AV46" s="243"/>
      <c r="AW46" s="484"/>
      <c r="AX46" s="243"/>
      <c r="AY46" s="243"/>
      <c r="AZ46" s="257"/>
      <c r="BA46" s="317"/>
    </row>
    <row r="47" customFormat="false" ht="12.95" hidden="false" customHeight="true" outlineLevel="0" collapsed="false">
      <c r="A47" s="185" t="s">
        <v>101</v>
      </c>
      <c r="B47" s="213"/>
      <c r="C47" s="107"/>
      <c r="D47" s="107"/>
      <c r="E47" s="107"/>
      <c r="F47" s="214" t="n">
        <f aca="false">SUM(F15:F45)</f>
        <v>-2504.15931434333</v>
      </c>
      <c r="G47" s="107" t="n">
        <f aca="false">SUM(G15:G45)</f>
        <v>1139</v>
      </c>
      <c r="H47" s="215" t="n">
        <f aca="false">SUM(H15:H45)</f>
        <v>0</v>
      </c>
      <c r="I47" s="107" t="n">
        <f aca="false">SUM(I15:I45)</f>
        <v>1139</v>
      </c>
      <c r="J47" s="107" t="n">
        <f aca="false">SUM(J15:J45)</f>
        <v>4.88353919838669</v>
      </c>
      <c r="K47" s="107" t="n">
        <f aca="false">SUM(K15:K45)</f>
        <v>1143.88353919839</v>
      </c>
      <c r="L47" s="107" t="n">
        <f aca="false">SUM(L15:L45)</f>
        <v>-478.429314343333</v>
      </c>
      <c r="M47" s="216" t="n">
        <f aca="false">SUM(M15:M45)</f>
        <v>1029.2</v>
      </c>
      <c r="N47" s="107" t="n">
        <f aca="false">SUM(N15:N45)</f>
        <v>32.0223535</v>
      </c>
      <c r="O47" s="107" t="n">
        <f aca="false">SUM(O15:O45)</f>
        <v>549.57</v>
      </c>
      <c r="P47" s="158" t="n">
        <f aca="false">SUM(P15:P45)</f>
        <v>0</v>
      </c>
      <c r="Q47" s="107" t="n">
        <f aca="false">SUM(Q15:Q45)</f>
        <v>63.9666153580735</v>
      </c>
      <c r="R47" s="107" t="n">
        <f aca="false">SUM(R15:R45)</f>
        <v>82.595144</v>
      </c>
      <c r="S47" s="107" t="n">
        <f aca="false">SUM(S15:S45)</f>
        <v>0.307312</v>
      </c>
      <c r="T47" s="107" t="n">
        <f aca="false">SUM(T15:T45)</f>
        <v>22.345544</v>
      </c>
      <c r="U47" s="217" t="n">
        <f aca="false">SUM(U15:U45)</f>
        <v>0</v>
      </c>
      <c r="V47" s="107" t="n">
        <f aca="false">SUM(V15:V45)</f>
        <v>670.19</v>
      </c>
      <c r="W47" s="107" t="n">
        <f aca="false">SUM(W15:W45)</f>
        <v>1.34</v>
      </c>
      <c r="X47" s="107" t="n">
        <f aca="false">SUM(X15:X45)</f>
        <v>949.923031141926</v>
      </c>
      <c r="Y47" s="107" t="n">
        <f aca="false">SUM(Y15:Y45)</f>
        <v>949.923031141926</v>
      </c>
      <c r="Z47" s="107"/>
      <c r="AA47" s="107"/>
      <c r="AB47" s="107"/>
      <c r="AC47" s="107"/>
      <c r="AE47" s="107" t="n">
        <f aca="false">SUM(AE15:AE45)</f>
        <v>279</v>
      </c>
      <c r="AF47" s="216" t="n">
        <f aca="false">SUM(AF15:AF45)</f>
        <v>52.7</v>
      </c>
      <c r="AG47" s="218" t="n">
        <f aca="false">SUM(AG15:AG45)</f>
        <v>40.3</v>
      </c>
      <c r="AH47" s="107" t="n">
        <f aca="false">SUM(AH15:AH45)</f>
        <v>1185</v>
      </c>
      <c r="AI47" s="107"/>
      <c r="AJ47" s="107" t="n">
        <f aca="false">SUM(AJ15:AJ45)</f>
        <v>0</v>
      </c>
      <c r="AK47" s="107" t="n">
        <f aca="false">SUM(AK15:AK45)</f>
        <v>3164.73</v>
      </c>
      <c r="AL47" s="107" t="n">
        <f aca="false">SUM(AL15:AL45)</f>
        <v>483.312853541719</v>
      </c>
      <c r="AM47" s="214" t="n">
        <f aca="false">SUM(AM15:AM45)</f>
        <v>3648.04285354172</v>
      </c>
      <c r="AN47" s="136" t="n">
        <f aca="false">SUM(AN15:AN45)</f>
        <v>0</v>
      </c>
      <c r="AO47" s="136" t="n">
        <f aca="false">SUM(AO15:AO45)</f>
        <v>0</v>
      </c>
      <c r="AP47" s="136"/>
      <c r="AQ47" s="158"/>
      <c r="AR47" s="158"/>
      <c r="AS47" s="136" t="n">
        <f aca="false">SUM(AS15:AS45)</f>
        <v>0</v>
      </c>
      <c r="AT47" s="215" t="n">
        <f aca="false">SUM(AT15:AT45)</f>
        <v>55.81</v>
      </c>
      <c r="AU47" s="176"/>
      <c r="AV47" s="215" t="n">
        <f aca="false">SUM(AV15:AV45)</f>
        <v>549.57</v>
      </c>
      <c r="AW47" s="320" t="n">
        <f aca="false">SUM(AW15:AW45)</f>
        <v>0.32</v>
      </c>
      <c r="AX47" s="215" t="n">
        <f aca="false">AVERAGE(AX15:AX45)</f>
        <v>69.4516129032258</v>
      </c>
      <c r="AY47" s="215" t="n">
        <f aca="false">AVERAGE(AY15:AY45)</f>
        <v>35.7741935483871</v>
      </c>
      <c r="AZ47" s="223" t="s">
        <v>125</v>
      </c>
      <c r="BA47" s="338" t="n">
        <f aca="false">SUM(BA15:BA45)</f>
        <v>201.236968858074</v>
      </c>
    </row>
    <row r="48" customFormat="false" ht="12.95" hidden="false" customHeight="true" outlineLevel="0" collapsed="false">
      <c r="A48" s="185" t="s">
        <v>103</v>
      </c>
      <c r="B48" s="213"/>
      <c r="C48" s="107"/>
      <c r="D48" s="107" t="n">
        <f aca="false">SUM(D15:D45)</f>
        <v>-4967</v>
      </c>
      <c r="E48" s="107"/>
      <c r="F48" s="214" t="n">
        <f aca="false">F47*$D$2</f>
        <v>-4967</v>
      </c>
      <c r="G48" s="107" t="n">
        <f aca="false">G47*$D$2</f>
        <v>2259.2065</v>
      </c>
      <c r="H48" s="215" t="n">
        <f aca="false">H47*$D$2</f>
        <v>0</v>
      </c>
      <c r="I48" s="107" t="n">
        <f aca="false">I47*$D$2</f>
        <v>2259.2065</v>
      </c>
      <c r="J48" s="107" t="n">
        <f aca="false">J47*$D$2</f>
        <v>9.6865</v>
      </c>
      <c r="K48" s="107" t="n">
        <f aca="false">K47*$D$2</f>
        <v>2268.893</v>
      </c>
      <c r="L48" s="107" t="n">
        <f aca="false">L47*$D$2</f>
        <v>-948.964545</v>
      </c>
      <c r="M48" s="216" t="n">
        <f aca="false">M47*$D$2</f>
        <v>2041.4182</v>
      </c>
      <c r="N48" s="107" t="n">
        <f aca="false">N47*$D$2</f>
        <v>63.51633816725</v>
      </c>
      <c r="O48" s="107" t="n">
        <f aca="false">O47*$D$2</f>
        <v>1090.072095</v>
      </c>
      <c r="P48" s="158" t="n">
        <f aca="false">P47*$D$2</f>
        <v>0</v>
      </c>
      <c r="Q48" s="107" t="n">
        <f aca="false">Q47*$D$2</f>
        <v>126.877781562739</v>
      </c>
      <c r="R48" s="107" t="n">
        <f aca="false">R47*$D$2</f>
        <v>163.827468124</v>
      </c>
      <c r="S48" s="107" t="n">
        <f aca="false">S47*$D$2</f>
        <v>0.609553352000001</v>
      </c>
      <c r="T48" s="107" t="n">
        <f aca="false">T47*$D$2</f>
        <v>44.322386524</v>
      </c>
      <c r="U48" s="217" t="n">
        <f aca="false">U47*$D$2</f>
        <v>0</v>
      </c>
      <c r="V48" s="107" t="n">
        <f aca="false">V47*$D$2</f>
        <v>1329.321865</v>
      </c>
      <c r="W48" s="107" t="n">
        <f aca="false">W47*$D$2</f>
        <v>2.65789</v>
      </c>
      <c r="X48" s="107" t="n">
        <f aca="false">X47*$D$2</f>
        <v>1884.17233227001</v>
      </c>
      <c r="Y48" s="107" t="n">
        <f aca="false">Y47*$D$2</f>
        <v>1884.17233227001</v>
      </c>
      <c r="Z48" s="107"/>
      <c r="AA48" s="107"/>
      <c r="AB48" s="107"/>
      <c r="AC48" s="107"/>
      <c r="AE48" s="107" t="n">
        <f aca="false">AE47*$D$2</f>
        <v>553.3965</v>
      </c>
      <c r="AF48" s="216" t="n">
        <f aca="false">AF47*$D$2</f>
        <v>104.53045</v>
      </c>
      <c r="AG48" s="218" t="n">
        <f aca="false">AG47*$D$2</f>
        <v>79.93505</v>
      </c>
      <c r="AH48" s="107" t="n">
        <f aca="false">AH47*$D$2</f>
        <v>2350.4475</v>
      </c>
      <c r="AI48" s="107"/>
      <c r="AJ48" s="107" t="n">
        <f aca="false">AJ47*$D$2</f>
        <v>0</v>
      </c>
      <c r="AK48" s="107" t="n">
        <f aca="false">AK47*$D$2</f>
        <v>6277.241955</v>
      </c>
      <c r="AL48" s="107" t="n">
        <f aca="false">AL47*$D$2</f>
        <v>958.651045</v>
      </c>
      <c r="AM48" s="214" t="n">
        <f aca="false">AM47*$D$2</f>
        <v>7235.893</v>
      </c>
      <c r="AN48" s="107" t="n">
        <f aca="false">AN47*$D$2</f>
        <v>0</v>
      </c>
      <c r="AO48" s="107" t="n">
        <f aca="false">AO47*$D$2</f>
        <v>0</v>
      </c>
      <c r="AP48" s="136"/>
      <c r="AQ48" s="158" t="n">
        <f aca="false">SUM(AQ15:AQ45)</f>
        <v>0</v>
      </c>
      <c r="AR48" s="158"/>
      <c r="AS48" s="135" t="n">
        <f aca="false">AS47*$D$2</f>
        <v>0</v>
      </c>
      <c r="AT48" s="215" t="n">
        <f aca="false">AT47*$D$2</f>
        <v>110.699135</v>
      </c>
      <c r="AU48" s="176"/>
      <c r="AV48" s="215" t="n">
        <f aca="false">AV47*$D$2</f>
        <v>1090.072095</v>
      </c>
      <c r="AW48" s="320"/>
      <c r="AX48" s="215" t="n">
        <f aca="false">MAX(AX15:AX45)</f>
        <v>81</v>
      </c>
      <c r="AY48" s="215" t="n">
        <f aca="false">MAX(AY15:AY45)</f>
        <v>47</v>
      </c>
      <c r="AZ48" s="223" t="s">
        <v>104</v>
      </c>
      <c r="BA48" s="338" t="n">
        <f aca="false">BA47*$D$2</f>
        <v>399.153527729989</v>
      </c>
    </row>
    <row r="49" customFormat="false" ht="3" hidden="false" customHeight="true" outlineLevel="0" collapsed="false">
      <c r="A49" s="231"/>
      <c r="B49" s="252"/>
      <c r="C49" s="233"/>
      <c r="D49" s="233"/>
      <c r="E49" s="233"/>
      <c r="F49" s="257"/>
      <c r="G49" s="233"/>
      <c r="H49" s="243"/>
      <c r="I49" s="233"/>
      <c r="J49" s="233"/>
      <c r="K49" s="233"/>
      <c r="L49" s="233"/>
      <c r="M49" s="258"/>
      <c r="N49" s="233"/>
      <c r="O49" s="233"/>
      <c r="P49" s="238"/>
      <c r="Q49" s="233"/>
      <c r="R49" s="233"/>
      <c r="S49" s="233"/>
      <c r="T49" s="233"/>
      <c r="U49" s="239"/>
      <c r="V49" s="233"/>
      <c r="W49" s="233"/>
      <c r="X49" s="233"/>
      <c r="Y49" s="233"/>
      <c r="Z49" s="233"/>
      <c r="AA49" s="233"/>
      <c r="AB49" s="233"/>
      <c r="AC49" s="233"/>
      <c r="AD49" s="489"/>
      <c r="AE49" s="233"/>
      <c r="AF49" s="258"/>
      <c r="AG49" s="259"/>
      <c r="AH49" s="233"/>
      <c r="AI49" s="234"/>
      <c r="AJ49" s="233"/>
      <c r="AK49" s="233"/>
      <c r="AL49" s="233"/>
      <c r="AM49" s="257"/>
      <c r="AN49" s="233"/>
      <c r="AO49" s="240"/>
      <c r="AP49" s="240"/>
      <c r="AQ49" s="238"/>
      <c r="AR49" s="238"/>
      <c r="AS49" s="238"/>
      <c r="AT49" s="243"/>
      <c r="AU49" s="243"/>
      <c r="AV49" s="243"/>
      <c r="AW49" s="261"/>
      <c r="AX49" s="233"/>
      <c r="AY49" s="233"/>
      <c r="AZ49" s="257"/>
      <c r="BA49" s="317"/>
    </row>
    <row r="50" customFormat="false" ht="12.95" hidden="false" customHeight="true" outlineLevel="0" collapsed="false">
      <c r="A50" s="185" t="s">
        <v>105</v>
      </c>
      <c r="B50" s="213"/>
      <c r="C50" s="107"/>
      <c r="D50" s="107"/>
      <c r="E50" s="107"/>
      <c r="F50" s="214" t="n">
        <f aca="false">F12+F47</f>
        <v>-54455.255860852</v>
      </c>
      <c r="G50" s="107" t="n">
        <f aca="false">G12+G47</f>
        <v>64618</v>
      </c>
      <c r="H50" s="215" t="n">
        <f aca="false">H12+H47</f>
        <v>728.31</v>
      </c>
      <c r="I50" s="107" t="n">
        <f aca="false">I12+I47</f>
        <v>65346.31</v>
      </c>
      <c r="J50" s="107" t="n">
        <f aca="false">J12+J47</f>
        <v>2416.33045374338</v>
      </c>
      <c r="K50" s="107" t="n">
        <f aca="false">K12+K47</f>
        <v>67762.6304537434</v>
      </c>
      <c r="L50" s="107" t="n">
        <f aca="false">L12+L47</f>
        <v>-1559.36825935203</v>
      </c>
      <c r="M50" s="216" t="n">
        <f aca="false">M12+M47</f>
        <v>43406.9</v>
      </c>
      <c r="N50" s="107" t="n">
        <f aca="false">N12+N47</f>
        <v>213.841279</v>
      </c>
      <c r="O50" s="107" t="n">
        <f aca="false">O12+O47</f>
        <v>14223.7105</v>
      </c>
      <c r="P50" s="158" t="n">
        <f aca="false">P12+P47</f>
        <v>7.32</v>
      </c>
      <c r="Q50" s="107"/>
      <c r="R50" s="107"/>
      <c r="S50" s="107"/>
      <c r="T50" s="107"/>
      <c r="U50" s="217"/>
      <c r="V50" s="107" t="n">
        <f aca="false">V12+V47</f>
        <v>20501.19</v>
      </c>
      <c r="W50" s="107" t="n">
        <f aca="false">W12+W47</f>
        <v>11252.24</v>
      </c>
      <c r="X50" s="107" t="n">
        <f aca="false">X12+X47</f>
        <v>61978.0284227125</v>
      </c>
      <c r="Y50" s="107" t="n">
        <f aca="false">Y12+Y47</f>
        <v>60666.7654227125</v>
      </c>
      <c r="Z50" s="80"/>
      <c r="AA50" s="107"/>
      <c r="AB50" s="107"/>
      <c r="AC50" s="107"/>
      <c r="AE50" s="107" t="n">
        <f aca="false">AE12+AE47</f>
        <v>31303</v>
      </c>
      <c r="AF50" s="216" t="n">
        <f aca="false">AF12+AF47</f>
        <v>363.8</v>
      </c>
      <c r="AG50" s="218" t="n">
        <f aca="false">AG12+AG47</f>
        <v>278.2</v>
      </c>
      <c r="AH50" s="107"/>
      <c r="AI50" s="107"/>
      <c r="AJ50" s="107" t="n">
        <f aca="false">AJ12+AJ47</f>
        <v>0</v>
      </c>
      <c r="AK50" s="107" t="n">
        <f aca="false">AK12+AK47</f>
        <v>118242.1876015</v>
      </c>
      <c r="AL50" s="107" t="n">
        <f aca="false">AL12+AL47</f>
        <v>3975.69871309541</v>
      </c>
      <c r="AM50" s="214" t="n">
        <f aca="false">AM12+AM47</f>
        <v>122217.886314595</v>
      </c>
      <c r="AN50" s="215"/>
      <c r="AO50" s="136"/>
      <c r="AP50" s="136"/>
      <c r="AQ50" s="158"/>
      <c r="AR50" s="215" t="n">
        <f aca="false">AR12+AR47</f>
        <v>3024.9425</v>
      </c>
      <c r="AS50" s="136" t="n">
        <f aca="false">AS47</f>
        <v>0</v>
      </c>
      <c r="AT50" s="215" t="n">
        <f aca="false">AT12+AT47</f>
        <v>750</v>
      </c>
      <c r="AU50" s="215" t="n">
        <f aca="false">AU12+AU47</f>
        <v>0</v>
      </c>
      <c r="AV50" s="215" t="n">
        <f aca="false">AV13+AV47</f>
        <v>2062.91</v>
      </c>
      <c r="AW50" s="320"/>
      <c r="AX50" s="215" t="n">
        <f aca="false">MIN(AX15:AX45)</f>
        <v>52</v>
      </c>
      <c r="AY50" s="215" t="n">
        <f aca="false">MIN(AY15:AY45)</f>
        <v>19</v>
      </c>
      <c r="AZ50" s="223" t="s">
        <v>106</v>
      </c>
      <c r="BA50" s="338" t="n">
        <f aca="false">BA12+BA47</f>
        <v>201.236968858074</v>
      </c>
    </row>
    <row r="51" customFormat="false" ht="12.95" hidden="false" customHeight="true" outlineLevel="0" collapsed="false">
      <c r="A51" s="185" t="s">
        <v>107</v>
      </c>
      <c r="B51" s="213"/>
      <c r="C51" s="107"/>
      <c r="D51" s="107"/>
      <c r="E51" s="107"/>
      <c r="F51" s="214" t="n">
        <f aca="false">F50*$D$2</f>
        <v>-108012</v>
      </c>
      <c r="G51" s="107" t="n">
        <f aca="false">G50*$D$2</f>
        <v>128169.803</v>
      </c>
      <c r="H51" s="215" t="n">
        <f aca="false">H50*$D$2</f>
        <v>1444.602885</v>
      </c>
      <c r="I51" s="107" t="n">
        <f aca="false">I50*$D$2</f>
        <v>129614.405885</v>
      </c>
      <c r="J51" s="107" t="n">
        <f aca="false">J50*$D$2</f>
        <v>4792.791455</v>
      </c>
      <c r="K51" s="107" t="n">
        <f aca="false">K50*$D$2</f>
        <v>134407.177505</v>
      </c>
      <c r="L51" s="107" t="n">
        <f aca="false">L50*$D$2</f>
        <v>-3093.00694242475</v>
      </c>
      <c r="M51" s="216" t="n">
        <f aca="false">M50*$D$2</f>
        <v>86097.58615</v>
      </c>
      <c r="N51" s="107" t="n">
        <f aca="false">N50*$D$2</f>
        <v>424.1541768965</v>
      </c>
      <c r="O51" s="107" t="n">
        <f aca="false">O50*$D$2</f>
        <v>28212.72977675</v>
      </c>
      <c r="P51" s="158" t="n">
        <f aca="false">P50*$D$2</f>
        <v>14.51922</v>
      </c>
      <c r="Q51" s="107"/>
      <c r="R51" s="107"/>
      <c r="S51" s="107"/>
      <c r="T51" s="107"/>
      <c r="U51" s="217"/>
      <c r="V51" s="107" t="n">
        <f aca="false">V50*$D$2</f>
        <v>40664.110365</v>
      </c>
      <c r="W51" s="107" t="n">
        <f aca="false">W50*$D$2</f>
        <v>22318.81804</v>
      </c>
      <c r="X51" s="107" t="n">
        <f aca="false">X50*$D$2</f>
        <v>122933.41937645</v>
      </c>
      <c r="Y51" s="107" t="n">
        <f aca="false">Y50*$D$2</f>
        <v>120332.52921595</v>
      </c>
      <c r="Z51" s="80"/>
      <c r="AA51" s="107"/>
      <c r="AB51" s="107"/>
      <c r="AC51" s="107"/>
      <c r="AE51" s="107" t="n">
        <f aca="false">AE50*$D$2</f>
        <v>62089.5005</v>
      </c>
      <c r="AF51" s="216" t="n">
        <f aca="false">AF50*$D$2</f>
        <v>721.5973</v>
      </c>
      <c r="AG51" s="218" t="n">
        <f aca="false">AG50*$D$2</f>
        <v>551.8097</v>
      </c>
      <c r="AH51" s="107"/>
      <c r="AI51" s="107"/>
      <c r="AJ51" s="107" t="n">
        <f aca="false">AJ50*$D$2</f>
        <v>0</v>
      </c>
      <c r="AK51" s="107" t="n">
        <f aca="false">AK50*$D$2</f>
        <v>234533.379107575</v>
      </c>
      <c r="AL51" s="107" t="n">
        <f aca="false">AL50*$D$2</f>
        <v>7885.79839742475</v>
      </c>
      <c r="AM51" s="107" t="n">
        <f aca="false">AM50*$D$2</f>
        <v>242419.177505</v>
      </c>
      <c r="AN51" s="220"/>
      <c r="AO51" s="136"/>
      <c r="AP51" s="136"/>
      <c r="AQ51" s="158" t="n">
        <f aca="false">AQ12+AQ48</f>
        <v>945.374503875825</v>
      </c>
      <c r="AR51" s="215" t="n">
        <f aca="false">AR50*$D$2</f>
        <v>5999.97344875</v>
      </c>
      <c r="AS51" s="136" t="n">
        <f aca="false">AS50*$D$2</f>
        <v>0</v>
      </c>
      <c r="AT51" s="215" t="n">
        <f aca="false">AT50*$D$2</f>
        <v>1487.625</v>
      </c>
      <c r="AU51" s="215" t="n">
        <f aca="false">AU50*$D$2</f>
        <v>0</v>
      </c>
      <c r="AV51" s="215" t="n">
        <f aca="false">AV50*$D$2</f>
        <v>4091.781985</v>
      </c>
      <c r="AW51" s="320"/>
      <c r="AX51" s="215"/>
      <c r="AY51" s="215"/>
      <c r="AZ51" s="299"/>
      <c r="BA51" s="338" t="n">
        <f aca="false">BA50*$D$2</f>
        <v>399.153527729989</v>
      </c>
    </row>
    <row r="52" customFormat="false" ht="3" hidden="false" customHeight="true" outlineLevel="0" collapsed="false">
      <c r="A52" s="231"/>
      <c r="B52" s="252"/>
      <c r="C52" s="233"/>
      <c r="D52" s="233"/>
      <c r="E52" s="233"/>
      <c r="F52" s="257"/>
      <c r="G52" s="233"/>
      <c r="H52" s="243"/>
      <c r="I52" s="233"/>
      <c r="J52" s="233"/>
      <c r="K52" s="233"/>
      <c r="L52" s="233"/>
      <c r="M52" s="258"/>
      <c r="N52" s="233"/>
      <c r="O52" s="233"/>
      <c r="P52" s="238"/>
      <c r="Q52" s="233"/>
      <c r="R52" s="233"/>
      <c r="S52" s="233"/>
      <c r="T52" s="233"/>
      <c r="U52" s="239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58"/>
      <c r="AG52" s="259"/>
      <c r="AH52" s="233"/>
      <c r="AI52" s="233"/>
      <c r="AJ52" s="233"/>
      <c r="AK52" s="233"/>
      <c r="AL52" s="233"/>
      <c r="AM52" s="233"/>
      <c r="AN52" s="484"/>
      <c r="AO52" s="240"/>
      <c r="AP52" s="240"/>
      <c r="AQ52" s="238"/>
      <c r="AR52" s="238"/>
      <c r="AS52" s="238"/>
      <c r="AT52" s="243"/>
      <c r="AU52" s="243"/>
      <c r="AV52" s="243"/>
      <c r="AW52" s="484"/>
      <c r="AX52" s="238"/>
      <c r="AY52" s="238"/>
      <c r="AZ52" s="257"/>
      <c r="BA52" s="317"/>
    </row>
    <row r="53" customFormat="false" ht="12.95" hidden="false" customHeight="true" outlineLevel="0" collapsed="false">
      <c r="A53" s="185" t="s">
        <v>108</v>
      </c>
      <c r="B53" s="213"/>
      <c r="C53" s="107"/>
      <c r="D53" s="107"/>
      <c r="E53" s="107"/>
      <c r="F53" s="214" t="n">
        <f aca="false">F13+F47</f>
        <v>-49637.5094529871</v>
      </c>
      <c r="G53" s="107" t="n">
        <f aca="false">G13+G47</f>
        <v>76682</v>
      </c>
      <c r="H53" s="215" t="n">
        <f aca="false">H13+H47</f>
        <v>1210.39</v>
      </c>
      <c r="I53" s="107" t="n">
        <f aca="false">I13+I47</f>
        <v>77891.77</v>
      </c>
      <c r="J53" s="107" t="n">
        <f aca="false">J13+J47</f>
        <v>7310.51829594152</v>
      </c>
      <c r="K53" s="107" t="n">
        <f aca="false">K13+K47</f>
        <v>85202.2782959415</v>
      </c>
      <c r="L53" s="107" t="n">
        <f aca="false">L13+L47</f>
        <v>2738.11814851286</v>
      </c>
      <c r="M53" s="216" t="n">
        <f aca="false">M13+M47</f>
        <v>44195.6</v>
      </c>
      <c r="N53" s="107" t="n">
        <f aca="false">N13+N47</f>
        <v>213.841279</v>
      </c>
      <c r="O53" s="107" t="n">
        <f aca="false">O13+O47</f>
        <v>14223.7105</v>
      </c>
      <c r="P53" s="158"/>
      <c r="Q53" s="107" t="n">
        <f aca="false">Q13+Q47</f>
        <v>795.886167309314</v>
      </c>
      <c r="R53" s="215" t="n">
        <f aca="false">R13+R47</f>
        <v>1038.60607952</v>
      </c>
      <c r="S53" s="107" t="n">
        <f aca="false">S13+S47</f>
        <v>199.46257936</v>
      </c>
      <c r="T53" s="107" t="n">
        <f aca="false">T13+T47</f>
        <v>324.19018112</v>
      </c>
      <c r="U53" s="316" t="n">
        <f aca="false">U13+U47</f>
        <v>27.7983443318626</v>
      </c>
      <c r="V53" s="107" t="n">
        <f aca="false">V13+V47</f>
        <v>26348.19</v>
      </c>
      <c r="W53" s="107" t="n">
        <f aca="false">W13+W47</f>
        <v>11311.74</v>
      </c>
      <c r="X53" s="107" t="n">
        <f aca="false">X13+X47</f>
        <v>68049.6573693588</v>
      </c>
      <c r="Y53" s="107" t="n">
        <f aca="false">Y13+Y47</f>
        <v>66535.5972972403</v>
      </c>
      <c r="Z53" s="107"/>
      <c r="AA53" s="107"/>
      <c r="AB53" s="107"/>
      <c r="AC53" s="107"/>
      <c r="AD53" s="107"/>
      <c r="AE53" s="107"/>
      <c r="AF53" s="216" t="n">
        <f aca="false">AF13+AF47</f>
        <v>52.7</v>
      </c>
      <c r="AG53" s="218" t="n">
        <f aca="false">AG13+AG47</f>
        <v>40.3</v>
      </c>
      <c r="AH53" s="107" t="n">
        <f aca="false">AH13+AH47</f>
        <v>17114</v>
      </c>
      <c r="AI53" s="107" t="n">
        <f aca="false">AI45</f>
        <v>4280.25787748929</v>
      </c>
      <c r="AJ53" s="107" t="n">
        <f aca="false">AJ13+AJ47</f>
        <v>33</v>
      </c>
      <c r="AK53" s="107" t="n">
        <f aca="false">AK13+AK47</f>
        <v>130267.3876015</v>
      </c>
      <c r="AL53" s="107" t="n">
        <f aca="false">AL13+AL47</f>
        <v>4572.40014742866</v>
      </c>
      <c r="AM53" s="107" t="n">
        <f aca="false">AM13+AM47</f>
        <v>134839.787748929</v>
      </c>
      <c r="AN53" s="220"/>
      <c r="AO53" s="136" t="n">
        <f aca="false">AO13+AO47</f>
        <v>1514.06007211854</v>
      </c>
      <c r="AP53" s="136"/>
      <c r="AQ53" s="158"/>
      <c r="AR53" s="158"/>
      <c r="AS53" s="158"/>
      <c r="AT53" s="215"/>
      <c r="AU53" s="215"/>
      <c r="AV53" s="182"/>
      <c r="AW53" s="281" t="n">
        <f aca="false">AW13+AW47</f>
        <v>4.85</v>
      </c>
      <c r="AX53" s="215"/>
      <c r="AY53" s="215"/>
      <c r="AZ53" s="299"/>
      <c r="BA53" s="338" t="n">
        <f aca="false">BA13+BA47</f>
        <v>2607.10463064118</v>
      </c>
    </row>
    <row r="54" customFormat="false" ht="12.95" hidden="false" customHeight="true" outlineLevel="0" collapsed="false">
      <c r="A54" s="185" t="s">
        <v>109</v>
      </c>
      <c r="B54" s="213"/>
      <c r="C54" s="107"/>
      <c r="D54" s="107" t="n">
        <f aca="false">D13+D48</f>
        <v>-98530</v>
      </c>
      <c r="E54" s="107" t="n">
        <f aca="false">E45</f>
        <v>43155</v>
      </c>
      <c r="F54" s="214" t="n">
        <f aca="false">F53*$D$2</f>
        <v>-98456</v>
      </c>
      <c r="G54" s="107" t="n">
        <f aca="false">G53*$D$2</f>
        <v>152098.747</v>
      </c>
      <c r="H54" s="215" t="n">
        <f aca="false">H53*$D$2</f>
        <v>2400.808565</v>
      </c>
      <c r="I54" s="107" t="n">
        <f aca="false">I53*$D$2</f>
        <v>154498.325795</v>
      </c>
      <c r="J54" s="107" t="n">
        <f aca="false">J53*$D$2</f>
        <v>14500.41304</v>
      </c>
      <c r="K54" s="107" t="n">
        <f aca="false">K53*$D$2</f>
        <v>168998.719</v>
      </c>
      <c r="L54" s="107" t="n">
        <f aca="false">L53*$D$2</f>
        <v>5431.05734757525</v>
      </c>
      <c r="M54" s="216" t="n">
        <f aca="false">M53*$D$2</f>
        <v>87661.9726</v>
      </c>
      <c r="N54" s="107" t="n">
        <f aca="false">N53*$D$2</f>
        <v>424.1541768965</v>
      </c>
      <c r="O54" s="107" t="n">
        <f aca="false">O53*$D$2</f>
        <v>28212.72977675</v>
      </c>
      <c r="P54" s="158"/>
      <c r="Q54" s="215" t="n">
        <f aca="false">Q53*$D$2</f>
        <v>1578.64021285802</v>
      </c>
      <c r="R54" s="215" t="n">
        <f aca="false">R53*$D$2</f>
        <v>2060.07515872792</v>
      </c>
      <c r="S54" s="226" t="n">
        <f aca="false">S53*$D$2</f>
        <v>395.63402616056</v>
      </c>
      <c r="T54" s="226" t="n">
        <f aca="false">T53*$D$2</f>
        <v>643.03122425152</v>
      </c>
      <c r="U54" s="424" t="n">
        <f aca="false">U53*$D$2</f>
        <v>55.1380159822495</v>
      </c>
      <c r="V54" s="107" t="n">
        <f aca="false">V53*$D$2</f>
        <v>52261.634865</v>
      </c>
      <c r="W54" s="107" t="n">
        <f aca="false">W53*$D$2</f>
        <v>22436.83629</v>
      </c>
      <c r="X54" s="107" t="n">
        <f aca="false">X53*$D$2</f>
        <v>134976.495392123</v>
      </c>
      <c r="Y54" s="107" t="n">
        <f aca="false">Y53*$D$2</f>
        <v>131973.357239076</v>
      </c>
      <c r="Z54" s="107"/>
      <c r="AA54" s="107"/>
      <c r="AB54" s="107"/>
      <c r="AC54" s="107"/>
      <c r="AD54" s="107"/>
      <c r="AE54" s="107"/>
      <c r="AF54" s="266" t="n">
        <f aca="false">AF53*$D$2</f>
        <v>104.53045</v>
      </c>
      <c r="AG54" s="267" t="n">
        <f aca="false">AG53*$D$2</f>
        <v>79.93505</v>
      </c>
      <c r="AH54" s="107" t="n">
        <f aca="false">AH53*$D$2</f>
        <v>33945.619</v>
      </c>
      <c r="AI54" s="107" t="n">
        <f aca="false">AI53*$D$2</f>
        <v>8489.8915</v>
      </c>
      <c r="AJ54" s="107" t="n">
        <f aca="false">AJ53*$D$2</f>
        <v>65.4555</v>
      </c>
      <c r="AK54" s="107" t="n">
        <f aca="false">AK53*$D$2</f>
        <v>258385.363307575</v>
      </c>
      <c r="AL54" s="107" t="n">
        <f aca="false">AL53*$D$2</f>
        <v>9069.35569242475</v>
      </c>
      <c r="AM54" s="107" t="n">
        <f aca="false">AM53*$D$2</f>
        <v>267454.719</v>
      </c>
      <c r="AN54" s="220" t="n">
        <f aca="false">AN13+AN48</f>
        <v>11712.1708</v>
      </c>
      <c r="AO54" s="136" t="n">
        <f aca="false">AO53*$D$2</f>
        <v>3003.13815304712</v>
      </c>
      <c r="AP54" s="136"/>
      <c r="AQ54" s="158" t="n">
        <f aca="false">AQ13+AQ48</f>
        <v>945.374503875825</v>
      </c>
      <c r="AR54" s="158"/>
      <c r="AS54" s="158"/>
      <c r="AT54" s="215"/>
      <c r="AU54" s="215"/>
      <c r="AV54" s="182"/>
      <c r="AW54" s="320"/>
      <c r="AX54" s="215"/>
      <c r="AY54" s="215"/>
      <c r="AZ54" s="299"/>
      <c r="BA54" s="338" t="n">
        <f aca="false">BA53*$D$2</f>
        <v>5171.19203487678</v>
      </c>
    </row>
    <row r="55" customFormat="false" ht="3" hidden="false" customHeight="true" outlineLevel="0" collapsed="false">
      <c r="A55" s="231"/>
      <c r="B55" s="488"/>
      <c r="C55" s="489"/>
      <c r="D55" s="231"/>
      <c r="E55" s="489"/>
      <c r="F55" s="490"/>
      <c r="G55" s="231"/>
      <c r="H55" s="565"/>
      <c r="I55" s="231"/>
      <c r="J55" s="231"/>
      <c r="K55" s="231"/>
      <c r="L55" s="231"/>
      <c r="M55" s="492"/>
      <c r="N55" s="231"/>
      <c r="O55" s="231"/>
      <c r="P55" s="493"/>
      <c r="Q55" s="231"/>
      <c r="R55" s="566"/>
      <c r="S55" s="231"/>
      <c r="T55" s="231"/>
      <c r="U55" s="494"/>
      <c r="V55" s="231"/>
      <c r="W55" s="231"/>
      <c r="X55" s="231"/>
      <c r="Y55" s="231"/>
      <c r="Z55" s="489"/>
      <c r="AA55" s="231"/>
      <c r="AB55" s="489"/>
      <c r="AC55" s="489"/>
      <c r="AD55" s="489"/>
      <c r="AE55" s="231"/>
      <c r="AF55" s="237"/>
      <c r="AG55" s="241"/>
      <c r="AH55" s="231"/>
      <c r="AI55" s="489"/>
      <c r="AJ55" s="489"/>
      <c r="AK55" s="231"/>
      <c r="AL55" s="231"/>
      <c r="AM55" s="231"/>
      <c r="AN55" s="488"/>
      <c r="AO55" s="491"/>
      <c r="AP55" s="491"/>
      <c r="AQ55" s="493"/>
      <c r="AR55" s="493"/>
      <c r="AS55" s="493"/>
      <c r="AT55" s="231"/>
      <c r="AU55" s="231"/>
      <c r="AV55" s="231"/>
      <c r="AW55" s="488"/>
      <c r="AX55" s="231"/>
      <c r="AY55" s="231"/>
      <c r="AZ55" s="257"/>
      <c r="BA55" s="317"/>
    </row>
    <row r="56" customFormat="false" ht="11.1" hidden="false" customHeight="true" outlineLevel="0" collapsed="false">
      <c r="G56" s="186"/>
      <c r="H56" s="567"/>
      <c r="I56" s="174"/>
      <c r="N56" s="2"/>
      <c r="Q56" s="179"/>
      <c r="W56" s="176"/>
      <c r="X56" s="1"/>
      <c r="Y56" s="1"/>
      <c r="Z56" s="177"/>
      <c r="AA56" s="1"/>
      <c r="AB56" s="177"/>
      <c r="AE56" s="179"/>
      <c r="AF56" s="179"/>
      <c r="AG56" s="179"/>
      <c r="AH56" s="177"/>
      <c r="AK56" s="180"/>
      <c r="AL56" s="180"/>
      <c r="AM56" s="384"/>
      <c r="AQ56" s="69"/>
      <c r="AR56" s="69"/>
      <c r="AS56" s="69"/>
      <c r="AW56" s="480"/>
      <c r="AX56" s="288"/>
      <c r="AY56" s="411"/>
    </row>
    <row r="57" customFormat="false" ht="11.1" hidden="false" customHeight="true" outlineLevel="0" collapsed="false">
      <c r="A57" s="185"/>
      <c r="B57" s="545"/>
      <c r="C57" s="2"/>
      <c r="D57" s="1"/>
      <c r="E57" s="382"/>
      <c r="F57" s="188"/>
      <c r="G57" s="1"/>
      <c r="H57" s="568"/>
      <c r="I57" s="12"/>
      <c r="J57" s="11"/>
      <c r="K57" s="174"/>
      <c r="L57" s="11"/>
      <c r="M57" s="11"/>
      <c r="N57" s="2"/>
      <c r="O57" s="2"/>
      <c r="P57" s="569"/>
      <c r="Q57" s="472"/>
      <c r="R57" s="93"/>
      <c r="S57" s="93"/>
      <c r="T57" s="93"/>
      <c r="U57" s="93"/>
      <c r="V57" s="26"/>
      <c r="W57" s="130"/>
      <c r="X57" s="469"/>
      <c r="Y57" s="469"/>
      <c r="Z57" s="177"/>
      <c r="AA57" s="469"/>
      <c r="AB57" s="177"/>
      <c r="AC57" s="84"/>
      <c r="AD57" s="84"/>
      <c r="AE57" s="2"/>
      <c r="AF57" s="2"/>
      <c r="AG57" s="2"/>
      <c r="AH57" s="11"/>
      <c r="AI57" s="2"/>
      <c r="AJ57" s="105"/>
      <c r="AK57" s="105"/>
      <c r="AL57" s="188"/>
      <c r="AM57" s="384"/>
      <c r="AN57" s="546"/>
      <c r="AO57" s="570"/>
      <c r="AT57" s="407"/>
      <c r="AW57" s="288"/>
      <c r="AX57" s="288"/>
      <c r="AY57" s="288"/>
    </row>
    <row r="58" customFormat="false" ht="11.1" hidden="false" customHeight="true" outlineLevel="0" collapsed="false">
      <c r="B58" s="177"/>
      <c r="E58" s="382"/>
      <c r="F58" s="225"/>
      <c r="G58" s="1"/>
      <c r="H58" s="568"/>
      <c r="I58" s="1"/>
      <c r="J58" s="1"/>
      <c r="K58" s="383"/>
      <c r="L58" s="4"/>
      <c r="M58" s="4"/>
      <c r="N58" s="4"/>
      <c r="O58" s="177"/>
      <c r="P58" s="384"/>
      <c r="Q58" s="8"/>
      <c r="R58" s="93"/>
      <c r="S58" s="93"/>
      <c r="T58" s="93"/>
      <c r="U58" s="93"/>
      <c r="V58" s="26"/>
      <c r="W58" s="130"/>
      <c r="X58" s="90"/>
      <c r="Y58" s="90"/>
      <c r="Z58" s="177"/>
      <c r="AA58" s="90"/>
      <c r="AB58" s="177"/>
      <c r="AE58" s="177"/>
      <c r="AF58" s="177"/>
      <c r="AG58" s="177"/>
      <c r="AH58" s="2"/>
      <c r="AI58" s="26"/>
      <c r="AJ58" s="473"/>
      <c r="AK58" s="473"/>
      <c r="AL58" s="180"/>
      <c r="AM58" s="384"/>
      <c r="AT58" s="407"/>
      <c r="AW58" s="288"/>
      <c r="AX58" s="288"/>
      <c r="AY58" s="411"/>
    </row>
    <row r="59" customFormat="false" ht="11.1" hidden="false" customHeight="true" outlineLevel="0" collapsed="false">
      <c r="D59" s="177"/>
      <c r="E59" s="382"/>
      <c r="F59" s="1"/>
      <c r="G59" s="1"/>
      <c r="H59" s="84"/>
      <c r="I59" s="1"/>
      <c r="J59" s="1"/>
      <c r="K59" s="383"/>
      <c r="L59" s="182"/>
      <c r="M59" s="4"/>
      <c r="N59" s="4"/>
      <c r="O59" s="182"/>
      <c r="P59" s="384"/>
      <c r="Q59" s="8"/>
      <c r="R59" s="93"/>
      <c r="S59" s="93"/>
      <c r="T59" s="93"/>
      <c r="U59" s="93"/>
      <c r="V59" s="26"/>
      <c r="W59" s="26"/>
      <c r="X59" s="90"/>
      <c r="Y59" s="90"/>
      <c r="Z59" s="182"/>
      <c r="AA59" s="90"/>
      <c r="AB59" s="182"/>
      <c r="AC59" s="182"/>
      <c r="AD59" s="182"/>
      <c r="AE59" s="177"/>
      <c r="AF59" s="177"/>
      <c r="AG59" s="177"/>
      <c r="AH59" s="2"/>
      <c r="AI59" s="177"/>
      <c r="AJ59" s="225"/>
      <c r="AK59" s="225"/>
      <c r="AL59" s="180"/>
      <c r="AM59" s="571"/>
      <c r="AT59" s="407"/>
      <c r="AW59" s="288"/>
      <c r="AX59" s="288"/>
      <c r="AY59" s="411"/>
    </row>
    <row r="60" customFormat="false" ht="11.1" hidden="false" customHeight="true" outlineLevel="0" collapsed="false">
      <c r="G60" s="273"/>
      <c r="H60" s="567"/>
      <c r="Q60" s="8"/>
      <c r="R60" s="8"/>
      <c r="S60" s="8"/>
      <c r="T60" s="8"/>
      <c r="W60" s="176"/>
      <c r="X60" s="1"/>
      <c r="Y60" s="1"/>
      <c r="Z60" s="177"/>
      <c r="AA60" s="1"/>
      <c r="AB60" s="177"/>
      <c r="AH60" s="177"/>
      <c r="AK60" s="180"/>
      <c r="AL60" s="180"/>
      <c r="AM60" s="384"/>
      <c r="AT60" s="407"/>
      <c r="AW60" s="480"/>
      <c r="AX60" s="288"/>
      <c r="AY60" s="411"/>
    </row>
    <row r="61" customFormat="false" ht="11.1" hidden="false" customHeight="true" outlineLevel="0" collapsed="false">
      <c r="H61" s="567"/>
      <c r="Q61" s="8"/>
      <c r="R61" s="8"/>
      <c r="S61" s="8"/>
      <c r="T61" s="8"/>
      <c r="W61" s="176"/>
      <c r="X61" s="177"/>
      <c r="Y61" s="177"/>
      <c r="Z61" s="177"/>
      <c r="AA61" s="177"/>
      <c r="AB61" s="177"/>
      <c r="AH61" s="177"/>
      <c r="AK61" s="180"/>
      <c r="AL61" s="180"/>
      <c r="AM61" s="384"/>
      <c r="AT61" s="407"/>
      <c r="AW61" s="480"/>
      <c r="AX61" s="288"/>
      <c r="AY61" s="411"/>
    </row>
    <row r="62" customFormat="false" ht="11.1" hidden="false" customHeight="true" outlineLevel="0" collapsed="false">
      <c r="H62" s="567"/>
      <c r="Q62" s="179"/>
      <c r="W62" s="176"/>
      <c r="X62" s="177"/>
      <c r="Y62" s="177"/>
      <c r="AA62" s="177"/>
      <c r="AC62" s="176"/>
      <c r="AD62" s="176"/>
      <c r="AH62" s="177"/>
      <c r="AK62" s="180"/>
      <c r="AL62" s="180"/>
      <c r="AM62" s="384"/>
      <c r="AQ62" s="69"/>
      <c r="AR62" s="69"/>
      <c r="AS62" s="69"/>
      <c r="AW62" s="480"/>
      <c r="AX62" s="288"/>
      <c r="AY62" s="411"/>
    </row>
  </sheetData>
  <mergeCells count="1">
    <mergeCell ref="M5:U5"/>
  </mergeCells>
  <printOptions headings="true" gridLines="true" gridLinesSet="true" horizontalCentered="true" verticalCentered="true"/>
  <pageMargins left="0.25" right="0.25" top="0.5" bottom="0" header="0.5" footer="0.511811023622047"/>
  <pageSetup paperSize="5" scale="93" fitToWidth="1" fitToHeight="1" pageOrder="downThenOver" orientation="landscape" blackAndWhite="false" draft="false" cellComments="atEnd" horizontalDpi="300" verticalDpi="300" copies="1"/>
  <headerFooter differentFirst="false" differentOddEven="false">
    <oddHeader>&amp;C2012 Approved</oddHeader>
    <oddFooter/>
  </headerFooter>
  <rowBreaks count="1" manualBreakCount="1">
    <brk id="60" man="true" max="16383" min="0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1997-11-03T15:03:40Z</dcterms:created>
  <dc:creator>E. A. Birk</dc:creator>
  <dc:description/>
  <dc:language>en-US</dc:language>
  <cp:lastModifiedBy>LaVon Millard</cp:lastModifiedBy>
  <cp:lastPrinted>2012-12-02T13:48:43Z</cp:lastPrinted>
  <dcterms:modified xsi:type="dcterms:W3CDTF">2012-12-02T14:06:01Z</dcterms:modified>
  <cp:revision>0</cp:revision>
  <dc:subject>MCPHEE IN/OUT FLOW</dc:subject>
  <dc:title>RIVER</dc:title>
</cp:coreProperties>
</file>