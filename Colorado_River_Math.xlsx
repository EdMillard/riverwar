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orado River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<sst xmlns="http://schemas.openxmlformats.org/spreadsheetml/2006/main" count="32" uniqueCount="32">
  <si>
    <t xml:space="preserve">Year</t>
  </si>
  <si>
    <t xml:space="preserve">Natural Lees Ferry</t>
  </si>
  <si>
    <t xml:space="preserve">Natural Border</t>
  </si>
  <si>
    <t xml:space="preserve">NV</t>
  </si>
  <si>
    <t xml:space="preserve">AZ</t>
  </si>
  <si>
    <t xml:space="preserve">CA</t>
  </si>
  <si>
    <t xml:space="preserve">Lower Basin CU</t>
  </si>
  <si>
    <t xml:space="preserve">Mexico</t>
  </si>
  <si>
    <t xml:space="preserve">Mead Evaporation</t>
  </si>
  <si>
    <t xml:space="preserve">Hoover Release</t>
  </si>
  <si>
    <t xml:space="preserve">Hoover USGS</t>
  </si>
  <si>
    <t xml:space="preserve">H-M</t>
  </si>
  <si>
    <t xml:space="preserve">Diff 7.5</t>
  </si>
  <si>
    <t xml:space="preserve">Mead</t>
  </si>
  <si>
    <t xml:space="preserve">Powell</t>
  </si>
  <si>
    <t xml:space="preserve">Powell Evaporation</t>
  </si>
  <si>
    <t xml:space="preserve">Glen Canyon</t>
  </si>
  <si>
    <t xml:space="preserve">Lees Ferry USGS</t>
  </si>
  <si>
    <t xml:space="preserve">Inflow</t>
  </si>
  <si>
    <t xml:space="preserve">Inflow Unregulated</t>
  </si>
  <si>
    <t xml:space="preserve">Upper Basin CU</t>
  </si>
  <si>
    <t xml:space="preserve">CO</t>
  </si>
  <si>
    <t xml:space="preserve">UT</t>
  </si>
  <si>
    <t xml:space="preserve">WY</t>
  </si>
  <si>
    <t xml:space="preserve">NM</t>
  </si>
  <si>
    <t xml:space="preserve">AZ_</t>
  </si>
  <si>
    <t xml:space="preserve">Gila Consumptive Use</t>
  </si>
  <si>
    <t xml:space="preserve">Natural Gila</t>
  </si>
  <si>
    <t xml:space="preserve">Powell Elevation</t>
  </si>
  <si>
    <t xml:space="preserve">Salton Sea Elevation</t>
  </si>
  <si>
    <t xml:space="preserve">Alamo River</t>
  </si>
  <si>
    <t xml:space="preserve">New River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</si>
</sst>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 Narrow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8FFF0"/>
        <bgColor rgb="FFFFF0F0"/>
      </patternFill>
    </fill>
    <fill>
      <patternFill patternType="solid">
        <fgColor rgb="FFFFF0F0"/>
        <bgColor rgb="FFF8FFF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FFF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0F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:Z64"/>
    </sheetView>
  </sheetViews>
  <sheetFormatPr defaultColWidth="8.40234375" defaultRowHeight="15" zeroHeight="false" outlineLevelRow="0" outlineLevelCol="0"/>
  <cols>
    <col collapsed="false" customWidth="true" hidden="false" outlineLevel="0" max="32" min="1" style="0" width="5"/>
  </cols>
  <sheetData>
    <row r="1" customFormat="false" ht="24.75" hidden="false" customHeight="true" outlineLevel="0" collapsed="false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</row>
    <row r="2" customFormat="false" ht="15" hidden="false" customHeight="false" outlineLevel="0" collapsed="false">
      <c r="A2" s="5" t="n">
        <v>1964</v>
      </c>
      <c r="B2" s="6" t="n">
        <v>10.414057</v>
      </c>
      <c r="C2" s="7" t="n">
        <v>10.69969</v>
      </c>
      <c r="D2" s="8" t="n">
        <v>0.025297</v>
      </c>
      <c r="E2" s="8" t="n">
        <v>1.127176</v>
      </c>
      <c r="F2" s="8" t="n">
        <v>5.064733</v>
      </c>
      <c r="G2" s="9" t="n">
        <f aca="false">SUM(D2:F2)</f>
        <v>6.217206</v>
      </c>
      <c r="H2" s="8"/>
      <c r="I2" s="8"/>
      <c r="J2" s="10"/>
      <c r="K2" s="10" t="n">
        <v>8.23411178588867</v>
      </c>
      <c r="L2" s="10" t="n">
        <f aca="false">J2-I2</f>
        <v>0</v>
      </c>
      <c r="M2" s="10" t="n">
        <f aca="false">L2-7.5</f>
        <v>-7.5</v>
      </c>
      <c r="N2" s="11" t="n">
        <v>11.6230001449585</v>
      </c>
      <c r="O2" s="10" t="n">
        <v>4.09730005264282</v>
      </c>
      <c r="P2" s="10" t="n">
        <v>0.0737751647830009</v>
      </c>
      <c r="Q2" s="10" t="n">
        <v>2.41348242759705</v>
      </c>
      <c r="R2" s="10" t="n">
        <v>2.41346907615662</v>
      </c>
      <c r="S2" s="10" t="n">
        <v>6.64640092849731</v>
      </c>
      <c r="T2" s="8" t="n">
        <v>7.49160814285278</v>
      </c>
      <c r="U2" s="9"/>
      <c r="V2" s="8"/>
      <c r="W2" s="8"/>
      <c r="X2" s="8"/>
      <c r="Y2" s="8"/>
      <c r="Z2" s="8"/>
      <c r="AA2" s="10"/>
      <c r="AB2" s="10"/>
      <c r="AC2" s="10" t="n">
        <v>0.00349168991670013</v>
      </c>
      <c r="AD2" s="10"/>
      <c r="AE2" s="10" t="n">
        <v>0.607152700424194</v>
      </c>
      <c r="AF2" s="10" t="n">
        <v>0.395543366670609</v>
      </c>
    </row>
    <row r="3" customFormat="false" ht="15" hidden="false" customHeight="false" outlineLevel="0" collapsed="false">
      <c r="A3" s="5" t="n">
        <v>1965</v>
      </c>
      <c r="B3" s="6" t="n">
        <v>19.416659</v>
      </c>
      <c r="C3" s="7" t="n">
        <v>20.840676</v>
      </c>
      <c r="D3" s="8" t="n">
        <v>0.022688</v>
      </c>
      <c r="E3" s="8" t="n">
        <v>1.008531</v>
      </c>
      <c r="F3" s="8" t="n">
        <v>4.899987</v>
      </c>
      <c r="G3" s="9" t="n">
        <f aca="false">SUM(D3:F3)</f>
        <v>5.931206</v>
      </c>
      <c r="H3" s="8" t="n">
        <v>1.5</v>
      </c>
      <c r="I3" s="8"/>
      <c r="J3" s="10"/>
      <c r="K3" s="10" t="n">
        <v>7.91679811477661</v>
      </c>
      <c r="L3" s="10" t="n">
        <f aca="false">J3-I3</f>
        <v>0</v>
      </c>
      <c r="M3" s="10" t="n">
        <f aca="false">L3-7.5</f>
        <v>-7.5</v>
      </c>
      <c r="N3" s="11" t="n">
        <v>14.7080001831055</v>
      </c>
      <c r="O3" s="10" t="n">
        <v>6.2617998123169</v>
      </c>
      <c r="P3" s="10" t="n">
        <v>0.166053086519241</v>
      </c>
      <c r="Q3" s="10" t="n">
        <v>10.8200721740723</v>
      </c>
      <c r="R3" s="10" t="n">
        <v>10.8200073242188</v>
      </c>
      <c r="S3" s="10" t="n">
        <v>13.704891204834</v>
      </c>
      <c r="T3" s="8" t="n">
        <v>15.0464477539062</v>
      </c>
      <c r="U3" s="9"/>
      <c r="V3" s="8"/>
      <c r="W3" s="8"/>
      <c r="X3" s="8"/>
      <c r="Y3" s="8"/>
      <c r="Z3" s="8"/>
      <c r="AA3" s="10"/>
      <c r="AB3" s="10"/>
      <c r="AC3" s="10" t="n">
        <v>0.00353012001141906</v>
      </c>
      <c r="AD3" s="10"/>
      <c r="AE3" s="10" t="n">
        <v>0.535936534404755</v>
      </c>
      <c r="AF3" s="10" t="n">
        <v>0.350457370281219</v>
      </c>
    </row>
    <row r="4" customFormat="false" ht="15" hidden="false" customHeight="false" outlineLevel="0" collapsed="false">
      <c r="A4" s="5" t="n">
        <v>1966</v>
      </c>
      <c r="B4" s="6" t="n">
        <v>10.162126</v>
      </c>
      <c r="C4" s="7" t="n">
        <v>11.234654</v>
      </c>
      <c r="D4" s="8" t="n">
        <v>0.026626</v>
      </c>
      <c r="E4" s="8" t="n">
        <v>1.073055</v>
      </c>
      <c r="F4" s="8" t="n">
        <v>5.096912</v>
      </c>
      <c r="G4" s="9" t="n">
        <f aca="false">SUM(D4:F4)</f>
        <v>6.196593</v>
      </c>
      <c r="H4" s="8" t="n">
        <v>1.5</v>
      </c>
      <c r="I4" s="8"/>
      <c r="J4" s="10" t="n">
        <v>7.781</v>
      </c>
      <c r="K4" s="10" t="n">
        <v>7.76867341995239</v>
      </c>
      <c r="L4" s="10" t="n">
        <f aca="false">J4-I4</f>
        <v>7.781</v>
      </c>
      <c r="M4" s="10" t="n">
        <f aca="false">L4-7.5</f>
        <v>0.281</v>
      </c>
      <c r="N4" s="11" t="n">
        <v>15.003999710083</v>
      </c>
      <c r="O4" s="10" t="n">
        <v>6.21929979324341</v>
      </c>
      <c r="P4" s="10" t="n">
        <v>0.216575369238853</v>
      </c>
      <c r="Q4" s="10" t="n">
        <v>7.8543119430542</v>
      </c>
      <c r="R4" s="10" t="n">
        <v>7.8542594909668</v>
      </c>
      <c r="S4" s="10" t="n">
        <v>8.54791736602783</v>
      </c>
      <c r="T4" s="8" t="n">
        <v>8.68894100189209</v>
      </c>
      <c r="U4" s="9"/>
      <c r="V4" s="8"/>
      <c r="W4" s="8"/>
      <c r="X4" s="8"/>
      <c r="Y4" s="8"/>
      <c r="Z4" s="8"/>
      <c r="AA4" s="10"/>
      <c r="AB4" s="10"/>
      <c r="AC4" s="10" t="n">
        <v>0.0035294599365443</v>
      </c>
      <c r="AD4" s="10"/>
      <c r="AE4" s="10" t="n">
        <v>0.583384871482849</v>
      </c>
      <c r="AF4" s="10" t="n">
        <v>0.376516073942184</v>
      </c>
    </row>
    <row r="5" customFormat="false" ht="15" hidden="false" customHeight="false" outlineLevel="0" collapsed="false">
      <c r="A5" s="5" t="n">
        <v>1967</v>
      </c>
      <c r="B5" s="6" t="n">
        <v>11.505464</v>
      </c>
      <c r="C5" s="7" t="n">
        <v>12.290233</v>
      </c>
      <c r="D5" s="8" t="n">
        <v>0.027134</v>
      </c>
      <c r="E5" s="8" t="n">
        <v>1.042437</v>
      </c>
      <c r="F5" s="8" t="n">
        <v>4.886734</v>
      </c>
      <c r="G5" s="9" t="n">
        <f aca="false">SUM(D5:F5)</f>
        <v>5.956305</v>
      </c>
      <c r="H5" s="8" t="n">
        <v>1.5</v>
      </c>
      <c r="I5" s="8"/>
      <c r="J5" s="10" t="n">
        <v>7.932</v>
      </c>
      <c r="K5" s="10" t="n">
        <v>7.83212423324585</v>
      </c>
      <c r="L5" s="10" t="n">
        <f aca="false">J5-I5</f>
        <v>7.932</v>
      </c>
      <c r="M5" s="10" t="n">
        <f aca="false">L5-7.5</f>
        <v>0.432</v>
      </c>
      <c r="N5" s="11" t="n">
        <v>14.375</v>
      </c>
      <c r="O5" s="10" t="n">
        <v>6.15759992599487</v>
      </c>
      <c r="P5" s="10" t="n">
        <v>0.191975176334381</v>
      </c>
      <c r="Q5" s="10" t="n">
        <v>7.79738426208496</v>
      </c>
      <c r="R5" s="10" t="n">
        <v>7.79733467102051</v>
      </c>
      <c r="S5" s="10" t="n">
        <v>8.24922370910645</v>
      </c>
      <c r="T5" s="8" t="n">
        <v>8.97910308837891</v>
      </c>
      <c r="U5" s="9"/>
      <c r="V5" s="8"/>
      <c r="W5" s="8"/>
      <c r="X5" s="8"/>
      <c r="Y5" s="8"/>
      <c r="Z5" s="8"/>
      <c r="AA5" s="10"/>
      <c r="AB5" s="10"/>
      <c r="AC5" s="10" t="n">
        <v>0.00352848996408284</v>
      </c>
      <c r="AD5" s="10"/>
      <c r="AE5" s="10" t="n">
        <v>0.62974625825882</v>
      </c>
      <c r="AF5" s="10" t="n">
        <v>0.38642343878746</v>
      </c>
    </row>
    <row r="6" customFormat="false" ht="15" hidden="false" customHeight="false" outlineLevel="0" collapsed="false">
      <c r="A6" s="5" t="n">
        <v>1968</v>
      </c>
      <c r="B6" s="6" t="n">
        <v>13.6545</v>
      </c>
      <c r="C6" s="7" t="n">
        <v>14.389854</v>
      </c>
      <c r="D6" s="8" t="n">
        <v>0.03356</v>
      </c>
      <c r="E6" s="8" t="n">
        <v>1.097398</v>
      </c>
      <c r="F6" s="8" t="n">
        <v>5.072533</v>
      </c>
      <c r="G6" s="9" t="n">
        <f aca="false">SUM(D6:F6)</f>
        <v>6.203491</v>
      </c>
      <c r="H6" s="8" t="n">
        <v>1.5</v>
      </c>
      <c r="I6" s="8"/>
      <c r="J6" s="10" t="n">
        <v>7.838</v>
      </c>
      <c r="K6" s="10" t="n">
        <v>7.8304386138916</v>
      </c>
      <c r="L6" s="10" t="n">
        <f aca="false">J6-I6</f>
        <v>7.838</v>
      </c>
      <c r="M6" s="10" t="n">
        <f aca="false">L6-7.5</f>
        <v>0.338</v>
      </c>
      <c r="N6" s="11" t="n">
        <v>15.0179996490479</v>
      </c>
      <c r="O6" s="10" t="n">
        <v>7.27069997787476</v>
      </c>
      <c r="P6" s="10" t="n">
        <v>0.213551998138428</v>
      </c>
      <c r="Q6" s="10" t="n">
        <v>8.33384895324707</v>
      </c>
      <c r="R6" s="10" t="n">
        <v>8.33380031585693</v>
      </c>
      <c r="S6" s="10" t="n">
        <v>9.92596626281738</v>
      </c>
      <c r="T6" s="8" t="n">
        <v>10.3189315795898</v>
      </c>
      <c r="U6" s="9"/>
      <c r="V6" s="8"/>
      <c r="W6" s="8"/>
      <c r="X6" s="8"/>
      <c r="Y6" s="8"/>
      <c r="Z6" s="8"/>
      <c r="AA6" s="10"/>
      <c r="AB6" s="10"/>
      <c r="AC6" s="10" t="n">
        <v>0.00354535016231239</v>
      </c>
      <c r="AD6" s="10"/>
      <c r="AE6" s="10" t="n">
        <v>0.601464152336121</v>
      </c>
      <c r="AF6" s="10" t="n">
        <v>0.385588407516479</v>
      </c>
    </row>
    <row r="7" customFormat="false" ht="15" hidden="false" customHeight="false" outlineLevel="0" collapsed="false">
      <c r="A7" s="5" t="n">
        <v>1969</v>
      </c>
      <c r="B7" s="6" t="n">
        <v>14.915964</v>
      </c>
      <c r="C7" s="7" t="n">
        <v>15.891007</v>
      </c>
      <c r="D7" s="8" t="n">
        <v>0.037392</v>
      </c>
      <c r="E7" s="8" t="n">
        <v>1.138085</v>
      </c>
      <c r="F7" s="8" t="n">
        <v>4.896527</v>
      </c>
      <c r="G7" s="9" t="n">
        <f aca="false">SUM(D7:F7)</f>
        <v>6.072004</v>
      </c>
      <c r="H7" s="8" t="n">
        <v>1.5</v>
      </c>
      <c r="I7" s="8"/>
      <c r="J7" s="10" t="n">
        <v>7.892</v>
      </c>
      <c r="K7" s="10" t="n">
        <v>7.98552513122559</v>
      </c>
      <c r="L7" s="10" t="n">
        <f aca="false">J7-I7</f>
        <v>7.892</v>
      </c>
      <c r="M7" s="10" t="n">
        <f aca="false">L7-7.5</f>
        <v>0.392</v>
      </c>
      <c r="N7" s="11" t="n">
        <v>16.132999420166</v>
      </c>
      <c r="O7" s="10" t="n">
        <v>9.39109992980957</v>
      </c>
      <c r="P7" s="10" t="n">
        <v>0.270931005477905</v>
      </c>
      <c r="Q7" s="10" t="n">
        <v>8.82334995269775</v>
      </c>
      <c r="R7" s="10" t="n">
        <v>8.82329845428467</v>
      </c>
      <c r="S7" s="10" t="n">
        <v>11.5084581375122</v>
      </c>
      <c r="T7" s="8" t="n">
        <v>11.5204219818115</v>
      </c>
      <c r="U7" s="9"/>
      <c r="V7" s="8"/>
      <c r="W7" s="8"/>
      <c r="X7" s="8"/>
      <c r="Y7" s="8"/>
      <c r="Z7" s="8"/>
      <c r="AA7" s="10"/>
      <c r="AB7" s="10"/>
      <c r="AC7" s="10" t="n">
        <v>0.00357332010753453</v>
      </c>
      <c r="AD7" s="10"/>
      <c r="AE7" s="10" t="n">
        <v>0.59984165430069</v>
      </c>
      <c r="AF7" s="10" t="n">
        <v>0.376430749893188</v>
      </c>
    </row>
    <row r="8" customFormat="false" ht="15" hidden="false" customHeight="false" outlineLevel="0" collapsed="false">
      <c r="A8" s="5" t="n">
        <v>1970</v>
      </c>
      <c r="B8" s="6" t="n">
        <v>14.947995</v>
      </c>
      <c r="C8" s="7" t="n">
        <v>15.626758</v>
      </c>
      <c r="D8" s="8" t="n">
        <v>0.038308</v>
      </c>
      <c r="E8" s="8" t="n">
        <v>1.201441</v>
      </c>
      <c r="F8" s="8" t="n">
        <v>5.015018</v>
      </c>
      <c r="G8" s="9" t="n">
        <f aca="false">SUM(D8:F8)</f>
        <v>6.254767</v>
      </c>
      <c r="H8" s="8" t="n">
        <v>1.5</v>
      </c>
      <c r="I8" s="8"/>
      <c r="J8" s="10" t="n">
        <v>8.023</v>
      </c>
      <c r="K8" s="10" t="n">
        <v>7.89442443847656</v>
      </c>
      <c r="L8" s="10" t="n">
        <f aca="false">J8-I8</f>
        <v>8.023</v>
      </c>
      <c r="M8" s="10" t="n">
        <f aca="false">L8-7.5</f>
        <v>0.523</v>
      </c>
      <c r="N8" s="11" t="n">
        <v>16.7689990997315</v>
      </c>
      <c r="O8" s="10" t="n">
        <v>11.654899597168</v>
      </c>
      <c r="P8" s="10" t="n">
        <v>0.32339146733284</v>
      </c>
      <c r="Q8" s="10" t="n">
        <v>8.67225074768066</v>
      </c>
      <c r="R8" s="10" t="n">
        <v>8.67219829559326</v>
      </c>
      <c r="S8" s="10" t="n">
        <v>11.7580671310425</v>
      </c>
      <c r="T8" s="8" t="n">
        <v>11.9917716979981</v>
      </c>
      <c r="U8" s="9"/>
      <c r="V8" s="8"/>
      <c r="W8" s="8"/>
      <c r="X8" s="8"/>
      <c r="Y8" s="8"/>
      <c r="Z8" s="8"/>
      <c r="AA8" s="10"/>
      <c r="AB8" s="10"/>
      <c r="AC8" s="10" t="n">
        <v>0.00359887001104653</v>
      </c>
      <c r="AD8" s="10"/>
      <c r="AE8" s="10" t="n">
        <v>0.605788052082062</v>
      </c>
      <c r="AF8" s="10" t="n">
        <v>0.389243900775909</v>
      </c>
    </row>
    <row r="9" customFormat="false" ht="15" hidden="false" customHeight="false" outlineLevel="0" collapsed="false">
      <c r="A9" s="5" t="n">
        <v>1971</v>
      </c>
      <c r="B9" s="6" t="n">
        <v>14.898633</v>
      </c>
      <c r="C9" s="7" t="n">
        <v>15.348401</v>
      </c>
      <c r="D9" s="8" t="n">
        <v>0.050586</v>
      </c>
      <c r="E9" s="8" t="n">
        <v>1.29693</v>
      </c>
      <c r="F9" s="8" t="n">
        <v>5.174268</v>
      </c>
      <c r="G9" s="9" t="n">
        <f aca="false">SUM(D9:F9)</f>
        <v>6.521784</v>
      </c>
      <c r="H9" s="8" t="n">
        <v>1.5</v>
      </c>
      <c r="I9" s="8"/>
      <c r="J9" s="10" t="n">
        <v>8.164</v>
      </c>
      <c r="K9" s="10" t="n">
        <v>8.21512985229492</v>
      </c>
      <c r="L9" s="10" t="n">
        <f aca="false">J9-I9</f>
        <v>8.164</v>
      </c>
      <c r="M9" s="10" t="n">
        <f aca="false">L9-7.5</f>
        <v>0.664</v>
      </c>
      <c r="N9" s="11" t="n">
        <v>16.8859996795654</v>
      </c>
      <c r="O9" s="10" t="n">
        <v>13.1745004653931</v>
      </c>
      <c r="P9" s="10" t="n">
        <v>0.383746534585953</v>
      </c>
      <c r="Q9" s="10" t="n">
        <v>8.59072971343994</v>
      </c>
      <c r="R9" s="10" t="n">
        <v>8.59067821502686</v>
      </c>
      <c r="S9" s="10" t="n">
        <v>11.0415773391724</v>
      </c>
      <c r="T9" s="8" t="n">
        <v>11.7978315353394</v>
      </c>
      <c r="U9" s="9" t="n">
        <v>3.658567</v>
      </c>
      <c r="V9" s="8" t="n">
        <v>1.849613</v>
      </c>
      <c r="W9" s="8" t="n">
        <v>0.768433</v>
      </c>
      <c r="X9" s="8" t="n">
        <v>0.368477</v>
      </c>
      <c r="Y9" s="8" t="n">
        <v>0.192626</v>
      </c>
      <c r="Z9" s="8" t="n">
        <v>0.0111</v>
      </c>
      <c r="AA9" s="10"/>
      <c r="AB9" s="10"/>
      <c r="AC9" s="10" t="n">
        <v>0.00361425010487437</v>
      </c>
      <c r="AD9" s="10"/>
      <c r="AE9" s="10" t="n">
        <v>0.666731834411621</v>
      </c>
      <c r="AF9" s="10" t="n">
        <v>0.415733009576798</v>
      </c>
    </row>
    <row r="10" customFormat="false" ht="15" hidden="false" customHeight="false" outlineLevel="0" collapsed="false">
      <c r="A10" s="5" t="n">
        <v>1972</v>
      </c>
      <c r="B10" s="6" t="n">
        <v>13.114747</v>
      </c>
      <c r="C10" s="7" t="n">
        <v>13.590672</v>
      </c>
      <c r="D10" s="8" t="n">
        <v>0.081051</v>
      </c>
      <c r="E10" s="8" t="n">
        <v>1.203043</v>
      </c>
      <c r="F10" s="8" t="n">
        <v>5.230635</v>
      </c>
      <c r="G10" s="9" t="n">
        <f aca="false">SUM(D10:F10)</f>
        <v>6.514729</v>
      </c>
      <c r="H10" s="8" t="n">
        <v>1.5</v>
      </c>
      <c r="I10" s="8"/>
      <c r="J10" s="10" t="n">
        <v>8.099</v>
      </c>
      <c r="K10" s="10" t="n">
        <v>8.26757335662842</v>
      </c>
      <c r="L10" s="10" t="n">
        <f aca="false">J10-I10</f>
        <v>8.099</v>
      </c>
      <c r="M10" s="10" t="n">
        <f aca="false">L10-7.5</f>
        <v>0.599</v>
      </c>
      <c r="N10" s="11" t="n">
        <v>17.4510002136231</v>
      </c>
      <c r="O10" s="10" t="n">
        <v>12.0882997512817</v>
      </c>
      <c r="P10" s="10" t="n">
        <v>0.389710456132889</v>
      </c>
      <c r="Q10" s="10" t="n">
        <v>9.31076812744141</v>
      </c>
      <c r="R10" s="10" t="n">
        <v>9.31071376800537</v>
      </c>
      <c r="S10" s="10" t="n">
        <v>8.79741287231445</v>
      </c>
      <c r="T10" s="8" t="n">
        <v>9.32847404479981</v>
      </c>
      <c r="U10" s="9" t="n">
        <v>3.7397</v>
      </c>
      <c r="V10" s="8" t="n">
        <v>1.906067</v>
      </c>
      <c r="W10" s="8" t="n">
        <v>0.788636</v>
      </c>
      <c r="X10" s="8" t="n">
        <v>0.355571</v>
      </c>
      <c r="Y10" s="8" t="n">
        <v>0.203724</v>
      </c>
      <c r="Z10" s="8" t="n">
        <v>0.0122</v>
      </c>
      <c r="AA10" s="10"/>
      <c r="AB10" s="10"/>
      <c r="AC10" s="10" t="n">
        <v>0.00360339996404946</v>
      </c>
      <c r="AD10" s="10"/>
      <c r="AE10" s="10" t="n">
        <v>0.651941120624542</v>
      </c>
      <c r="AF10" s="10" t="n">
        <v>0.414068877696991</v>
      </c>
    </row>
    <row r="11" customFormat="false" ht="15" hidden="false" customHeight="false" outlineLevel="0" collapsed="false">
      <c r="A11" s="5" t="n">
        <v>1973</v>
      </c>
      <c r="B11" s="6" t="n">
        <v>18.042449</v>
      </c>
      <c r="C11" s="7" t="n">
        <v>19.182018</v>
      </c>
      <c r="D11" s="8" t="n">
        <v>0.092649</v>
      </c>
      <c r="E11" s="8" t="n">
        <v>1.271933</v>
      </c>
      <c r="F11" s="8" t="n">
        <v>5.317547</v>
      </c>
      <c r="G11" s="9" t="n">
        <f aca="false">SUM(D11:F11)</f>
        <v>6.682129</v>
      </c>
      <c r="H11" s="8" t="n">
        <v>1.5</v>
      </c>
      <c r="I11" s="8"/>
      <c r="J11" s="10" t="n">
        <v>8.302</v>
      </c>
      <c r="K11" s="10" t="n">
        <v>7.93667268753052</v>
      </c>
      <c r="L11" s="10" t="n">
        <f aca="false">J11-I11</f>
        <v>8.302</v>
      </c>
      <c r="M11" s="10" t="n">
        <f aca="false">L11-7.5</f>
        <v>0.802</v>
      </c>
      <c r="N11" s="11" t="n">
        <v>20.1760005950928</v>
      </c>
      <c r="O11" s="10" t="n">
        <v>16.7355995178223</v>
      </c>
      <c r="P11" s="10" t="n">
        <v>0.421303302049637</v>
      </c>
      <c r="Q11" s="10" t="n">
        <v>10.1080598831177</v>
      </c>
      <c r="R11" s="10" t="n">
        <v>10.1080045700073</v>
      </c>
      <c r="S11" s="10" t="n">
        <v>15.3972692489624</v>
      </c>
      <c r="T11" s="8" t="n">
        <v>15.9736404418945</v>
      </c>
      <c r="U11" s="9" t="n">
        <v>3.636568</v>
      </c>
      <c r="V11" s="8" t="n">
        <v>1.661791</v>
      </c>
      <c r="W11" s="8" t="n">
        <v>0.767516</v>
      </c>
      <c r="X11" s="8" t="n">
        <v>0.348701</v>
      </c>
      <c r="Y11" s="8" t="n">
        <v>0.311832</v>
      </c>
      <c r="Z11" s="8" t="n">
        <v>0.0114</v>
      </c>
      <c r="AA11" s="10"/>
      <c r="AB11" s="10"/>
      <c r="AC11" s="10" t="n">
        <v>0.00364602007903159</v>
      </c>
      <c r="AD11" s="10"/>
      <c r="AE11" s="10" t="n">
        <v>0.632763087749481</v>
      </c>
      <c r="AF11" s="10" t="n">
        <v>0.42925426363945</v>
      </c>
    </row>
    <row r="12" customFormat="false" ht="15" hidden="false" customHeight="false" outlineLevel="0" collapsed="false">
      <c r="A12" s="5" t="n">
        <v>1974</v>
      </c>
      <c r="B12" s="6" t="n">
        <v>12.909536</v>
      </c>
      <c r="C12" s="7" t="n">
        <v>13.219729</v>
      </c>
      <c r="D12" s="8" t="n">
        <v>0.094889</v>
      </c>
      <c r="E12" s="8" t="n">
        <v>1.325631</v>
      </c>
      <c r="F12" s="8" t="n">
        <v>5.41404</v>
      </c>
      <c r="G12" s="9" t="n">
        <f aca="false">SUM(D12:F12)</f>
        <v>6.83456</v>
      </c>
      <c r="H12" s="8" t="n">
        <v>1.5</v>
      </c>
      <c r="I12" s="8"/>
      <c r="J12" s="10" t="n">
        <v>8.732</v>
      </c>
      <c r="K12" s="10" t="n">
        <v>8.8463659286499</v>
      </c>
      <c r="L12" s="10" t="n">
        <f aca="false">J12-I12</f>
        <v>8.732</v>
      </c>
      <c r="M12" s="10" t="n">
        <f aca="false">L12-7.5</f>
        <v>1.232</v>
      </c>
      <c r="N12" s="11" t="n">
        <v>19.3579998016357</v>
      </c>
      <c r="O12" s="10" t="n">
        <v>17.4416007995606</v>
      </c>
      <c r="P12" s="10" t="n">
        <v>0.520678043365479</v>
      </c>
      <c r="Q12" s="10" t="n">
        <v>8.26607894897461</v>
      </c>
      <c r="R12" s="10" t="n">
        <v>8.26602554321289</v>
      </c>
      <c r="S12" s="10" t="n">
        <v>9.98893356323242</v>
      </c>
      <c r="T12" s="8" t="n">
        <v>9.97014331817627</v>
      </c>
      <c r="U12" s="9" t="n">
        <v>4.061138</v>
      </c>
      <c r="V12" s="8" t="n">
        <v>2.001006</v>
      </c>
      <c r="W12" s="8" t="n">
        <v>0.806646</v>
      </c>
      <c r="X12" s="8" t="n">
        <v>0.41628</v>
      </c>
      <c r="Y12" s="8" t="n">
        <v>0.202714</v>
      </c>
      <c r="Z12" s="8" t="n">
        <v>0.019125</v>
      </c>
      <c r="AA12" s="10"/>
      <c r="AB12" s="10"/>
      <c r="AC12" s="10" t="n">
        <v>0.00365173001773655</v>
      </c>
      <c r="AD12" s="10"/>
      <c r="AE12" s="10" t="n">
        <v>0.687276482582092</v>
      </c>
      <c r="AF12" s="10" t="n">
        <v>0.437527239322662</v>
      </c>
    </row>
    <row r="13" customFormat="false" ht="15" hidden="false" customHeight="false" outlineLevel="0" collapsed="false">
      <c r="A13" s="5" t="n">
        <v>1975</v>
      </c>
      <c r="B13" s="6" t="n">
        <v>16.494364</v>
      </c>
      <c r="C13" s="7" t="n">
        <v>16.79327</v>
      </c>
      <c r="D13" s="8" t="n">
        <v>0.07214</v>
      </c>
      <c r="E13" s="8" t="n">
        <v>1.358003</v>
      </c>
      <c r="F13" s="8" t="n">
        <v>4.983705</v>
      </c>
      <c r="G13" s="9" t="n">
        <f aca="false">SUM(D13:F13)</f>
        <v>6.413848</v>
      </c>
      <c r="H13" s="8" t="n">
        <v>1.5</v>
      </c>
      <c r="I13" s="8"/>
      <c r="J13" s="10" t="n">
        <v>8.367</v>
      </c>
      <c r="K13" s="10" t="n">
        <v>8.3718433380127</v>
      </c>
      <c r="L13" s="10" t="n">
        <f aca="false">J13-I13</f>
        <v>8.367</v>
      </c>
      <c r="M13" s="10" t="n">
        <f aca="false">L13-7.5</f>
        <v>0.867000000000001</v>
      </c>
      <c r="N13" s="11" t="n">
        <v>20.1539993286133</v>
      </c>
      <c r="O13" s="10" t="n">
        <v>19.5804996490479</v>
      </c>
      <c r="P13" s="10" t="n">
        <v>0.537085294723511</v>
      </c>
      <c r="Q13" s="10" t="n">
        <v>9.25513362884522</v>
      </c>
      <c r="R13" s="10" t="n">
        <v>9.25507831573486</v>
      </c>
      <c r="S13" s="10" t="n">
        <v>12.3662633895874</v>
      </c>
      <c r="T13" s="8" t="n">
        <v>13.0954961776733</v>
      </c>
      <c r="U13" s="9" t="n">
        <v>3.887173</v>
      </c>
      <c r="V13" s="8" t="n">
        <v>1.926749</v>
      </c>
      <c r="W13" s="8" t="n">
        <v>0.670246</v>
      </c>
      <c r="X13" s="8" t="n">
        <v>0.329916</v>
      </c>
      <c r="Y13" s="8" t="n">
        <v>0.293751</v>
      </c>
      <c r="Z13" s="8" t="n">
        <v>0.023674</v>
      </c>
      <c r="AA13" s="10"/>
      <c r="AB13" s="10"/>
      <c r="AC13" s="10" t="n">
        <v>0.00366806006059051</v>
      </c>
      <c r="AD13" s="10"/>
      <c r="AE13" s="10" t="n">
        <v>0.66993510723114</v>
      </c>
      <c r="AF13" s="10" t="n">
        <v>0.432999044656753</v>
      </c>
    </row>
    <row r="14" customFormat="false" ht="15" hidden="false" customHeight="false" outlineLevel="0" collapsed="false">
      <c r="A14" s="5" t="n">
        <v>1976</v>
      </c>
      <c r="B14" s="6" t="n">
        <v>11.070775</v>
      </c>
      <c r="C14" s="7" t="n">
        <v>11.603972</v>
      </c>
      <c r="D14" s="8" t="n">
        <v>0.073192</v>
      </c>
      <c r="E14" s="8" t="n">
        <v>1.248</v>
      </c>
      <c r="F14" s="8" t="n">
        <v>4.706594</v>
      </c>
      <c r="G14" s="9" t="n">
        <f aca="false">SUM(D14:F14)</f>
        <v>6.027786</v>
      </c>
      <c r="H14" s="8" t="n">
        <v>1.50006</v>
      </c>
      <c r="I14" s="8"/>
      <c r="J14" s="10" t="n">
        <v>7.927</v>
      </c>
      <c r="K14" s="10" t="n">
        <v>8.32015419006348</v>
      </c>
      <c r="L14" s="10" t="n">
        <f aca="false">J14-I14</f>
        <v>7.927</v>
      </c>
      <c r="M14" s="10" t="n">
        <f aca="false">L14-7.5</f>
        <v>0.427</v>
      </c>
      <c r="N14" s="11" t="n">
        <v>20.0620002746582</v>
      </c>
      <c r="O14" s="10" t="n">
        <v>19.0303001403809</v>
      </c>
      <c r="P14" s="10" t="n">
        <v>0.563558161258698</v>
      </c>
      <c r="Q14" s="10" t="n">
        <v>8.48203563690186</v>
      </c>
      <c r="R14" s="10" t="n">
        <v>8.48198509216309</v>
      </c>
      <c r="S14" s="10" t="n">
        <v>8.71376705169678</v>
      </c>
      <c r="T14" s="8" t="n">
        <v>8.43101024627686</v>
      </c>
      <c r="U14" s="9" t="n">
        <v>3.75317</v>
      </c>
      <c r="V14" s="8" t="n">
        <v>1.792738</v>
      </c>
      <c r="W14" s="8" t="n">
        <v>0.663932</v>
      </c>
      <c r="X14" s="8" t="n">
        <v>0.324538</v>
      </c>
      <c r="Y14" s="8" t="n">
        <v>0.291666</v>
      </c>
      <c r="Z14" s="8" t="n">
        <v>0.030507</v>
      </c>
      <c r="AA14" s="10"/>
      <c r="AB14" s="10"/>
      <c r="AC14" s="10" t="n">
        <v>0.00366399995982647</v>
      </c>
      <c r="AD14" s="10"/>
      <c r="AE14" s="10" t="n">
        <v>0.668068706989288</v>
      </c>
      <c r="AF14" s="10" t="n">
        <v>0.443422079086304</v>
      </c>
    </row>
    <row r="15" customFormat="false" ht="15" hidden="false" customHeight="false" outlineLevel="0" collapsed="false">
      <c r="A15" s="5" t="n">
        <v>1977</v>
      </c>
      <c r="B15" s="6" t="n">
        <v>5.456316</v>
      </c>
      <c r="C15" s="7" t="n">
        <v>5.941876</v>
      </c>
      <c r="D15" s="8" t="n">
        <v>0.073174</v>
      </c>
      <c r="E15" s="8" t="n">
        <v>1.231274</v>
      </c>
      <c r="F15" s="8" t="n">
        <v>5.097343</v>
      </c>
      <c r="G15" s="9" t="n">
        <f aca="false">SUM(D15:F15)</f>
        <v>6.401791</v>
      </c>
      <c r="H15" s="8" t="n">
        <v>1.5</v>
      </c>
      <c r="I15" s="8"/>
      <c r="J15" s="10" t="n">
        <v>7.873</v>
      </c>
      <c r="K15" s="10" t="n">
        <v>7.56169939041138</v>
      </c>
      <c r="L15" s="10" t="n">
        <f aca="false">J15-I15</f>
        <v>7.873</v>
      </c>
      <c r="M15" s="10" t="n">
        <f aca="false">L15-7.5</f>
        <v>0.373</v>
      </c>
      <c r="N15" s="11" t="n">
        <v>20.2049999237061</v>
      </c>
      <c r="O15" s="10" t="n">
        <v>15.6243000030518</v>
      </c>
      <c r="P15" s="10" t="n">
        <v>0.50779664516449</v>
      </c>
      <c r="Q15" s="10" t="n">
        <v>8.26040172576904</v>
      </c>
      <c r="R15" s="10" t="n">
        <v>8.26035308837891</v>
      </c>
      <c r="S15" s="10" t="n">
        <v>5.48169326782227</v>
      </c>
      <c r="T15" s="8" t="n">
        <v>3.5286374092102</v>
      </c>
      <c r="U15" s="9" t="n">
        <v>3.120955</v>
      </c>
      <c r="V15" s="8" t="n">
        <v>1.667944</v>
      </c>
      <c r="W15" s="8" t="n">
        <v>0.410466</v>
      </c>
      <c r="X15" s="8" t="n">
        <v>0.231497</v>
      </c>
      <c r="Y15" s="8" t="n">
        <v>0.219156</v>
      </c>
      <c r="Z15" s="8" t="n">
        <v>0.033871</v>
      </c>
      <c r="AA15" s="10"/>
      <c r="AB15" s="10"/>
      <c r="AC15" s="10" t="n">
        <v>0.00363669986836612</v>
      </c>
      <c r="AD15" s="10"/>
      <c r="AE15" s="10" t="n">
        <v>0.621183633804321</v>
      </c>
      <c r="AF15" s="10" t="n">
        <v>0.422750473022461</v>
      </c>
    </row>
    <row r="16" customFormat="false" ht="15" hidden="false" customHeight="false" outlineLevel="0" collapsed="false">
      <c r="A16" s="5" t="n">
        <v>1978</v>
      </c>
      <c r="B16" s="6" t="n">
        <v>15.12154</v>
      </c>
      <c r="C16" s="7" t="n">
        <v>16.315687</v>
      </c>
      <c r="D16" s="8" t="n">
        <v>0.071293</v>
      </c>
      <c r="E16" s="8" t="n">
        <v>1.234942</v>
      </c>
      <c r="F16" s="8" t="n">
        <v>4.50334</v>
      </c>
      <c r="G16" s="9" t="n">
        <f aca="false">SUM(D16:F16)</f>
        <v>5.809575</v>
      </c>
      <c r="H16" s="8" t="n">
        <v>1.5</v>
      </c>
      <c r="I16" s="8"/>
      <c r="J16" s="10" t="n">
        <v>7.476</v>
      </c>
      <c r="K16" s="10" t="n">
        <v>7.68384122848511</v>
      </c>
      <c r="L16" s="10" t="n">
        <f aca="false">J16-I16</f>
        <v>7.476</v>
      </c>
      <c r="M16" s="10" t="n">
        <f aca="false">L16-7.5</f>
        <v>-0.024</v>
      </c>
      <c r="N16" s="11" t="n">
        <v>20.8689994812012</v>
      </c>
      <c r="O16" s="10" t="n">
        <v>16.0300006866455</v>
      </c>
      <c r="P16" s="10" t="n">
        <v>0.467986315488815</v>
      </c>
      <c r="Q16" s="10" t="n">
        <v>8.35366439819336</v>
      </c>
      <c r="R16" s="10" t="n">
        <v>8.35361480712891</v>
      </c>
      <c r="S16" s="10" t="n">
        <v>9.45250988006592</v>
      </c>
      <c r="T16" s="8" t="n">
        <v>11.0593023300171</v>
      </c>
      <c r="U16" s="9" t="n">
        <v>4.001077</v>
      </c>
      <c r="V16" s="8" t="n">
        <v>2.038995</v>
      </c>
      <c r="W16" s="8" t="n">
        <v>0.70205</v>
      </c>
      <c r="X16" s="8" t="n">
        <v>0.357695</v>
      </c>
      <c r="Y16" s="8" t="n">
        <v>0.324496</v>
      </c>
      <c r="Z16" s="8" t="n">
        <v>0.032875</v>
      </c>
      <c r="AA16" s="10"/>
      <c r="AB16" s="10"/>
      <c r="AC16" s="10" t="n">
        <v>0.00364016997627914</v>
      </c>
      <c r="AD16" s="10"/>
      <c r="AE16" s="10" t="n">
        <v>0.590882360935211</v>
      </c>
      <c r="AF16" s="10" t="n">
        <v>0.380711048841476</v>
      </c>
    </row>
    <row r="17" customFormat="false" ht="15" hidden="false" customHeight="false" outlineLevel="0" collapsed="false">
      <c r="A17" s="5" t="n">
        <v>1979</v>
      </c>
      <c r="B17" s="6" t="n">
        <v>17.384185</v>
      </c>
      <c r="C17" s="7" t="n">
        <v>18.921647</v>
      </c>
      <c r="D17" s="8" t="n">
        <v>0.060074</v>
      </c>
      <c r="E17" s="8" t="n">
        <v>1.150853</v>
      </c>
      <c r="F17" s="8" t="n">
        <v>4.788423</v>
      </c>
      <c r="G17" s="9" t="n">
        <f aca="false">SUM(D17:F17)</f>
        <v>5.99935</v>
      </c>
      <c r="H17" s="8" t="n">
        <v>1.7</v>
      </c>
      <c r="I17" s="8"/>
      <c r="J17" s="10" t="n">
        <v>7.721</v>
      </c>
      <c r="K17" s="10" t="n">
        <v>7.38778972625732</v>
      </c>
      <c r="L17" s="10" t="n">
        <f aca="false">J17-I17</f>
        <v>7.721</v>
      </c>
      <c r="M17" s="10" t="n">
        <f aca="false">L17-7.5</f>
        <v>0.221</v>
      </c>
      <c r="N17" s="11" t="n">
        <v>22.242000579834</v>
      </c>
      <c r="O17" s="10" t="n">
        <v>20.9888000488281</v>
      </c>
      <c r="P17" s="10" t="n">
        <v>0.54180908203125</v>
      </c>
      <c r="Q17" s="10" t="n">
        <v>8.29650020599365</v>
      </c>
      <c r="R17" s="10" t="n">
        <v>8.29645156860352</v>
      </c>
      <c r="S17" s="10" t="n">
        <v>14.2017469406128</v>
      </c>
      <c r="T17" s="8" t="n">
        <v>14.1890630722046</v>
      </c>
      <c r="U17" s="9" t="n">
        <v>4.070013</v>
      </c>
      <c r="V17" s="8" t="n">
        <v>1.866412</v>
      </c>
      <c r="W17" s="8" t="n">
        <v>0.745729</v>
      </c>
      <c r="X17" s="8" t="n">
        <v>0.359358</v>
      </c>
      <c r="Y17" s="8" t="n">
        <v>0.415824</v>
      </c>
      <c r="Z17" s="8" t="n">
        <v>0.033913</v>
      </c>
      <c r="AA17" s="10"/>
      <c r="AB17" s="10"/>
      <c r="AC17" s="10" t="n">
        <v>0.00367810018360615</v>
      </c>
      <c r="AD17" s="10"/>
      <c r="AE17" s="10" t="n">
        <v>0.628933012485504</v>
      </c>
      <c r="AF17" s="10" t="n">
        <v>0.450590312480927</v>
      </c>
    </row>
    <row r="18" customFormat="false" ht="15" hidden="false" customHeight="false" outlineLevel="0" collapsed="false">
      <c r="A18" s="5" t="n">
        <v>1980</v>
      </c>
      <c r="B18" s="6" t="n">
        <v>17.395909</v>
      </c>
      <c r="C18" s="7" t="n">
        <v>19.145522</v>
      </c>
      <c r="D18" s="8" t="n">
        <v>0.092737</v>
      </c>
      <c r="E18" s="8" t="n">
        <v>1.221563</v>
      </c>
      <c r="F18" s="8" t="n">
        <v>4.725496</v>
      </c>
      <c r="G18" s="9" t="n">
        <f aca="false">SUM(D18:F18)</f>
        <v>6.039796</v>
      </c>
      <c r="H18" s="8" t="n">
        <v>1.7</v>
      </c>
      <c r="I18" s="8"/>
      <c r="J18" s="10" t="n">
        <v>11.09</v>
      </c>
      <c r="K18" s="10" t="n">
        <v>9.95759868621826</v>
      </c>
      <c r="L18" s="10" t="n">
        <f aca="false">J18-I18</f>
        <v>11.09</v>
      </c>
      <c r="M18" s="10" t="n">
        <f aca="false">L18-7.5</f>
        <v>3.59</v>
      </c>
      <c r="N18" s="11" t="n">
        <v>23.636999130249</v>
      </c>
      <c r="O18" s="10" t="n">
        <v>22.419599533081</v>
      </c>
      <c r="P18" s="10" t="n">
        <v>0.632342755794525</v>
      </c>
      <c r="Q18" s="10" t="n">
        <v>10.9074831008911</v>
      </c>
      <c r="R18" s="10" t="n">
        <v>10.9074182510376</v>
      </c>
      <c r="S18" s="10" t="n">
        <v>12.8492794036865</v>
      </c>
      <c r="T18" s="8" t="n">
        <v>13.681848526001</v>
      </c>
      <c r="U18" s="9" t="n">
        <v>4.097732</v>
      </c>
      <c r="V18" s="8" t="n">
        <v>1.850654</v>
      </c>
      <c r="W18" s="8" t="n">
        <v>0.706734</v>
      </c>
      <c r="X18" s="8" t="n">
        <v>0.357551</v>
      </c>
      <c r="Y18" s="8" t="n">
        <v>0.423805</v>
      </c>
      <c r="Z18" s="8" t="n">
        <v>0.036872</v>
      </c>
      <c r="AA18" s="10"/>
      <c r="AB18" s="10"/>
      <c r="AC18" s="10" t="n">
        <v>0.00368778011761606</v>
      </c>
      <c r="AD18" s="10"/>
      <c r="AE18" s="10" t="n">
        <v>0.642678380012512</v>
      </c>
      <c r="AF18" s="10" t="n">
        <v>0.451562225818634</v>
      </c>
    </row>
    <row r="19" customFormat="false" ht="15" hidden="false" customHeight="false" outlineLevel="0" collapsed="false">
      <c r="A19" s="5" t="n">
        <v>1981</v>
      </c>
      <c r="B19" s="6" t="n">
        <v>8.956329</v>
      </c>
      <c r="C19" s="7" t="n">
        <v>9.643241</v>
      </c>
      <c r="D19" s="8" t="n">
        <v>0.110017</v>
      </c>
      <c r="E19" s="8" t="n">
        <v>1.41585</v>
      </c>
      <c r="F19" s="8" t="n">
        <v>4.795949</v>
      </c>
      <c r="G19" s="9" t="n">
        <f aca="false">SUM(D19:F19)</f>
        <v>6.321816</v>
      </c>
      <c r="H19" s="8" t="n">
        <v>1.7</v>
      </c>
      <c r="I19" s="8"/>
      <c r="J19" s="10" t="n">
        <v>8.2841</v>
      </c>
      <c r="K19" s="10" t="n">
        <v>9.82754325866699</v>
      </c>
      <c r="L19" s="10" t="n">
        <f aca="false">J19-I19</f>
        <v>8.2841</v>
      </c>
      <c r="M19" s="10" t="n">
        <f aca="false">L19-7.5</f>
        <v>0.7841</v>
      </c>
      <c r="N19" s="11" t="n">
        <v>21.8700008392334</v>
      </c>
      <c r="O19" s="10" t="n">
        <v>20.1156997680664</v>
      </c>
      <c r="P19" s="10" t="n">
        <v>0.605028569698334</v>
      </c>
      <c r="Q19" s="10" t="n">
        <v>8.29514980316162</v>
      </c>
      <c r="R19" s="10" t="n">
        <v>8.29510307312012</v>
      </c>
      <c r="S19" s="10" t="n">
        <v>6.41196584701538</v>
      </c>
      <c r="T19" s="8" t="n">
        <v>5.63864994049072</v>
      </c>
      <c r="U19" s="9" t="n">
        <v>4.115152</v>
      </c>
      <c r="V19" s="8" t="n">
        <v>2.119645</v>
      </c>
      <c r="W19" s="8" t="n">
        <v>0.65492</v>
      </c>
      <c r="X19" s="8" t="n">
        <v>0.345548</v>
      </c>
      <c r="Y19" s="8" t="n">
        <v>0.278861</v>
      </c>
      <c r="Z19" s="8" t="n">
        <v>0.041393</v>
      </c>
      <c r="AA19" s="10"/>
      <c r="AB19" s="10"/>
      <c r="AC19" s="10" t="n">
        <v>0.00367195997387171</v>
      </c>
      <c r="AD19" s="10"/>
      <c r="AE19" s="10" t="n">
        <v>0.615971148014069</v>
      </c>
      <c r="AF19" s="10" t="n">
        <v>0.448527544736862</v>
      </c>
    </row>
    <row r="20" customFormat="false" ht="15" hidden="false" customHeight="false" outlineLevel="0" collapsed="false">
      <c r="A20" s="5" t="n">
        <v>1982</v>
      </c>
      <c r="B20" s="6" t="n">
        <v>17.266265</v>
      </c>
      <c r="C20" s="7" t="n">
        <v>18.117501</v>
      </c>
      <c r="D20" s="8" t="n">
        <v>0.102326</v>
      </c>
      <c r="E20" s="8" t="n">
        <v>1.240384</v>
      </c>
      <c r="F20" s="8" t="n">
        <v>4.299799</v>
      </c>
      <c r="G20" s="9" t="n">
        <f aca="false">SUM(D20:F20)</f>
        <v>5.642509</v>
      </c>
      <c r="H20" s="8" t="n">
        <v>1.5</v>
      </c>
      <c r="I20" s="8"/>
      <c r="J20" s="10" t="n">
        <v>7.4536</v>
      </c>
      <c r="K20" s="10" t="n">
        <v>7.3874921798706</v>
      </c>
      <c r="L20" s="10" t="n">
        <f aca="false">J20-I20</f>
        <v>7.4536</v>
      </c>
      <c r="M20" s="10" t="n">
        <f aca="false">L20-7.5</f>
        <v>-0.0464000000000002</v>
      </c>
      <c r="N20" s="11" t="n">
        <v>22.7660007476807</v>
      </c>
      <c r="O20" s="10" t="n">
        <v>22.3409996032715</v>
      </c>
      <c r="P20" s="10" t="n">
        <v>0.599598050117493</v>
      </c>
      <c r="Q20" s="10" t="n">
        <v>8.30439758300781</v>
      </c>
      <c r="R20" s="10" t="n">
        <v>8.30434608459473</v>
      </c>
      <c r="S20" s="10" t="n">
        <v>11.3073110580444</v>
      </c>
      <c r="T20" s="8" t="n">
        <v>12.7712354660034</v>
      </c>
      <c r="U20" s="9" t="n">
        <v>4.161712</v>
      </c>
      <c r="V20" s="8" t="n">
        <v>2.056138</v>
      </c>
      <c r="W20" s="8" t="n">
        <v>0.622436</v>
      </c>
      <c r="X20" s="8" t="n">
        <v>0.335795</v>
      </c>
      <c r="Y20" s="8" t="n">
        <v>0.407577</v>
      </c>
      <c r="Z20" s="8" t="n">
        <v>0.039334</v>
      </c>
      <c r="AA20" s="10"/>
      <c r="AB20" s="10"/>
      <c r="AC20" s="10" t="n">
        <v>0.00368726998567581</v>
      </c>
      <c r="AD20" s="10"/>
      <c r="AE20" s="10" t="n">
        <v>0.541196703910828</v>
      </c>
      <c r="AF20" s="10" t="n">
        <v>0.400557547807694</v>
      </c>
    </row>
    <row r="21" customFormat="false" ht="15" hidden="false" customHeight="false" outlineLevel="0" collapsed="false">
      <c r="A21" s="5" t="n">
        <v>1983</v>
      </c>
      <c r="B21" s="6" t="n">
        <v>23.570803</v>
      </c>
      <c r="C21" s="7" t="n">
        <v>24.835705</v>
      </c>
      <c r="D21" s="8" t="n">
        <v>0.086596</v>
      </c>
      <c r="E21" s="8" t="n">
        <v>1.062169</v>
      </c>
      <c r="F21" s="8" t="n">
        <v>4.245045</v>
      </c>
      <c r="G21" s="9" t="n">
        <f aca="false">SUM(D21:F21)</f>
        <v>5.39381</v>
      </c>
      <c r="H21" s="8" t="n">
        <v>1.7</v>
      </c>
      <c r="I21" s="8"/>
      <c r="J21" s="10" t="n">
        <v>19.07</v>
      </c>
      <c r="K21" s="10" t="n">
        <v>14.753662109375</v>
      </c>
      <c r="L21" s="10" t="n">
        <f aca="false">J21-I21</f>
        <v>19.07</v>
      </c>
      <c r="M21" s="10" t="n">
        <f aca="false">L21-7.5</f>
        <v>11.57</v>
      </c>
      <c r="N21" s="11" t="n">
        <v>25.6580009460449</v>
      </c>
      <c r="O21" s="10" t="n">
        <v>24.1429996490479</v>
      </c>
      <c r="P21" s="10" t="n">
        <v>0.670813679695129</v>
      </c>
      <c r="Q21" s="10" t="n">
        <v>17.4934425354004</v>
      </c>
      <c r="R21" s="10" t="n">
        <v>17.4933338165283</v>
      </c>
      <c r="S21" s="10" t="n">
        <v>20.1104183197021</v>
      </c>
      <c r="T21" s="8" t="n">
        <v>20.3706092834473</v>
      </c>
      <c r="U21" s="9" t="n">
        <v>4.086068</v>
      </c>
      <c r="V21" s="8" t="n">
        <v>1.921089</v>
      </c>
      <c r="W21" s="8" t="n">
        <v>0.588305</v>
      </c>
      <c r="X21" s="8" t="n">
        <v>0.351752</v>
      </c>
      <c r="Y21" s="8" t="n">
        <v>0.41272</v>
      </c>
      <c r="Z21" s="8" t="n">
        <v>0.041203</v>
      </c>
      <c r="AA21" s="10"/>
      <c r="AB21" s="10"/>
      <c r="AC21" s="10" t="n">
        <v>0.00369886006228626</v>
      </c>
      <c r="AD21" s="10"/>
      <c r="AE21" s="10" t="n">
        <v>0.607856810092926</v>
      </c>
      <c r="AF21" s="10" t="n">
        <v>0.461293071508408</v>
      </c>
    </row>
    <row r="22" customFormat="false" ht="15" hidden="false" customHeight="false" outlineLevel="0" collapsed="false">
      <c r="A22" s="5" t="n">
        <v>1984</v>
      </c>
      <c r="B22" s="6" t="n">
        <v>24.352649</v>
      </c>
      <c r="C22" s="7" t="n">
        <v>25.464507</v>
      </c>
      <c r="D22" s="8" t="n">
        <v>0.101492</v>
      </c>
      <c r="E22" s="8" t="n">
        <v>1.116116</v>
      </c>
      <c r="F22" s="8" t="n">
        <v>4.677103</v>
      </c>
      <c r="G22" s="9" t="n">
        <f aca="false">SUM(D22:F22)</f>
        <v>5.894711</v>
      </c>
      <c r="H22" s="8" t="n">
        <v>1.7</v>
      </c>
      <c r="I22" s="8"/>
      <c r="J22" s="10" t="n">
        <v>21.412</v>
      </c>
      <c r="K22" s="10" t="n">
        <v>22.2099800109863</v>
      </c>
      <c r="L22" s="10" t="n">
        <f aca="false">J22-I22</f>
        <v>21.412</v>
      </c>
      <c r="M22" s="10" t="n">
        <f aca="false">L22-7.5</f>
        <v>13.912</v>
      </c>
      <c r="N22" s="11" t="n">
        <v>24.4060001373291</v>
      </c>
      <c r="O22" s="10" t="n">
        <v>23.6737995147705</v>
      </c>
      <c r="P22" s="10" t="n">
        <v>0.657053649425507</v>
      </c>
      <c r="Q22" s="10" t="n">
        <v>20.4994163513184</v>
      </c>
      <c r="R22" s="10" t="n">
        <v>20.4992485046387</v>
      </c>
      <c r="S22" s="10" t="n">
        <v>20.6497173309326</v>
      </c>
      <c r="T22" s="8" t="n">
        <v>20.8456764221191</v>
      </c>
      <c r="U22" s="9" t="n">
        <v>3.987616</v>
      </c>
      <c r="V22" s="8" t="n">
        <v>1.869335</v>
      </c>
      <c r="W22" s="8" t="n">
        <v>0.629481</v>
      </c>
      <c r="X22" s="8" t="n">
        <v>0.317922</v>
      </c>
      <c r="Y22" s="8" t="n">
        <v>0.378113</v>
      </c>
      <c r="Z22" s="8" t="n">
        <v>0.0436</v>
      </c>
      <c r="AA22" s="10"/>
      <c r="AB22" s="10"/>
      <c r="AC22" s="10" t="n">
        <v>0.00369590986520052</v>
      </c>
      <c r="AD22" s="10"/>
      <c r="AE22" s="10" t="n">
        <v>0.600161015987396</v>
      </c>
      <c r="AF22" s="10" t="n">
        <v>0.511899054050446</v>
      </c>
    </row>
    <row r="23" customFormat="false" ht="15" hidden="false" customHeight="false" outlineLevel="0" collapsed="false">
      <c r="A23" s="5" t="n">
        <v>1985</v>
      </c>
      <c r="B23" s="6" t="n">
        <v>21.039546</v>
      </c>
      <c r="C23" s="7" t="n">
        <v>21.977364</v>
      </c>
      <c r="D23" s="8" t="n">
        <v>0.101709</v>
      </c>
      <c r="E23" s="8" t="n">
        <v>1.194208</v>
      </c>
      <c r="F23" s="8" t="n">
        <v>4.778749</v>
      </c>
      <c r="G23" s="9" t="n">
        <f aca="false">SUM(D23:F23)</f>
        <v>6.074666</v>
      </c>
      <c r="H23" s="8" t="n">
        <v>1.7</v>
      </c>
      <c r="I23" s="8" t="n">
        <v>0.9051</v>
      </c>
      <c r="J23" s="10" t="n">
        <v>17.209</v>
      </c>
      <c r="K23" s="10" t="n">
        <v>18.6343975067139</v>
      </c>
      <c r="L23" s="10" t="n">
        <f aca="false">J23-I23</f>
        <v>16.3039</v>
      </c>
      <c r="M23" s="10" t="n">
        <f aca="false">L23-7.5</f>
        <v>8.8039</v>
      </c>
      <c r="N23" s="11" t="n">
        <v>24.875</v>
      </c>
      <c r="O23" s="10" t="n">
        <v>22.0965995788574</v>
      </c>
      <c r="P23" s="10" t="n">
        <v>0.651715636253357</v>
      </c>
      <c r="Q23" s="10" t="n">
        <v>19.0941047668457</v>
      </c>
      <c r="R23" s="10" t="n">
        <v>19.0939865112305</v>
      </c>
      <c r="S23" s="10" t="n">
        <v>18.0424423217773</v>
      </c>
      <c r="T23" s="8" t="n">
        <v>17.5165824890137</v>
      </c>
      <c r="U23" s="9" t="n">
        <v>4.264431</v>
      </c>
      <c r="V23" s="8" t="n">
        <v>2.001026</v>
      </c>
      <c r="W23" s="8" t="n">
        <v>0.752414</v>
      </c>
      <c r="X23" s="8" t="n">
        <v>0.345159</v>
      </c>
      <c r="Y23" s="8" t="n">
        <v>0.383345</v>
      </c>
      <c r="Z23" s="8" t="n">
        <v>0.045671</v>
      </c>
      <c r="AA23" s="10"/>
      <c r="AB23" s="10"/>
      <c r="AC23" s="10" t="n">
        <v>0.00368565996177494</v>
      </c>
      <c r="AD23" s="10"/>
      <c r="AE23" s="10" t="n">
        <v>0.525642454624176</v>
      </c>
      <c r="AF23" s="10" t="n">
        <v>0.490818858146668</v>
      </c>
    </row>
    <row r="24" customFormat="false" ht="15" hidden="false" customHeight="false" outlineLevel="0" collapsed="false">
      <c r="A24" s="5" t="n">
        <v>1986</v>
      </c>
      <c r="B24" s="6" t="n">
        <v>22.982503</v>
      </c>
      <c r="C24" s="7" t="n">
        <v>23.357818</v>
      </c>
      <c r="D24" s="8" t="n">
        <v>0.112217</v>
      </c>
      <c r="E24" s="8" t="n">
        <v>1.35693</v>
      </c>
      <c r="F24" s="8" t="n">
        <v>4.803676</v>
      </c>
      <c r="G24" s="9" t="n">
        <f aca="false">SUM(D24:F24)</f>
        <v>6.272823</v>
      </c>
      <c r="H24" s="8" t="n">
        <v>1.7</v>
      </c>
      <c r="I24" s="8" t="n">
        <v>0.8839</v>
      </c>
      <c r="J24" s="10" t="n">
        <v>17.547</v>
      </c>
      <c r="K24" s="10" t="n">
        <v>17.213249206543</v>
      </c>
      <c r="L24" s="10" t="n">
        <f aca="false">J24-I24</f>
        <v>16.6631</v>
      </c>
      <c r="M24" s="10" t="n">
        <f aca="false">L24-7.5</f>
        <v>9.1631</v>
      </c>
      <c r="N24" s="11" t="n">
        <v>24.2199993133545</v>
      </c>
      <c r="O24" s="10" t="n">
        <v>22.6956005096436</v>
      </c>
      <c r="P24" s="10" t="n">
        <v>0.647437691688538</v>
      </c>
      <c r="Q24" s="10" t="n">
        <v>16.8478412628174</v>
      </c>
      <c r="R24" s="10" t="n">
        <v>16.8477382659912</v>
      </c>
      <c r="S24" s="10" t="n">
        <v>18.1422023773193</v>
      </c>
      <c r="T24" s="8" t="n">
        <v>18.5455703735352</v>
      </c>
      <c r="U24" s="9" t="n">
        <v>4.226619</v>
      </c>
      <c r="V24" s="8" t="n">
        <v>1.808612</v>
      </c>
      <c r="W24" s="8" t="n">
        <v>0.729463</v>
      </c>
      <c r="X24" s="8" t="n">
        <v>0.470188</v>
      </c>
      <c r="Y24" s="8" t="n">
        <v>0.441607</v>
      </c>
      <c r="Z24" s="8" t="n">
        <v>0.037141</v>
      </c>
      <c r="AA24" s="10"/>
      <c r="AB24" s="10"/>
      <c r="AC24" s="10" t="n">
        <v>0.00368962017819285</v>
      </c>
      <c r="AD24" s="10"/>
      <c r="AE24" s="10" t="n">
        <v>0.492312371730804</v>
      </c>
      <c r="AF24" s="10" t="n">
        <v>0.506184697151184</v>
      </c>
    </row>
    <row r="25" customFormat="false" ht="15" hidden="false" customHeight="false" outlineLevel="0" collapsed="false">
      <c r="A25" s="5" t="n">
        <v>1987</v>
      </c>
      <c r="B25" s="6" t="n">
        <v>15.343159</v>
      </c>
      <c r="C25" s="7" t="n">
        <v>16.367952</v>
      </c>
      <c r="D25" s="8" t="n">
        <v>0.108863</v>
      </c>
      <c r="E25" s="8" t="n">
        <v>1.734172</v>
      </c>
      <c r="F25" s="8" t="n">
        <v>4.891961</v>
      </c>
      <c r="G25" s="9" t="n">
        <f aca="false">SUM(D25:F25)</f>
        <v>6.734996</v>
      </c>
      <c r="H25" s="8" t="n">
        <v>1.7</v>
      </c>
      <c r="I25" s="8" t="n">
        <v>0.8541</v>
      </c>
      <c r="J25" s="10" t="n">
        <v>11.334</v>
      </c>
      <c r="K25" s="10" t="n">
        <v>13.1392259597778</v>
      </c>
      <c r="L25" s="10" t="n">
        <f aca="false">J25-I25</f>
        <v>10.4799</v>
      </c>
      <c r="M25" s="10" t="n">
        <f aca="false">L25-7.5</f>
        <v>2.9799</v>
      </c>
      <c r="N25" s="11" t="n">
        <v>24.3649997711182</v>
      </c>
      <c r="O25" s="10" t="n">
        <v>22.4405002593994</v>
      </c>
      <c r="P25" s="10" t="n">
        <v>0.649061799049377</v>
      </c>
      <c r="Q25" s="10" t="n">
        <v>13.4285879135132</v>
      </c>
      <c r="R25" s="10" t="n">
        <v>13.4285125732422</v>
      </c>
      <c r="S25" s="10" t="n">
        <v>13.8021488189697</v>
      </c>
      <c r="T25" s="8" t="n">
        <v>13.3768157958984</v>
      </c>
      <c r="U25" s="9" t="n">
        <v>4.293844</v>
      </c>
      <c r="V25" s="8" t="n">
        <v>1.89446</v>
      </c>
      <c r="W25" s="8" t="n">
        <v>0.769152</v>
      </c>
      <c r="X25" s="8" t="n">
        <v>0.474601</v>
      </c>
      <c r="Y25" s="8" t="n">
        <v>0.378328</v>
      </c>
      <c r="Z25" s="8" t="n">
        <v>0.038088</v>
      </c>
      <c r="AA25" s="10"/>
      <c r="AB25" s="10"/>
      <c r="AC25" s="10" t="n">
        <v>0.00368794985115528</v>
      </c>
      <c r="AD25" s="10" t="n">
        <v>-228.100006103516</v>
      </c>
      <c r="AE25" s="10" t="n">
        <v>0.511228621006012</v>
      </c>
      <c r="AF25" s="10" t="n">
        <v>0.49872687458992</v>
      </c>
    </row>
    <row r="26" customFormat="false" ht="15" hidden="false" customHeight="false" outlineLevel="0" collapsed="false">
      <c r="A26" s="5" t="n">
        <v>1988</v>
      </c>
      <c r="B26" s="6" t="n">
        <v>11.210331</v>
      </c>
      <c r="C26" s="7" t="n">
        <v>12.164188</v>
      </c>
      <c r="D26" s="8" t="n">
        <v>0.12942</v>
      </c>
      <c r="E26" s="8" t="n">
        <v>1.922737</v>
      </c>
      <c r="F26" s="8" t="n">
        <v>5.039679</v>
      </c>
      <c r="G26" s="9" t="n">
        <f aca="false">SUM(D26:F26)</f>
        <v>7.091836</v>
      </c>
      <c r="H26" s="8" t="n">
        <v>1.7</v>
      </c>
      <c r="I26" s="8" t="n">
        <v>0.8654</v>
      </c>
      <c r="J26" s="10" t="n">
        <v>9.42</v>
      </c>
      <c r="K26" s="10" t="n">
        <v>9.68642044067383</v>
      </c>
      <c r="L26" s="10" t="n">
        <f aca="false">J26-I26</f>
        <v>8.5546</v>
      </c>
      <c r="M26" s="10" t="n">
        <f aca="false">L26-7.5</f>
        <v>1.0546</v>
      </c>
      <c r="N26" s="11" t="n">
        <v>22.7950000762939</v>
      </c>
      <c r="O26" s="10" t="n">
        <v>22.0870990753174</v>
      </c>
      <c r="P26" s="10" t="n">
        <v>0.638871610164642</v>
      </c>
      <c r="Q26" s="10" t="n">
        <v>8.14361572265625</v>
      </c>
      <c r="R26" s="10" t="n">
        <v>8.14356708526611</v>
      </c>
      <c r="S26" s="10" t="n">
        <v>8.40081787109375</v>
      </c>
      <c r="T26" s="8" t="n">
        <v>7.98899507522583</v>
      </c>
      <c r="U26" s="9" t="n">
        <v>4.697624</v>
      </c>
      <c r="V26" s="8" t="n">
        <v>2.277486</v>
      </c>
      <c r="W26" s="8" t="n">
        <v>0.751153</v>
      </c>
      <c r="X26" s="8" t="n">
        <v>0.557014</v>
      </c>
      <c r="Y26" s="8" t="n">
        <v>0.350331</v>
      </c>
      <c r="Z26" s="8" t="n">
        <v>0.041341</v>
      </c>
      <c r="AA26" s="10"/>
      <c r="AB26" s="10"/>
      <c r="AC26" s="10" t="n">
        <v>0.0036856101360172</v>
      </c>
      <c r="AD26" s="10" t="n">
        <v>-228.600006103516</v>
      </c>
      <c r="AE26" s="10" t="n">
        <v>0.573552846908569</v>
      </c>
      <c r="AF26" s="10" t="n">
        <v>0.505789995193481</v>
      </c>
    </row>
    <row r="27" customFormat="false" ht="15" hidden="false" customHeight="false" outlineLevel="0" collapsed="false">
      <c r="A27" s="5" t="n">
        <v>1989</v>
      </c>
      <c r="B27" s="6" t="n">
        <v>9.511026</v>
      </c>
      <c r="C27" s="7" t="n">
        <v>10.198378</v>
      </c>
      <c r="D27" s="8" t="n">
        <v>0.156213</v>
      </c>
      <c r="E27" s="8" t="n">
        <v>2.229697</v>
      </c>
      <c r="F27" s="8" t="n">
        <v>5.144417</v>
      </c>
      <c r="G27" s="9" t="n">
        <f aca="false">SUM(D27:F27)</f>
        <v>7.530327</v>
      </c>
      <c r="H27" s="8" t="n">
        <v>1.5</v>
      </c>
      <c r="I27" s="8" t="n">
        <v>0.8477</v>
      </c>
      <c r="J27" s="10" t="n">
        <v>9.225</v>
      </c>
      <c r="K27" s="10" t="n">
        <v>9.02586936950684</v>
      </c>
      <c r="L27" s="10" t="n">
        <f aca="false">J27-I27</f>
        <v>8.3773</v>
      </c>
      <c r="M27" s="10" t="n">
        <f aca="false">L27-7.5</f>
        <v>0.8773</v>
      </c>
      <c r="N27" s="11" t="n">
        <v>21.5279998779297</v>
      </c>
      <c r="O27" s="10" t="n">
        <v>19.1832008361816</v>
      </c>
      <c r="P27" s="10" t="n">
        <v>0.594820022583008</v>
      </c>
      <c r="Q27" s="10" t="n">
        <v>8.00741195678711</v>
      </c>
      <c r="R27" s="10" t="n">
        <v>7.98046684265137</v>
      </c>
      <c r="S27" s="10" t="n">
        <v>5.46605205535889</v>
      </c>
      <c r="T27" s="8" t="n">
        <v>5.93942594528198</v>
      </c>
      <c r="U27" s="9" t="n">
        <v>4.712412</v>
      </c>
      <c r="V27" s="8" t="n">
        <v>2.402282</v>
      </c>
      <c r="W27" s="8" t="n">
        <v>0.755018</v>
      </c>
      <c r="X27" s="8" t="n">
        <v>0.47445</v>
      </c>
      <c r="Y27" s="8" t="n">
        <v>0.382273</v>
      </c>
      <c r="Z27" s="8" t="n">
        <v>0.039532</v>
      </c>
      <c r="AA27" s="10"/>
      <c r="AB27" s="10"/>
      <c r="AC27" s="10" t="n">
        <v>0.00366519996896386</v>
      </c>
      <c r="AD27" s="10" t="n">
        <v>-228.600006103516</v>
      </c>
      <c r="AE27" s="10" t="n">
        <v>0.600529849529266</v>
      </c>
      <c r="AF27" s="10" t="n">
        <v>0.456072598695755</v>
      </c>
    </row>
    <row r="28" customFormat="false" ht="15" hidden="false" customHeight="false" outlineLevel="0" collapsed="false">
      <c r="A28" s="5" t="n">
        <v>1990</v>
      </c>
      <c r="B28" s="6" t="n">
        <v>9.37348</v>
      </c>
      <c r="C28" s="7" t="n">
        <v>9.973037</v>
      </c>
      <c r="D28" s="8" t="n">
        <v>0.178111</v>
      </c>
      <c r="E28" s="8" t="n">
        <v>2.260272</v>
      </c>
      <c r="F28" s="8" t="n">
        <v>5.219457</v>
      </c>
      <c r="G28" s="9" t="n">
        <f aca="false">SUM(D28:F28)</f>
        <v>7.65784</v>
      </c>
      <c r="H28" s="8" t="n">
        <v>1.5</v>
      </c>
      <c r="I28" s="8" t="n">
        <v>0.7759</v>
      </c>
      <c r="J28" s="10" t="n">
        <v>9.2049</v>
      </c>
      <c r="K28" s="10" t="n">
        <v>9.26102828979492</v>
      </c>
      <c r="L28" s="10" t="n">
        <f aca="false">J28-I28</f>
        <v>8.429</v>
      </c>
      <c r="M28" s="10" t="n">
        <f aca="false">L28-7.5</f>
        <v>0.929</v>
      </c>
      <c r="N28" s="11" t="n">
        <v>20.1439990997314</v>
      </c>
      <c r="O28" s="10" t="n">
        <v>15.7227001190185</v>
      </c>
      <c r="P28" s="10" t="n">
        <v>0.50534588098526</v>
      </c>
      <c r="Q28" s="10" t="n">
        <v>8.14040184020996</v>
      </c>
      <c r="R28" s="10" t="n">
        <v>8.14035320281982</v>
      </c>
      <c r="S28" s="10" t="n">
        <v>4.90833234786987</v>
      </c>
      <c r="T28" s="8" t="n">
        <v>5.31087732315064</v>
      </c>
      <c r="U28" s="9" t="n">
        <v>4.409088</v>
      </c>
      <c r="V28" s="8" t="n">
        <v>2.100657</v>
      </c>
      <c r="W28" s="8" t="n">
        <v>0.796997</v>
      </c>
      <c r="X28" s="8" t="n">
        <v>0.515588</v>
      </c>
      <c r="Y28" s="8" t="n">
        <v>0.39007</v>
      </c>
      <c r="Z28" s="8" t="n">
        <v>0.03588</v>
      </c>
      <c r="AA28" s="10"/>
      <c r="AB28" s="10"/>
      <c r="AC28" s="10" t="n">
        <v>0.00363761000335216</v>
      </c>
      <c r="AD28" s="10" t="n">
        <v>-228.5</v>
      </c>
      <c r="AE28" s="10" t="n">
        <v>0.634835839271545</v>
      </c>
      <c r="AF28" s="10" t="n">
        <v>0.435123324394226</v>
      </c>
    </row>
    <row r="29" customFormat="false" ht="15" hidden="false" customHeight="false" outlineLevel="0" collapsed="false">
      <c r="A29" s="5" t="n">
        <v>1991</v>
      </c>
      <c r="B29" s="6" t="n">
        <v>12.330508</v>
      </c>
      <c r="C29" s="7" t="n">
        <v>13.088763</v>
      </c>
      <c r="D29" s="8" t="n">
        <v>0.180224</v>
      </c>
      <c r="E29" s="8" t="n">
        <v>1.86436</v>
      </c>
      <c r="F29" s="8" t="n">
        <v>5.005595</v>
      </c>
      <c r="G29" s="9" t="n">
        <f aca="false">SUM(D29:F29)</f>
        <v>7.050179</v>
      </c>
      <c r="H29" s="8" t="n">
        <v>1.5</v>
      </c>
      <c r="I29" s="8" t="n">
        <v>0.7407</v>
      </c>
      <c r="J29" s="10" t="n">
        <v>8.9525</v>
      </c>
      <c r="K29" s="10" t="n">
        <v>8.96202087402344</v>
      </c>
      <c r="L29" s="10" t="n">
        <f aca="false">J29-I29</f>
        <v>8.2118</v>
      </c>
      <c r="M29" s="10" t="n">
        <f aca="false">L29-7.5</f>
        <v>0.7118</v>
      </c>
      <c r="N29" s="11" t="n">
        <v>19.2329998016357</v>
      </c>
      <c r="O29" s="10" t="n">
        <v>14.6989002227783</v>
      </c>
      <c r="P29" s="10" t="n">
        <v>0.450295060873032</v>
      </c>
      <c r="Q29" s="10" t="n">
        <v>8.12139892578125</v>
      </c>
      <c r="R29" s="10" t="n">
        <v>8.12135219573975</v>
      </c>
      <c r="S29" s="10" t="n">
        <v>7.46601438522339</v>
      </c>
      <c r="T29" s="8" t="n">
        <v>8.80068206787109</v>
      </c>
      <c r="U29" s="9" t="n">
        <v>4.171588</v>
      </c>
      <c r="V29" s="8" t="n">
        <v>1.867946</v>
      </c>
      <c r="W29" s="8" t="n">
        <v>0.856616</v>
      </c>
      <c r="X29" s="8" t="n">
        <v>0.550433</v>
      </c>
      <c r="Y29" s="8" t="n">
        <v>0.328658</v>
      </c>
      <c r="Z29" s="8" t="n">
        <v>0.034499</v>
      </c>
      <c r="AA29" s="10"/>
      <c r="AB29" s="10"/>
      <c r="AC29" s="10" t="n">
        <v>0.00362862017937005</v>
      </c>
      <c r="AD29" s="10" t="n">
        <v>-228.5</v>
      </c>
      <c r="AE29" s="10" t="n">
        <v>0.618781685829163</v>
      </c>
      <c r="AF29" s="10" t="n">
        <v>0.423059910535812</v>
      </c>
    </row>
    <row r="30" customFormat="false" ht="15" hidden="false" customHeight="false" outlineLevel="0" collapsed="false">
      <c r="A30" s="5" t="n">
        <v>1992</v>
      </c>
      <c r="B30" s="6" t="n">
        <v>10.956884</v>
      </c>
      <c r="C30" s="7" t="n">
        <v>12.229797</v>
      </c>
      <c r="D30" s="8" t="n">
        <v>0.177551</v>
      </c>
      <c r="E30" s="8" t="n">
        <v>1.906071</v>
      </c>
      <c r="F30" s="8" t="n">
        <v>4.546192</v>
      </c>
      <c r="G30" s="9" t="n">
        <f aca="false">SUM(D30:F30)</f>
        <v>6.629814</v>
      </c>
      <c r="H30" s="8" t="n">
        <v>1.5</v>
      </c>
      <c r="I30" s="8" t="n">
        <v>0.6948</v>
      </c>
      <c r="J30" s="10" t="n">
        <v>7.8273</v>
      </c>
      <c r="K30" s="10" t="n">
        <v>8.00855255126953</v>
      </c>
      <c r="L30" s="10" t="n">
        <f aca="false">J30-I30</f>
        <v>7.1325</v>
      </c>
      <c r="M30" s="10" t="n">
        <f aca="false">L30-7.5</f>
        <v>-0.3675</v>
      </c>
      <c r="N30" s="11" t="n">
        <v>19.4160003662109</v>
      </c>
      <c r="O30" s="10" t="n">
        <v>14.0847997665405</v>
      </c>
      <c r="P30" s="10" t="n">
        <v>0.430775135755539</v>
      </c>
      <c r="Q30" s="10" t="n">
        <v>8.00189971923828</v>
      </c>
      <c r="R30" s="10" t="n">
        <v>8.00184917449951</v>
      </c>
      <c r="S30" s="10" t="n">
        <v>7.76949501037598</v>
      </c>
      <c r="T30" s="8" t="n">
        <v>7.35243988037109</v>
      </c>
      <c r="U30" s="9" t="n">
        <v>3.860521</v>
      </c>
      <c r="V30" s="8" t="n">
        <v>1.661152</v>
      </c>
      <c r="W30" s="8" t="n">
        <v>0.816299</v>
      </c>
      <c r="X30" s="8" t="n">
        <v>0.54289</v>
      </c>
      <c r="Y30" s="8" t="n">
        <v>0.289518</v>
      </c>
      <c r="Z30" s="8" t="n">
        <v>0.036943</v>
      </c>
      <c r="AA30" s="10"/>
      <c r="AB30" s="10"/>
      <c r="AC30" s="10" t="n">
        <v>0.00362301012501121</v>
      </c>
      <c r="AD30" s="10" t="n">
        <v>-227.899993896484</v>
      </c>
      <c r="AE30" s="10" t="n">
        <v>0.562994956970215</v>
      </c>
      <c r="AF30" s="10" t="n">
        <v>0.416970700025559</v>
      </c>
    </row>
    <row r="31" customFormat="false" ht="15" hidden="false" customHeight="false" outlineLevel="0" collapsed="false">
      <c r="A31" s="5" t="n">
        <v>1993</v>
      </c>
      <c r="B31" s="6" t="n">
        <v>18.824576</v>
      </c>
      <c r="C31" s="7" t="n">
        <v>21.35594</v>
      </c>
      <c r="D31" s="8" t="n">
        <v>0.204402</v>
      </c>
      <c r="E31" s="8" t="n">
        <v>2.246695</v>
      </c>
      <c r="F31" s="8" t="n">
        <v>4.742028</v>
      </c>
      <c r="G31" s="9" t="n">
        <f aca="false">SUM(D31:F31)</f>
        <v>7.193125</v>
      </c>
      <c r="H31" s="8" t="n">
        <v>1.5</v>
      </c>
      <c r="I31" s="8" t="n">
        <v>0.7834</v>
      </c>
      <c r="J31" s="10" t="n">
        <v>7.4449</v>
      </c>
      <c r="K31" s="10" t="n">
        <v>7.01297569274902</v>
      </c>
      <c r="L31" s="10" t="n">
        <f aca="false">J31-I31</f>
        <v>6.6615</v>
      </c>
      <c r="M31" s="10" t="n">
        <f aca="false">L31-7.5</f>
        <v>-0.838500000000001</v>
      </c>
      <c r="N31" s="11" t="n">
        <v>21.3796997070312</v>
      </c>
      <c r="O31" s="10" t="n">
        <v>18.824800491333</v>
      </c>
      <c r="P31" s="10" t="n">
        <v>0.485392212867737</v>
      </c>
      <c r="Q31" s="10" t="n">
        <v>8.10249996185303</v>
      </c>
      <c r="R31" s="10" t="n">
        <v>8.10245037078857</v>
      </c>
      <c r="S31" s="10" t="n">
        <v>13.7070627212524</v>
      </c>
      <c r="T31" s="8" t="n">
        <v>14.436562538147</v>
      </c>
      <c r="U31" s="9" t="n">
        <v>4.120825</v>
      </c>
      <c r="V31" s="8" t="n">
        <v>1.7861</v>
      </c>
      <c r="W31" s="8" t="n">
        <v>0.859468</v>
      </c>
      <c r="X31" s="8" t="n">
        <v>0.499625</v>
      </c>
      <c r="Y31" s="8" t="n">
        <v>0.333378</v>
      </c>
      <c r="Z31" s="8" t="n">
        <v>0.035991</v>
      </c>
      <c r="AA31" s="10"/>
      <c r="AB31" s="10"/>
      <c r="AC31" s="10" t="n">
        <v>0.0036625200882554</v>
      </c>
      <c r="AD31" s="10" t="n">
        <v>-227.600006103516</v>
      </c>
      <c r="AE31" s="10" t="n">
        <v>0.604776501655579</v>
      </c>
      <c r="AF31" s="10" t="n">
        <v>0.474360108375549</v>
      </c>
    </row>
    <row r="32" customFormat="false" ht="15" hidden="false" customHeight="false" outlineLevel="0" collapsed="false">
      <c r="A32" s="5" t="n">
        <v>1994</v>
      </c>
      <c r="B32" s="6" t="n">
        <v>10.616817</v>
      </c>
      <c r="C32" s="7" t="n">
        <v>11.055286</v>
      </c>
      <c r="D32" s="8" t="n">
        <v>0.227542</v>
      </c>
      <c r="E32" s="8" t="n">
        <v>2.15241</v>
      </c>
      <c r="F32" s="8" t="n">
        <v>5.1694</v>
      </c>
      <c r="G32" s="9" t="n">
        <f aca="false">SUM(D32:F32)</f>
        <v>7.549352</v>
      </c>
      <c r="H32" s="8" t="n">
        <v>1.5</v>
      </c>
      <c r="I32" s="8" t="n">
        <v>0.7899</v>
      </c>
      <c r="J32" s="10" t="n">
        <v>9.3519</v>
      </c>
      <c r="K32" s="10" t="n">
        <v>9.40720939636231</v>
      </c>
      <c r="L32" s="10" t="n">
        <f aca="false">J32-I32</f>
        <v>8.562</v>
      </c>
      <c r="M32" s="10" t="n">
        <f aca="false">L32-7.5</f>
        <v>1.062</v>
      </c>
      <c r="N32" s="11" t="n">
        <v>19.9304008483887</v>
      </c>
      <c r="O32" s="10" t="n">
        <v>17.7721996307373</v>
      </c>
      <c r="P32" s="10" t="n">
        <v>0.534393846988678</v>
      </c>
      <c r="Q32" s="10" t="n">
        <v>8.28852844238281</v>
      </c>
      <c r="R32" s="10" t="n">
        <v>8.28847885131836</v>
      </c>
      <c r="S32" s="10" t="n">
        <v>7.68606948852539</v>
      </c>
      <c r="T32" s="8" t="n">
        <v>6.79355192184448</v>
      </c>
      <c r="U32" s="9" t="n">
        <v>4.446529</v>
      </c>
      <c r="V32" s="8" t="n">
        <v>1.999189</v>
      </c>
      <c r="W32" s="8" t="n">
        <v>0.870979</v>
      </c>
      <c r="X32" s="8" t="n">
        <v>0.613003</v>
      </c>
      <c r="Y32" s="8" t="n">
        <v>0.314722</v>
      </c>
      <c r="Z32" s="8" t="n">
        <v>0.036387</v>
      </c>
      <c r="AA32" s="10"/>
      <c r="AB32" s="10"/>
      <c r="AC32" s="10" t="n">
        <v>0.00365441991016269</v>
      </c>
      <c r="AD32" s="10" t="n">
        <v>-227.399993896484</v>
      </c>
      <c r="AE32" s="10" t="n">
        <v>0.648309409618378</v>
      </c>
      <c r="AF32" s="10" t="n">
        <v>0.477039754390717</v>
      </c>
    </row>
    <row r="33" customFormat="false" ht="15" hidden="false" customHeight="false" outlineLevel="0" collapsed="false">
      <c r="A33" s="5" t="n">
        <v>1995</v>
      </c>
      <c r="B33" s="6" t="n">
        <v>19.92173</v>
      </c>
      <c r="C33" s="7" t="n">
        <v>21.332581</v>
      </c>
      <c r="D33" s="8" t="n">
        <v>0.217439</v>
      </c>
      <c r="E33" s="8" t="n">
        <v>2.221346</v>
      </c>
      <c r="F33" s="8" t="n">
        <v>4.92548</v>
      </c>
      <c r="G33" s="9" t="n">
        <f aca="false">SUM(D33:F33)</f>
        <v>7.364265</v>
      </c>
      <c r="H33" s="8" t="n">
        <v>1.500001</v>
      </c>
      <c r="I33" s="8" t="n">
        <v>0.7834</v>
      </c>
      <c r="J33" s="10" t="n">
        <v>8.5449</v>
      </c>
      <c r="K33" s="10" t="n">
        <v>8.75443267822266</v>
      </c>
      <c r="L33" s="10" t="n">
        <f aca="false">J33-I33</f>
        <v>7.7615</v>
      </c>
      <c r="M33" s="10" t="n">
        <f aca="false">L33-7.5</f>
        <v>0.2615</v>
      </c>
      <c r="N33" s="11" t="n">
        <v>20.7138004302978</v>
      </c>
      <c r="O33" s="10" t="n">
        <v>22.3111991882324</v>
      </c>
      <c r="P33" s="10" t="n">
        <v>0.570051848888397</v>
      </c>
      <c r="Q33" s="10" t="n">
        <v>9.2233362197876</v>
      </c>
      <c r="R33" s="10" t="n">
        <v>9.22328281402588</v>
      </c>
      <c r="S33" s="10" t="n">
        <v>14.6955909729004</v>
      </c>
      <c r="T33" s="8" t="n">
        <v>15.9052391052246</v>
      </c>
      <c r="U33" s="9" t="n">
        <v>3.96224</v>
      </c>
      <c r="V33" s="8" t="n">
        <v>1.645011</v>
      </c>
      <c r="W33" s="8" t="n">
        <v>0.840934</v>
      </c>
      <c r="X33" s="8" t="n">
        <v>0.426754</v>
      </c>
      <c r="Y33" s="8" t="n">
        <v>0.327633</v>
      </c>
      <c r="Z33" s="8" t="n">
        <v>0.036272</v>
      </c>
      <c r="AA33" s="10"/>
      <c r="AB33" s="10"/>
      <c r="AC33" s="10" t="n">
        <v>0.00368710001930594</v>
      </c>
      <c r="AD33" s="10" t="n">
        <v>-227.800003051758</v>
      </c>
      <c r="AE33" s="10" t="n">
        <v>0.624248147010803</v>
      </c>
      <c r="AF33" s="10" t="n">
        <v>0.462748914957047</v>
      </c>
    </row>
    <row r="34" customFormat="false" ht="15" hidden="false" customHeight="false" outlineLevel="0" collapsed="false">
      <c r="A34" s="5" t="n">
        <v>1996</v>
      </c>
      <c r="B34" s="6" t="n">
        <v>14.228045</v>
      </c>
      <c r="C34" s="7" t="n">
        <v>14.554965</v>
      </c>
      <c r="D34" s="8" t="n">
        <v>0.249248</v>
      </c>
      <c r="E34" s="8" t="n">
        <v>2.714754</v>
      </c>
      <c r="F34" s="8" t="n">
        <v>5.322652</v>
      </c>
      <c r="G34" s="9" t="n">
        <f aca="false">SUM(D34:F34)</f>
        <v>8.286654</v>
      </c>
      <c r="H34" s="8" t="n">
        <v>1.500002</v>
      </c>
      <c r="I34" s="8" t="n">
        <v>0.8403</v>
      </c>
      <c r="J34" s="10" t="n">
        <v>9.9721</v>
      </c>
      <c r="K34" s="10" t="n">
        <v>10.0766258239746</v>
      </c>
      <c r="L34" s="10" t="n">
        <f aca="false">J34-I34</f>
        <v>9.1318</v>
      </c>
      <c r="M34" s="10" t="n">
        <f aca="false">L34-7.5</f>
        <v>1.6318</v>
      </c>
      <c r="N34" s="11" t="n">
        <v>21.6138000488281</v>
      </c>
      <c r="O34" s="10" t="n">
        <v>21.1548004150391</v>
      </c>
      <c r="P34" s="10" t="n">
        <v>0.616968333721161</v>
      </c>
      <c r="Q34" s="10" t="n">
        <v>11.5221395492554</v>
      </c>
      <c r="R34" s="10" t="n">
        <v>11.5218744277954</v>
      </c>
      <c r="S34" s="10" t="n">
        <v>10.890193939209</v>
      </c>
      <c r="T34" s="8" t="n">
        <v>10.4023132324219</v>
      </c>
      <c r="U34" s="9" t="n">
        <v>4.480418</v>
      </c>
      <c r="V34" s="8" t="n">
        <v>1.865031</v>
      </c>
      <c r="W34" s="8" t="n">
        <v>0.918787</v>
      </c>
      <c r="X34" s="8" t="n">
        <v>0.650609</v>
      </c>
      <c r="Y34" s="8" t="n">
        <v>0.311144</v>
      </c>
      <c r="Z34" s="8" t="n">
        <v>0.034192</v>
      </c>
      <c r="AA34" s="10"/>
      <c r="AB34" s="10"/>
      <c r="AC34" s="10" t="n">
        <v>0.00367928994819522</v>
      </c>
      <c r="AD34" s="10" t="n">
        <v>-227.899993896484</v>
      </c>
      <c r="AE34" s="10" t="n">
        <v>0.608715653419495</v>
      </c>
      <c r="AF34" s="10" t="n">
        <v>0.452282220125198</v>
      </c>
    </row>
    <row r="35" customFormat="false" ht="15" hidden="false" customHeight="false" outlineLevel="0" collapsed="false">
      <c r="A35" s="5" t="n">
        <v>1997</v>
      </c>
      <c r="B35" s="6" t="n">
        <v>21.655579</v>
      </c>
      <c r="C35" s="7" t="n">
        <v>22.038502</v>
      </c>
      <c r="D35" s="8" t="n">
        <v>0.242777</v>
      </c>
      <c r="E35" s="8" t="n">
        <v>2.853886</v>
      </c>
      <c r="F35" s="8" t="n">
        <v>5.250119</v>
      </c>
      <c r="G35" s="9" t="n">
        <f aca="false">SUM(D35:F35)</f>
        <v>8.346782</v>
      </c>
      <c r="H35" s="8" t="n">
        <v>1.7</v>
      </c>
      <c r="I35" s="8" t="n">
        <v>0.8671</v>
      </c>
      <c r="J35" s="10" t="n">
        <v>11.6691</v>
      </c>
      <c r="K35" s="10" t="n">
        <v>11.1590204238892</v>
      </c>
      <c r="L35" s="10" t="n">
        <f aca="false">J35-I35</f>
        <v>10.802</v>
      </c>
      <c r="M35" s="10" t="n">
        <f aca="false">L35-7.5</f>
        <v>3.302</v>
      </c>
      <c r="N35" s="11" t="n">
        <v>23.7686996459961</v>
      </c>
      <c r="O35" s="10" t="n">
        <v>22.801399230957</v>
      </c>
      <c r="P35" s="10" t="n">
        <v>0.618768990039825</v>
      </c>
      <c r="Q35" s="10" t="n">
        <v>13.8236713409424</v>
      </c>
      <c r="R35" s="10" t="n">
        <v>13.8452377319336</v>
      </c>
      <c r="S35" s="10" t="n">
        <v>16.220817565918</v>
      </c>
      <c r="T35" s="8" t="n">
        <v>17.0532512664795</v>
      </c>
      <c r="U35" s="9" t="n">
        <v>4.045901</v>
      </c>
      <c r="V35" s="8" t="n">
        <v>1.596736</v>
      </c>
      <c r="W35" s="8" t="n">
        <v>0.781203</v>
      </c>
      <c r="X35" s="8" t="n">
        <v>0.546134</v>
      </c>
      <c r="Y35" s="8" t="n">
        <v>0.368195</v>
      </c>
      <c r="Z35" s="8" t="n">
        <v>0.034319</v>
      </c>
      <c r="AA35" s="10"/>
      <c r="AB35" s="10"/>
      <c r="AC35" s="10" t="n">
        <v>0.00369032006710768</v>
      </c>
      <c r="AD35" s="10" t="n">
        <v>-227.800003051758</v>
      </c>
      <c r="AE35" s="10" t="n">
        <v>0.652873396873474</v>
      </c>
      <c r="AF35" s="10" t="n">
        <v>0.463687092065811</v>
      </c>
    </row>
    <row r="36" customFormat="false" ht="15" hidden="false" customHeight="false" outlineLevel="0" collapsed="false">
      <c r="A36" s="5" t="n">
        <v>1998</v>
      </c>
      <c r="B36" s="6" t="n">
        <v>16.694927</v>
      </c>
      <c r="C36" s="7" t="n">
        <v>17.414778</v>
      </c>
      <c r="D36" s="8" t="n">
        <v>0.245303</v>
      </c>
      <c r="E36" s="8" t="n">
        <v>2.566707</v>
      </c>
      <c r="F36" s="8" t="n">
        <v>5.045228</v>
      </c>
      <c r="G36" s="9" t="n">
        <f aca="false">SUM(D36:F36)</f>
        <v>7.857238</v>
      </c>
      <c r="H36" s="8" t="n">
        <v>1.7</v>
      </c>
      <c r="I36" s="8" t="n">
        <v>0.859</v>
      </c>
      <c r="J36" s="10" t="n">
        <v>12.7747</v>
      </c>
      <c r="K36" s="10" t="n">
        <v>11.9693622589111</v>
      </c>
      <c r="L36" s="10" t="n">
        <f aca="false">J36-I36</f>
        <v>11.9157</v>
      </c>
      <c r="M36" s="10" t="n">
        <f aca="false">L36-7.5</f>
        <v>4.4157</v>
      </c>
      <c r="N36" s="11" t="n">
        <v>25.1261005401611</v>
      </c>
      <c r="O36" s="10" t="n">
        <v>22.4034996032715</v>
      </c>
      <c r="P36" s="10" t="n">
        <v>0.64056795835495</v>
      </c>
      <c r="Q36" s="10" t="n">
        <v>13.5098695755005</v>
      </c>
      <c r="R36" s="10" t="n">
        <v>13.4201831817627</v>
      </c>
      <c r="S36" s="10" t="n">
        <v>13.7206583023071</v>
      </c>
      <c r="T36" s="8" t="n">
        <v>13.5203876495361</v>
      </c>
      <c r="U36" s="9" t="n">
        <v>4.214217</v>
      </c>
      <c r="V36" s="8" t="n">
        <v>1.769526</v>
      </c>
      <c r="W36" s="8" t="n">
        <v>0.82216</v>
      </c>
      <c r="X36" s="8" t="n">
        <v>0.498078</v>
      </c>
      <c r="Y36" s="8" t="n">
        <v>0.356141</v>
      </c>
      <c r="Z36" s="8" t="n">
        <v>0.037106</v>
      </c>
      <c r="AA36" s="10"/>
      <c r="AB36" s="10"/>
      <c r="AC36" s="10" t="n">
        <v>0.00368771003559232</v>
      </c>
      <c r="AD36" s="10" t="n">
        <v>-227.899993896484</v>
      </c>
      <c r="AE36" s="10" t="n">
        <v>0.627082467079163</v>
      </c>
      <c r="AF36" s="10" t="n">
        <v>0.49135634303093</v>
      </c>
    </row>
    <row r="37" customFormat="false" ht="15" hidden="false" customHeight="false" outlineLevel="0" collapsed="false">
      <c r="A37" s="5" t="n">
        <v>1999</v>
      </c>
      <c r="B37" s="6" t="n">
        <v>15.865208</v>
      </c>
      <c r="C37" s="7" t="n">
        <v>16.377268</v>
      </c>
      <c r="D37" s="8" t="n">
        <v>0.29113</v>
      </c>
      <c r="E37" s="8" t="n">
        <v>2.72796</v>
      </c>
      <c r="F37" s="8" t="n">
        <v>5.19438</v>
      </c>
      <c r="G37" s="9" t="n">
        <f aca="false">SUM(D37:F37)</f>
        <v>8.21347</v>
      </c>
      <c r="H37" s="8" t="n">
        <v>1.7</v>
      </c>
      <c r="I37" s="8" t="n">
        <v>0.8931</v>
      </c>
      <c r="J37" s="10" t="n">
        <v>11.033</v>
      </c>
      <c r="K37" s="10" t="n">
        <v>11.3953294754028</v>
      </c>
      <c r="L37" s="10" t="n">
        <f aca="false">J37-I37</f>
        <v>10.1399</v>
      </c>
      <c r="M37" s="10" t="n">
        <f aca="false">L37-7.5</f>
        <v>2.6399</v>
      </c>
      <c r="N37" s="11" t="n">
        <v>24.5921001434326</v>
      </c>
      <c r="O37" s="10" t="n">
        <v>22.9969997406006</v>
      </c>
      <c r="P37" s="10" t="n">
        <v>0.638258934020996</v>
      </c>
      <c r="Q37" s="10" t="n">
        <v>11.2042217254639</v>
      </c>
      <c r="R37" s="10" t="n">
        <v>11.4076662063599</v>
      </c>
      <c r="S37" s="10" t="n">
        <v>12.4834594726563</v>
      </c>
      <c r="T37" s="8" t="n">
        <v>12.8003673553467</v>
      </c>
      <c r="U37" s="9" t="n">
        <v>4.49286</v>
      </c>
      <c r="V37" s="8" t="n">
        <v>1.787598</v>
      </c>
      <c r="W37" s="8" t="n">
        <v>0.925522</v>
      </c>
      <c r="X37" s="8" t="n">
        <v>0.64931</v>
      </c>
      <c r="Y37" s="8" t="n">
        <v>0.361949</v>
      </c>
      <c r="Z37" s="8" t="n">
        <v>0.038357</v>
      </c>
      <c r="AA37" s="10"/>
      <c r="AB37" s="10"/>
      <c r="AC37" s="10" t="n">
        <v>0.00369159015826881</v>
      </c>
      <c r="AD37" s="10" t="n">
        <v>-228.199996948242</v>
      </c>
      <c r="AE37" s="10" t="n">
        <v>0.609996914863586</v>
      </c>
      <c r="AF37" s="10" t="n">
        <v>0.485792756080627</v>
      </c>
    </row>
    <row r="38" customFormat="false" ht="15" hidden="false" customHeight="false" outlineLevel="0" collapsed="false">
      <c r="A38" s="5" t="n">
        <v>2000</v>
      </c>
      <c r="B38" s="6" t="n">
        <v>10.551961</v>
      </c>
      <c r="C38" s="7" t="n">
        <v>10.811978</v>
      </c>
      <c r="D38" s="8" t="n">
        <v>0.321984</v>
      </c>
      <c r="E38" s="8" t="n">
        <v>2.802758</v>
      </c>
      <c r="F38" s="8" t="n">
        <v>5.162211</v>
      </c>
      <c r="G38" s="9" t="n">
        <f aca="false">SUM(D38:F38)</f>
        <v>8.286953</v>
      </c>
      <c r="H38" s="8" t="n">
        <v>1.7</v>
      </c>
      <c r="I38" s="8" t="n">
        <v>0.8763</v>
      </c>
      <c r="J38" s="10" t="n">
        <v>10.692</v>
      </c>
      <c r="K38" s="10" t="n">
        <v>10.9843759536743</v>
      </c>
      <c r="L38" s="10" t="n">
        <f aca="false">J38-I38</f>
        <v>9.8157</v>
      </c>
      <c r="M38" s="10" t="n">
        <f aca="false">L38-7.5</f>
        <v>2.3157</v>
      </c>
      <c r="N38" s="11" t="n">
        <v>22.4440002441406</v>
      </c>
      <c r="O38" s="10" t="n">
        <v>20.9393997192383</v>
      </c>
      <c r="P38" s="10" t="n">
        <v>0.615387260913849</v>
      </c>
      <c r="Q38" s="10" t="n">
        <v>9.38088512420654</v>
      </c>
      <c r="R38" s="10" t="n">
        <v>9.52143573760986</v>
      </c>
      <c r="S38" s="10" t="n">
        <v>7.77412366867065</v>
      </c>
      <c r="T38" s="8" t="n">
        <v>6.93628787994385</v>
      </c>
      <c r="U38" s="9" t="n">
        <v>4.779726</v>
      </c>
      <c r="V38" s="8" t="n">
        <v>2.182388</v>
      </c>
      <c r="W38" s="8" t="n">
        <v>0.965054</v>
      </c>
      <c r="X38" s="8" t="n">
        <v>0.600009</v>
      </c>
      <c r="Y38" s="8" t="n">
        <v>0.302588</v>
      </c>
      <c r="Z38" s="8" t="n">
        <v>0.039865</v>
      </c>
      <c r="AA38" s="10"/>
      <c r="AB38" s="10"/>
      <c r="AC38" s="10" t="n">
        <v>0.00367780006490648</v>
      </c>
      <c r="AD38" s="10" t="n">
        <v>-228.199996948242</v>
      </c>
      <c r="AE38" s="10" t="n">
        <v>0.638915777206421</v>
      </c>
      <c r="AF38" s="10" t="n">
        <v>0.470046073198319</v>
      </c>
    </row>
    <row r="39" customFormat="false" ht="15" hidden="false" customHeight="false" outlineLevel="0" collapsed="false">
      <c r="A39" s="5" t="n">
        <v>2001</v>
      </c>
      <c r="B39" s="6" t="n">
        <v>10.736502</v>
      </c>
      <c r="C39" s="7" t="n">
        <v>11.168315</v>
      </c>
      <c r="D39" s="8" t="n">
        <v>0.315429</v>
      </c>
      <c r="E39" s="8" t="n">
        <v>2.841028</v>
      </c>
      <c r="F39" s="8" t="n">
        <v>5.254718</v>
      </c>
      <c r="G39" s="9" t="n">
        <f aca="false">SUM(D39:F39)</f>
        <v>8.411175</v>
      </c>
      <c r="H39" s="8" t="n">
        <v>1.5</v>
      </c>
      <c r="I39" s="8" t="n">
        <v>0.842089</v>
      </c>
      <c r="J39" s="10" t="n">
        <v>10.2094</v>
      </c>
      <c r="K39" s="10" t="n">
        <v>10.4860315322876</v>
      </c>
      <c r="L39" s="10" t="n">
        <f aca="false">J39-I39</f>
        <v>9.367311</v>
      </c>
      <c r="M39" s="10" t="n">
        <f aca="false">L39-7.5</f>
        <v>1.867311</v>
      </c>
      <c r="N39" s="11" t="n">
        <v>19.8728008270264</v>
      </c>
      <c r="O39" s="10" t="n">
        <v>19.1347999572754</v>
      </c>
      <c r="P39" s="10" t="n">
        <v>0.569384813308716</v>
      </c>
      <c r="Q39" s="10" t="n">
        <v>8.23552131652832</v>
      </c>
      <c r="R39" s="10" t="n">
        <v>8.34096145629883</v>
      </c>
      <c r="S39" s="10" t="n">
        <v>6.85592412948608</v>
      </c>
      <c r="T39" s="8" t="n">
        <v>6.99383020401001</v>
      </c>
      <c r="U39" s="9" t="n">
        <v>4.940381</v>
      </c>
      <c r="V39" s="8" t="n">
        <v>2.207688</v>
      </c>
      <c r="W39" s="8" t="n">
        <v>1.037871</v>
      </c>
      <c r="X39" s="8" t="n">
        <v>0.647765</v>
      </c>
      <c r="Y39" s="8" t="n">
        <v>0.367808</v>
      </c>
      <c r="Z39" s="8" t="n">
        <v>0.038478</v>
      </c>
      <c r="AA39" s="10"/>
      <c r="AB39" s="10"/>
      <c r="AC39" s="10" t="n">
        <v>0.00366484001278877</v>
      </c>
      <c r="AD39" s="10" t="n">
        <v>-228.600006103516</v>
      </c>
      <c r="AE39" s="10" t="n">
        <v>0.641728341579437</v>
      </c>
      <c r="AF39" s="10" t="n">
        <v>0.46221536397934</v>
      </c>
    </row>
    <row r="40" customFormat="false" ht="15" hidden="false" customHeight="false" outlineLevel="0" collapsed="false">
      <c r="A40" s="5" t="n">
        <v>2002</v>
      </c>
      <c r="B40" s="6" t="n">
        <v>6.088144</v>
      </c>
      <c r="C40" s="7" t="n">
        <v>6.211186</v>
      </c>
      <c r="D40" s="8" t="n">
        <v>0.326718</v>
      </c>
      <c r="E40" s="8" t="n">
        <v>2.96923</v>
      </c>
      <c r="F40" s="8" t="n">
        <v>5.365609</v>
      </c>
      <c r="G40" s="9" t="n">
        <f aca="false">SUM(D40:F40)</f>
        <v>8.661557</v>
      </c>
      <c r="H40" s="8" t="n">
        <v>1.5</v>
      </c>
      <c r="I40" s="8" t="n">
        <v>0.744923</v>
      </c>
      <c r="J40" s="10" t="n">
        <v>10.4472</v>
      </c>
      <c r="K40" s="10" t="n">
        <v>10.5024147033691</v>
      </c>
      <c r="L40" s="10" t="n">
        <f aca="false">J40-I40</f>
        <v>9.702277</v>
      </c>
      <c r="M40" s="10" t="n">
        <f aca="false">L40-7.5</f>
        <v>2.202277</v>
      </c>
      <c r="N40" s="11" t="n">
        <v>17.0930004119873</v>
      </c>
      <c r="O40" s="10" t="n">
        <v>14.4679002761841</v>
      </c>
      <c r="P40" s="10" t="n">
        <v>0.483406722545624</v>
      </c>
      <c r="Q40" s="10" t="n">
        <v>8.23087978363037</v>
      </c>
      <c r="R40" s="10" t="n">
        <v>8.33915615081787</v>
      </c>
      <c r="S40" s="10" t="n">
        <v>3.67363119125366</v>
      </c>
      <c r="T40" s="8" t="n">
        <v>2.64272665977478</v>
      </c>
      <c r="U40" s="9" t="n">
        <v>3.991405</v>
      </c>
      <c r="V40" s="8" t="n">
        <v>1.816053</v>
      </c>
      <c r="W40" s="8" t="n">
        <v>0.799007</v>
      </c>
      <c r="X40" s="8" t="n">
        <v>0.524979</v>
      </c>
      <c r="Y40" s="8" t="n">
        <v>0.280791</v>
      </c>
      <c r="Z40" s="8" t="n">
        <v>0.038172</v>
      </c>
      <c r="AA40" s="10"/>
      <c r="AB40" s="10"/>
      <c r="AC40" s="10" t="n">
        <v>0.00362653005868196</v>
      </c>
      <c r="AD40" s="10" t="n">
        <v>-228.699996948242</v>
      </c>
      <c r="AE40" s="10" t="n">
        <v>0.654418528079987</v>
      </c>
      <c r="AF40" s="10" t="n">
        <v>0.439165592193604</v>
      </c>
    </row>
    <row r="41" customFormat="false" ht="15" hidden="false" customHeight="false" outlineLevel="0" collapsed="false">
      <c r="A41" s="5" t="n">
        <v>2003</v>
      </c>
      <c r="B41" s="6" t="n">
        <v>10.631983</v>
      </c>
      <c r="C41" s="7" t="n">
        <v>10.898889</v>
      </c>
      <c r="D41" s="8" t="n">
        <v>0.298392</v>
      </c>
      <c r="E41" s="8" t="n">
        <v>2.830599</v>
      </c>
      <c r="F41" s="8" t="n">
        <v>4.408746</v>
      </c>
      <c r="G41" s="9" t="n">
        <f aca="false">SUM(D41:F41)</f>
        <v>7.537737</v>
      </c>
      <c r="H41" s="8" t="n">
        <v>1.5</v>
      </c>
      <c r="I41" s="8" t="n">
        <v>0.67824</v>
      </c>
      <c r="J41" s="10" t="n">
        <v>9.3817</v>
      </c>
      <c r="K41" s="10" t="n">
        <v>9.44769096374512</v>
      </c>
      <c r="L41" s="10" t="n">
        <f aca="false">J41-I41</f>
        <v>8.70346</v>
      </c>
      <c r="M41" s="10" t="n">
        <f aca="false">L41-7.5</f>
        <v>1.20346</v>
      </c>
      <c r="N41" s="11" t="n">
        <v>15.6177997589111</v>
      </c>
      <c r="O41" s="10" t="n">
        <v>12.1094999313355</v>
      </c>
      <c r="P41" s="10" t="n">
        <v>0.391213059425354</v>
      </c>
      <c r="Q41" s="10" t="n">
        <v>8.22857475280762</v>
      </c>
      <c r="R41" s="10" t="n">
        <v>8.36018085479736</v>
      </c>
      <c r="S41" s="10" t="n">
        <v>6.07278060913086</v>
      </c>
      <c r="T41" s="8" t="n">
        <v>6.16072463989258</v>
      </c>
      <c r="U41" s="9" t="n">
        <v>4.267451</v>
      </c>
      <c r="V41" s="8" t="n">
        <v>1.96602</v>
      </c>
      <c r="W41" s="8" t="n">
        <v>0.888203</v>
      </c>
      <c r="X41" s="8" t="n">
        <v>0.570006</v>
      </c>
      <c r="Y41" s="8" t="n">
        <v>0.354579</v>
      </c>
      <c r="Z41" s="8" t="n">
        <v>0.036603</v>
      </c>
      <c r="AA41" s="10"/>
      <c r="AB41" s="10"/>
      <c r="AC41" s="10" t="n">
        <v>0.00360372988507152</v>
      </c>
      <c r="AD41" s="10" t="n">
        <v>-229.300003051758</v>
      </c>
      <c r="AE41" s="10" t="n">
        <v>0.604405581951141</v>
      </c>
      <c r="AF41" s="10" t="n">
        <v>0.412105262279511</v>
      </c>
    </row>
    <row r="42" customFormat="false" ht="15" hidden="false" customHeight="false" outlineLevel="0" collapsed="false">
      <c r="A42" s="5" t="n">
        <v>2004</v>
      </c>
      <c r="B42" s="6" t="n">
        <v>10.073292</v>
      </c>
      <c r="C42" s="7" t="n">
        <v>10.627991</v>
      </c>
      <c r="D42" s="8" t="n">
        <v>0.283006</v>
      </c>
      <c r="E42" s="8" t="n">
        <v>2.784645</v>
      </c>
      <c r="F42" s="8" t="n">
        <v>4.316185</v>
      </c>
      <c r="G42" s="9" t="n">
        <f aca="false">SUM(D42:F42)</f>
        <v>7.383836</v>
      </c>
      <c r="H42" s="8" t="n">
        <v>1.5</v>
      </c>
      <c r="I42" s="8" t="n">
        <v>0.635472</v>
      </c>
      <c r="J42" s="10" t="n">
        <v>9.3447</v>
      </c>
      <c r="K42" s="10" t="n">
        <v>9.63514804840088</v>
      </c>
      <c r="L42" s="10" t="n">
        <f aca="false">J42-I42</f>
        <v>8.709228</v>
      </c>
      <c r="M42" s="10" t="n">
        <f aca="false">L42-7.5</f>
        <v>1.209228</v>
      </c>
      <c r="N42" s="11" t="n">
        <v>13.9370002746582</v>
      </c>
      <c r="O42" s="10" t="n">
        <v>9.16946029663086</v>
      </c>
      <c r="P42" s="10" t="n">
        <v>0.323824375867844</v>
      </c>
      <c r="Q42" s="10" t="n">
        <v>8.23094463348389</v>
      </c>
      <c r="R42" s="10" t="n">
        <v>8.33528804779053</v>
      </c>
      <c r="S42" s="10" t="n">
        <v>5.37948560714722</v>
      </c>
      <c r="T42" s="8" t="n">
        <v>5.91335153579712</v>
      </c>
      <c r="U42" s="9" t="n">
        <v>3.940336</v>
      </c>
      <c r="V42" s="8" t="n">
        <v>1.808912</v>
      </c>
      <c r="W42" s="8" t="n">
        <v>0.85251</v>
      </c>
      <c r="X42" s="8" t="n">
        <v>0.491694</v>
      </c>
      <c r="Y42" s="8" t="n">
        <v>0.367521</v>
      </c>
      <c r="Z42" s="8" t="n">
        <v>0.037157</v>
      </c>
      <c r="AA42" s="10"/>
      <c r="AB42" s="10"/>
      <c r="AC42" s="10" t="n">
        <v>0.00357076991349459</v>
      </c>
      <c r="AD42" s="10" t="n">
        <v>-229</v>
      </c>
      <c r="AE42" s="10" t="n">
        <v>0.602338790893555</v>
      </c>
      <c r="AF42" s="10" t="n">
        <v>0.42095148563385</v>
      </c>
    </row>
    <row r="43" customFormat="false" ht="15" hidden="false" customHeight="false" outlineLevel="0" collapsed="false">
      <c r="A43" s="5" t="n">
        <v>2005</v>
      </c>
      <c r="B43" s="6" t="n">
        <v>16.892824</v>
      </c>
      <c r="C43" s="7" t="n">
        <v>18.818754</v>
      </c>
      <c r="D43" s="8" t="n">
        <v>0.291778</v>
      </c>
      <c r="E43" s="8" t="n">
        <v>2.428469</v>
      </c>
      <c r="F43" s="8" t="n">
        <v>4.344258</v>
      </c>
      <c r="G43" s="9" t="n">
        <f aca="false">SUM(D43:F43)</f>
        <v>7.064505</v>
      </c>
      <c r="H43" s="8" t="n">
        <v>1.5</v>
      </c>
      <c r="I43" s="8" t="n">
        <v>0.66162</v>
      </c>
      <c r="J43" s="10" t="n">
        <v>8.2738</v>
      </c>
      <c r="K43" s="10" t="n">
        <v>7.93903255462647</v>
      </c>
      <c r="L43" s="10" t="n">
        <f aca="false">J43-I43</f>
        <v>7.61218</v>
      </c>
      <c r="M43" s="10" t="n">
        <f aca="false">L43-7.5</f>
        <v>0.11218</v>
      </c>
      <c r="N43" s="11" t="n">
        <v>15.2192001342773</v>
      </c>
      <c r="O43" s="10" t="n">
        <v>11.9390001296997</v>
      </c>
      <c r="P43" s="10" t="n">
        <v>0.323978960514069</v>
      </c>
      <c r="Q43" s="10" t="n">
        <v>8.23171901702881</v>
      </c>
      <c r="R43" s="10" t="n">
        <v>8.36083507537842</v>
      </c>
      <c r="S43" s="10" t="n">
        <v>11.5468101501465</v>
      </c>
      <c r="T43" s="8" t="n">
        <v>12.7949323654175</v>
      </c>
      <c r="U43" s="9" t="n">
        <v>4.335023</v>
      </c>
      <c r="V43" s="8" t="n">
        <v>1.818557</v>
      </c>
      <c r="W43" s="8" t="n">
        <v>1.001231</v>
      </c>
      <c r="X43" s="8" t="n">
        <v>0.607706</v>
      </c>
      <c r="Y43" s="8" t="n">
        <v>0.443187</v>
      </c>
      <c r="Z43" s="8" t="n">
        <v>0.036821</v>
      </c>
      <c r="AA43" s="10"/>
      <c r="AB43" s="10"/>
      <c r="AC43" s="10" t="n">
        <v>0.00360196991823614</v>
      </c>
      <c r="AD43" s="10" t="n">
        <v>-229.5</v>
      </c>
      <c r="AE43" s="10" t="n">
        <v>0.600373208522797</v>
      </c>
      <c r="AF43" s="10" t="n">
        <v>0.456495076417923</v>
      </c>
    </row>
    <row r="44" customFormat="false" ht="15" hidden="false" customHeight="false" outlineLevel="0" collapsed="false">
      <c r="A44" s="5" t="n">
        <v>2006</v>
      </c>
      <c r="B44" s="6" t="n">
        <v>13.50305</v>
      </c>
      <c r="C44" s="7" t="n">
        <v>13.720968</v>
      </c>
      <c r="D44" s="8" t="n">
        <v>0.292864</v>
      </c>
      <c r="E44" s="8" t="n">
        <v>2.782866</v>
      </c>
      <c r="F44" s="8" t="n">
        <v>4.335299</v>
      </c>
      <c r="G44" s="9" t="n">
        <f aca="false">SUM(D44:F44)</f>
        <v>7.411029</v>
      </c>
      <c r="H44" s="8" t="n">
        <v>1.5</v>
      </c>
      <c r="I44" s="8" t="n">
        <v>0.635222</v>
      </c>
      <c r="J44" s="10" t="n">
        <v>9.2593</v>
      </c>
      <c r="K44" s="10" t="n">
        <v>9.39485168457031</v>
      </c>
      <c r="L44" s="10" t="n">
        <f aca="false">J44-I44</f>
        <v>8.624078</v>
      </c>
      <c r="M44" s="10" t="n">
        <f aca="false">L44-7.5</f>
        <v>1.124078</v>
      </c>
      <c r="N44" s="11" t="n">
        <v>13.8870000839233</v>
      </c>
      <c r="O44" s="10" t="n">
        <v>11.9167995452881</v>
      </c>
      <c r="P44" s="10" t="n">
        <v>0.362977862358093</v>
      </c>
      <c r="Q44" s="10" t="n">
        <v>8.22836494445801</v>
      </c>
      <c r="R44" s="10" t="n">
        <v>8.49221897125244</v>
      </c>
      <c r="S44" s="10" t="n">
        <v>8.56741237640381</v>
      </c>
      <c r="T44" s="8" t="n">
        <v>8.62612915039063</v>
      </c>
      <c r="U44" s="9" t="n">
        <v>4.233799</v>
      </c>
      <c r="V44" s="8" t="n">
        <v>1.939502</v>
      </c>
      <c r="W44" s="8" t="n">
        <v>0.841733</v>
      </c>
      <c r="X44" s="8" t="n">
        <v>0.595678</v>
      </c>
      <c r="Y44" s="8" t="n">
        <v>0.368749</v>
      </c>
      <c r="Z44" s="8" t="n">
        <v>0.036288</v>
      </c>
      <c r="AA44" s="10"/>
      <c r="AB44" s="10"/>
      <c r="AC44" s="10" t="n">
        <v>0.00360173988156021</v>
      </c>
      <c r="AD44" s="10" t="n">
        <v>-229.899993896484</v>
      </c>
      <c r="AE44" s="10" t="n">
        <v>0.613594949245453</v>
      </c>
      <c r="AF44" s="10" t="n">
        <v>0.429698526859283</v>
      </c>
    </row>
    <row r="45" customFormat="false" ht="15" hidden="false" customHeight="false" outlineLevel="0" collapsed="false">
      <c r="A45" s="5" t="n">
        <v>2007</v>
      </c>
      <c r="B45" s="6" t="n">
        <v>11.453444</v>
      </c>
      <c r="C45" s="7" t="n">
        <v>11.717973</v>
      </c>
      <c r="D45" s="8" t="n">
        <v>0.300312</v>
      </c>
      <c r="E45" s="8" t="n">
        <v>2.783323</v>
      </c>
      <c r="F45" s="8" t="n">
        <v>4.370695</v>
      </c>
      <c r="G45" s="9" t="n">
        <f aca="false">SUM(D45:F45)</f>
        <v>7.45433</v>
      </c>
      <c r="H45" s="8" t="n">
        <v>1.5</v>
      </c>
      <c r="I45" s="8" t="n">
        <v>0.598044</v>
      </c>
      <c r="J45" s="10" t="n">
        <v>9.36211</v>
      </c>
      <c r="K45" s="10" t="n">
        <v>9.44876194000244</v>
      </c>
      <c r="L45" s="10" t="n">
        <f aca="false">J45-I45</f>
        <v>8.764066</v>
      </c>
      <c r="M45" s="10" t="n">
        <f aca="false">L45-7.5</f>
        <v>1.264066</v>
      </c>
      <c r="N45" s="11" t="n">
        <v>12.504599571228</v>
      </c>
      <c r="O45" s="10" t="n">
        <v>11.9294004440308</v>
      </c>
      <c r="P45" s="10" t="n">
        <v>0.371127009391785</v>
      </c>
      <c r="Q45" s="10" t="n">
        <v>8.231032371521</v>
      </c>
      <c r="R45" s="10" t="n">
        <v>8.39713191986084</v>
      </c>
      <c r="S45" s="10" t="n">
        <v>8.61568832397461</v>
      </c>
      <c r="T45" s="8" t="n">
        <v>8.7535285949707</v>
      </c>
      <c r="U45" s="9" t="n">
        <v>4.46949</v>
      </c>
      <c r="V45" s="8" t="n">
        <v>2.025288</v>
      </c>
      <c r="W45" s="8" t="n">
        <v>0.953117</v>
      </c>
      <c r="X45" s="8" t="n">
        <v>0.601425</v>
      </c>
      <c r="Y45" s="8" t="n">
        <v>0.400255</v>
      </c>
      <c r="Z45" s="8" t="n">
        <v>0.0364</v>
      </c>
      <c r="AA45" s="10"/>
      <c r="AB45" s="10"/>
      <c r="AC45" s="10" t="n">
        <v>0.00360187003389001</v>
      </c>
      <c r="AD45" s="10" t="n">
        <v>-230.399993896484</v>
      </c>
      <c r="AE45" s="10" t="n">
        <v>0.631162464618683</v>
      </c>
      <c r="AF45" s="10" t="n">
        <v>0.42731836438179</v>
      </c>
    </row>
    <row r="46" customFormat="false" ht="15" hidden="false" customHeight="false" outlineLevel="0" collapsed="false">
      <c r="A46" s="5" t="n">
        <v>2008</v>
      </c>
      <c r="B46" s="6" t="n">
        <v>16.003489</v>
      </c>
      <c r="C46" s="7" t="n">
        <v>16.507821</v>
      </c>
      <c r="D46" s="8" t="n">
        <v>0.269654</v>
      </c>
      <c r="E46" s="8" t="n">
        <v>2.752497</v>
      </c>
      <c r="F46" s="8" t="n">
        <v>4.49881</v>
      </c>
      <c r="G46" s="9" t="n">
        <f aca="false">SUM(D46:F46)</f>
        <v>7.520961</v>
      </c>
      <c r="H46" s="8" t="n">
        <v>1.5</v>
      </c>
      <c r="I46" s="8" t="n">
        <v>0.577847</v>
      </c>
      <c r="J46" s="10" t="n">
        <v>9.54534</v>
      </c>
      <c r="K46" s="10" t="n">
        <v>9.53202819824219</v>
      </c>
      <c r="L46" s="10" t="n">
        <f aca="false">J46-I46</f>
        <v>8.967493</v>
      </c>
      <c r="M46" s="10" t="n">
        <f aca="false">L46-7.5</f>
        <v>1.467493</v>
      </c>
      <c r="N46" s="11" t="n">
        <v>12.012900352478</v>
      </c>
      <c r="O46" s="10" t="n">
        <v>14.5086002349854</v>
      </c>
      <c r="P46" s="10" t="n">
        <v>0.395639300346375</v>
      </c>
      <c r="Q46" s="10" t="n">
        <v>8.97802352905273</v>
      </c>
      <c r="R46" s="10" t="n">
        <v>9.16399669647217</v>
      </c>
      <c r="S46" s="10" t="n">
        <v>12.1592016220093</v>
      </c>
      <c r="T46" s="8" t="n">
        <v>12.0858173370361</v>
      </c>
      <c r="U46" s="9" t="n">
        <v>4.485805</v>
      </c>
      <c r="V46" s="8" t="n">
        <v>2.093456</v>
      </c>
      <c r="W46" s="8" t="n">
        <v>0.847785</v>
      </c>
      <c r="X46" s="8" t="n">
        <v>0.587619</v>
      </c>
      <c r="Y46" s="8" t="n">
        <v>0.427233</v>
      </c>
      <c r="Z46" s="8" t="n">
        <v>0.034866</v>
      </c>
      <c r="AA46" s="10"/>
      <c r="AB46" s="10"/>
      <c r="AC46" s="10" t="n">
        <v>0.00362689979374409</v>
      </c>
      <c r="AD46" s="10" t="n">
        <v>-231.300003051758</v>
      </c>
      <c r="AE46" s="10" t="n">
        <v>0.57925933599472</v>
      </c>
      <c r="AF46" s="10" t="n">
        <v>0.393456786870956</v>
      </c>
    </row>
    <row r="47" customFormat="false" ht="15" hidden="false" customHeight="false" outlineLevel="0" collapsed="false">
      <c r="A47" s="5" t="n">
        <v>2009</v>
      </c>
      <c r="B47" s="6" t="n">
        <v>14.089934</v>
      </c>
      <c r="C47" s="7" t="n">
        <v>14.291779</v>
      </c>
      <c r="D47" s="8" t="n">
        <v>0.248613</v>
      </c>
      <c r="E47" s="8" t="n">
        <v>2.831711</v>
      </c>
      <c r="F47" s="8" t="n">
        <v>4.358074</v>
      </c>
      <c r="G47" s="9" t="n">
        <f aca="false">SUM(D47:F47)</f>
        <v>7.438398</v>
      </c>
      <c r="H47" s="8" t="n">
        <v>1.5</v>
      </c>
      <c r="I47" s="8" t="n">
        <v>0.553559</v>
      </c>
      <c r="J47" s="10" t="n">
        <v>9.480118</v>
      </c>
      <c r="K47" s="10" t="n">
        <v>9.2108268737793</v>
      </c>
      <c r="L47" s="10" t="n">
        <f aca="false">J47-I47</f>
        <v>8.926559</v>
      </c>
      <c r="M47" s="10" t="n">
        <f aca="false">L47-7.5</f>
        <v>1.426559</v>
      </c>
      <c r="N47" s="11" t="n">
        <v>10.9331998825073</v>
      </c>
      <c r="O47" s="10" t="n">
        <v>15.4630002975464</v>
      </c>
      <c r="P47" s="10" t="n">
        <v>0.437297523021698</v>
      </c>
      <c r="Q47" s="10" t="n">
        <v>8.23570442199707</v>
      </c>
      <c r="R47" s="10" t="n">
        <v>8.39580345153809</v>
      </c>
      <c r="S47" s="10" t="n">
        <v>9.7037467956543</v>
      </c>
      <c r="T47" s="8" t="n">
        <v>10.2195730209351</v>
      </c>
      <c r="U47" s="9" t="n">
        <v>4.465003</v>
      </c>
      <c r="V47" s="8" t="n">
        <v>2.058527</v>
      </c>
      <c r="W47" s="8" t="n">
        <v>0.891448</v>
      </c>
      <c r="X47" s="8" t="n">
        <v>0.526661</v>
      </c>
      <c r="Y47" s="8" t="n">
        <v>0.419939</v>
      </c>
      <c r="Z47" s="8" t="n">
        <v>0.035301</v>
      </c>
      <c r="AA47" s="10"/>
      <c r="AB47" s="10"/>
      <c r="AC47" s="10" t="n">
        <v>0.00363537017256021</v>
      </c>
      <c r="AD47" s="10" t="n">
        <v>-231.899993896484</v>
      </c>
      <c r="AE47" s="10" t="n">
        <v>0.528901278972626</v>
      </c>
      <c r="AF47" s="10" t="n">
        <v>0.377785474061966</v>
      </c>
    </row>
    <row r="48" customFormat="false" ht="15" hidden="false" customHeight="false" outlineLevel="0" collapsed="false">
      <c r="A48" s="5" t="n">
        <v>2010</v>
      </c>
      <c r="B48" s="6" t="n">
        <v>12.708978</v>
      </c>
      <c r="C48" s="7" t="n">
        <v>13.527462</v>
      </c>
      <c r="D48" s="8" t="n">
        <v>0.241437</v>
      </c>
      <c r="E48" s="8" t="n">
        <v>2.780367</v>
      </c>
      <c r="F48" s="8" t="n">
        <v>4.34562</v>
      </c>
      <c r="G48" s="9" t="n">
        <f aca="false">SUM(D48:F48)</f>
        <v>7.367424</v>
      </c>
      <c r="H48" s="8" t="n">
        <v>1.5</v>
      </c>
      <c r="I48" s="8" t="n">
        <v>0.537015</v>
      </c>
      <c r="J48" s="10" t="n">
        <v>9.450794</v>
      </c>
      <c r="K48" s="10" t="n">
        <v>9.26076984405518</v>
      </c>
      <c r="L48" s="10" t="n">
        <f aca="false">J48-I48</f>
        <v>8.913779</v>
      </c>
      <c r="M48" s="10" t="n">
        <f aca="false">L48-7.5</f>
        <v>1.413779</v>
      </c>
      <c r="N48" s="11" t="n">
        <v>10.0920000076294</v>
      </c>
      <c r="O48" s="10" t="n">
        <v>15.2667999267578</v>
      </c>
      <c r="P48" s="10" t="n">
        <v>0.443545013666153</v>
      </c>
      <c r="Q48" s="10" t="n">
        <v>8.2347526550293</v>
      </c>
      <c r="R48" s="10" t="n">
        <v>8.41865253448486</v>
      </c>
      <c r="S48" s="10" t="n">
        <v>8.46641635894775</v>
      </c>
      <c r="T48" s="8" t="n">
        <v>8.42609024047852</v>
      </c>
      <c r="U48" s="9" t="n">
        <v>4.400446</v>
      </c>
      <c r="V48" s="8" t="n">
        <v>1.834925</v>
      </c>
      <c r="W48" s="8" t="n">
        <v>0.947254</v>
      </c>
      <c r="X48" s="8" t="n">
        <v>0.678145</v>
      </c>
      <c r="Y48" s="8" t="n">
        <v>0.374792</v>
      </c>
      <c r="Z48" s="8" t="n">
        <v>0.034278</v>
      </c>
      <c r="AA48" s="10"/>
      <c r="AB48" s="10"/>
      <c r="AC48" s="10" t="n">
        <v>0.00363365979865193</v>
      </c>
      <c r="AD48" s="10" t="n">
        <v>-232</v>
      </c>
      <c r="AE48" s="10" t="n">
        <v>0.565236270427704</v>
      </c>
      <c r="AF48" s="10" t="n">
        <v>0.396743386983871</v>
      </c>
    </row>
    <row r="49" customFormat="false" ht="15" hidden="false" customHeight="false" outlineLevel="0" collapsed="false">
      <c r="A49" s="5" t="n">
        <v>2011</v>
      </c>
      <c r="B49" s="6" t="n">
        <v>20.255836</v>
      </c>
      <c r="C49" s="7" t="n">
        <v>20.846272</v>
      </c>
      <c r="D49" s="8" t="n">
        <v>0.222847</v>
      </c>
      <c r="E49" s="8" t="n">
        <v>2.781108</v>
      </c>
      <c r="F49" s="8" t="n">
        <v>4.312661</v>
      </c>
      <c r="G49" s="9" t="n">
        <f aca="false">SUM(D49:F49)</f>
        <v>7.316616</v>
      </c>
      <c r="H49" s="8" t="n">
        <v>1.449664</v>
      </c>
      <c r="I49" s="8" t="n">
        <v>0.577495</v>
      </c>
      <c r="J49" s="10" t="n">
        <v>9.207</v>
      </c>
      <c r="K49" s="10" t="n">
        <v>9.80142116546631</v>
      </c>
      <c r="L49" s="10" t="n">
        <f aca="false">J49-I49</f>
        <v>8.629505</v>
      </c>
      <c r="M49" s="10" t="n">
        <f aca="false">L49-7.5</f>
        <v>1.129505</v>
      </c>
      <c r="N49" s="11" t="n">
        <v>12.9767999649048</v>
      </c>
      <c r="O49" s="10" t="n">
        <v>17.5932998657227</v>
      </c>
      <c r="P49" s="10" t="n">
        <v>0.467236548662186</v>
      </c>
      <c r="Q49" s="10" t="n">
        <v>12.5182342529297</v>
      </c>
      <c r="R49" s="10" t="n">
        <v>12.7308511734009</v>
      </c>
      <c r="S49" s="10" t="n">
        <v>15.4981002807617</v>
      </c>
      <c r="T49" s="8" t="n">
        <v>15.9714164733887</v>
      </c>
      <c r="U49" s="9" t="n">
        <v>4.441872</v>
      </c>
      <c r="V49" s="8" t="n">
        <v>2.032494</v>
      </c>
      <c r="W49" s="8" t="n">
        <v>0.854992</v>
      </c>
      <c r="X49" s="8" t="n">
        <v>0.558017</v>
      </c>
      <c r="Y49" s="8" t="n">
        <v>0.39241</v>
      </c>
      <c r="Z49" s="8" t="n">
        <v>0.034066</v>
      </c>
      <c r="AA49" s="10"/>
      <c r="AB49" s="10"/>
      <c r="AC49" s="10" t="n">
        <v>0.00365301012061536</v>
      </c>
      <c r="AD49" s="10" t="n">
        <v>-232.199996948242</v>
      </c>
      <c r="AE49" s="10" t="n">
        <v>0.611423075199127</v>
      </c>
      <c r="AF49" s="10" t="n">
        <v>0.420519083738327</v>
      </c>
    </row>
    <row r="50" customFormat="false" ht="15" hidden="false" customHeight="false" outlineLevel="0" collapsed="false">
      <c r="A50" s="5" t="n">
        <v>2012</v>
      </c>
      <c r="B50" s="6" t="n">
        <v>7.894615</v>
      </c>
      <c r="C50" s="7" t="n">
        <v>8.336823</v>
      </c>
      <c r="D50" s="8" t="n">
        <v>0.237161</v>
      </c>
      <c r="E50" s="8" t="n">
        <v>2.789667</v>
      </c>
      <c r="F50" s="8" t="n">
        <v>4.416718</v>
      </c>
      <c r="G50" s="9" t="n">
        <f aca="false">SUM(D50:F50)</f>
        <v>7.443546</v>
      </c>
      <c r="H50" s="8" t="n">
        <v>1.367023</v>
      </c>
      <c r="I50" s="8" t="n">
        <v>0.608277</v>
      </c>
      <c r="J50" s="10" t="n">
        <v>9.387256</v>
      </c>
      <c r="K50" s="10" t="n">
        <v>9.42113304138184</v>
      </c>
      <c r="L50" s="10" t="n">
        <f aca="false">J50-I50</f>
        <v>8.778979</v>
      </c>
      <c r="M50" s="10" t="n">
        <f aca="false">L50-7.5</f>
        <v>1.278979</v>
      </c>
      <c r="N50" s="11" t="n">
        <v>13.1347999572754</v>
      </c>
      <c r="O50" s="10" t="n">
        <v>13.9292001724243</v>
      </c>
      <c r="P50" s="10" t="n">
        <v>0.454983949661255</v>
      </c>
      <c r="Q50" s="10" t="n">
        <v>9.46594142913818</v>
      </c>
      <c r="R50" s="10" t="n">
        <v>9.52700996398926</v>
      </c>
      <c r="S50" s="10" t="n">
        <v>5.96372318267822</v>
      </c>
      <c r="T50" s="8" t="n">
        <v>4.90830278396606</v>
      </c>
      <c r="U50" s="9" t="n">
        <v>4.624963</v>
      </c>
      <c r="V50" s="8" t="n">
        <v>2.155507</v>
      </c>
      <c r="W50" s="8" t="n">
        <v>0.917788</v>
      </c>
      <c r="X50" s="8" t="n">
        <v>0.609019</v>
      </c>
      <c r="Y50" s="8" t="n">
        <v>0.39218</v>
      </c>
      <c r="Z50" s="8" t="n">
        <v>0.03299</v>
      </c>
      <c r="AA50" s="10"/>
      <c r="AB50" s="10"/>
      <c r="AC50" s="10" t="n">
        <v>0.00362156005576253</v>
      </c>
      <c r="AD50" s="10" t="n">
        <v>-232.600006103516</v>
      </c>
      <c r="AE50" s="10" t="n">
        <v>0.665414810180664</v>
      </c>
      <c r="AF50" s="10" t="n">
        <v>0.416339933872223</v>
      </c>
    </row>
    <row r="51" customFormat="false" ht="15" hidden="false" customHeight="false" outlineLevel="0" collapsed="false">
      <c r="A51" s="5" t="n">
        <v>2013</v>
      </c>
      <c r="B51" s="6" t="n">
        <v>9.727034</v>
      </c>
      <c r="C51" s="7" t="n">
        <v>10.298778</v>
      </c>
      <c r="D51" s="8" t="n">
        <v>0.223563</v>
      </c>
      <c r="E51" s="8" t="n">
        <v>2.778867</v>
      </c>
      <c r="F51" s="8" t="n">
        <v>4.475789</v>
      </c>
      <c r="G51" s="9" t="n">
        <f aca="false">SUM(D51:F51)</f>
        <v>7.478219</v>
      </c>
      <c r="H51" s="8" t="n">
        <v>1.373188</v>
      </c>
      <c r="I51" s="8" t="n">
        <v>0.580228</v>
      </c>
      <c r="J51" s="10" t="n">
        <v>9.375281</v>
      </c>
      <c r="K51" s="10" t="n">
        <v>9.04272842407227</v>
      </c>
      <c r="L51" s="10" t="n">
        <f aca="false">J51-I51</f>
        <v>8.795053</v>
      </c>
      <c r="M51" s="10" t="n">
        <f aca="false">L51-7.5</f>
        <v>1.295053</v>
      </c>
      <c r="N51" s="11" t="n">
        <v>12.3618001937866</v>
      </c>
      <c r="O51" s="10" t="n">
        <v>10.9340000152588</v>
      </c>
      <c r="P51" s="10" t="n">
        <v>0.360910624265671</v>
      </c>
      <c r="Q51" s="10" t="n">
        <v>8.2320728302002</v>
      </c>
      <c r="R51" s="10" t="n">
        <v>8.26376438140869</v>
      </c>
      <c r="S51" s="10" t="n">
        <v>5.35818910598755</v>
      </c>
      <c r="T51" s="8" t="n">
        <v>5.11815214157105</v>
      </c>
      <c r="U51" s="9" t="n">
        <v>3.563178</v>
      </c>
      <c r="V51" s="8" t="n">
        <v>1.508844</v>
      </c>
      <c r="W51" s="8" t="n">
        <v>0.768571</v>
      </c>
      <c r="X51" s="8" t="n">
        <v>0.529641</v>
      </c>
      <c r="Y51" s="8" t="n">
        <v>0.298183</v>
      </c>
      <c r="Z51" s="8" t="n">
        <v>0.034099</v>
      </c>
      <c r="AA51" s="10"/>
      <c r="AB51" s="10"/>
      <c r="AC51" s="10" t="n">
        <v>0.00359124992974102</v>
      </c>
      <c r="AD51" s="10" t="n">
        <v>-233.800003051758</v>
      </c>
      <c r="AE51" s="10" t="n">
        <v>0.576528072357178</v>
      </c>
      <c r="AF51" s="10" t="n">
        <v>0.394644886255264</v>
      </c>
    </row>
    <row r="52" customFormat="false" ht="15" hidden="false" customHeight="false" outlineLevel="0" collapsed="false">
      <c r="A52" s="5" t="n">
        <v>2014</v>
      </c>
      <c r="B52" s="6" t="n">
        <v>14.246422</v>
      </c>
      <c r="C52" s="7" t="n">
        <v>14.56124</v>
      </c>
      <c r="D52" s="8" t="n">
        <v>0.224616</v>
      </c>
      <c r="E52" s="8" t="n">
        <v>2.774661</v>
      </c>
      <c r="F52" s="8" t="n">
        <v>4.649734</v>
      </c>
      <c r="G52" s="9" t="n">
        <f aca="false">SUM(D52:F52)</f>
        <v>7.649011</v>
      </c>
      <c r="H52" s="8" t="n">
        <v>1.443991</v>
      </c>
      <c r="I52" s="8" t="n">
        <v>0.533534</v>
      </c>
      <c r="J52" s="10" t="n">
        <v>9.61484</v>
      </c>
      <c r="K52" s="10" t="n">
        <v>9.7588357925415</v>
      </c>
      <c r="L52" s="10" t="n">
        <f aca="false">J52-I52</f>
        <v>9.081306</v>
      </c>
      <c r="M52" s="10" t="n">
        <f aca="false">L52-7.5</f>
        <v>1.581306</v>
      </c>
      <c r="N52" s="11" t="n">
        <v>10.1215000152588</v>
      </c>
      <c r="O52" s="10" t="n">
        <v>12.2855997085571</v>
      </c>
      <c r="P52" s="10" t="n">
        <v>0.347171753644943</v>
      </c>
      <c r="Q52" s="10" t="n">
        <v>7.47965669631958</v>
      </c>
      <c r="R52" s="10" t="n">
        <v>7.56766939163208</v>
      </c>
      <c r="S52" s="10" t="n">
        <v>9.28654193878174</v>
      </c>
      <c r="T52" s="8" t="n">
        <v>10.3805322647095</v>
      </c>
      <c r="U52" s="9" t="n">
        <v>4.012007</v>
      </c>
      <c r="V52" s="8" t="n">
        <v>1.737075</v>
      </c>
      <c r="W52" s="8" t="n">
        <v>0.866597</v>
      </c>
      <c r="X52" s="8" t="n">
        <v>0.582008</v>
      </c>
      <c r="Y52" s="8" t="n">
        <v>0.348971</v>
      </c>
      <c r="Z52" s="8" t="n">
        <v>0.034708</v>
      </c>
      <c r="AA52" s="10"/>
      <c r="AB52" s="10"/>
      <c r="AC52" s="10" t="n">
        <v>0.00360553013160825</v>
      </c>
      <c r="AD52" s="10" t="n">
        <v>-234.600006103516</v>
      </c>
      <c r="AE52" s="10" t="n">
        <v>0.564030289649963</v>
      </c>
      <c r="AF52" s="10" t="n">
        <v>0.401773393154144</v>
      </c>
    </row>
    <row r="53" customFormat="false" ht="15" hidden="false" customHeight="false" outlineLevel="0" collapsed="false">
      <c r="A53" s="5" t="n">
        <v>2015</v>
      </c>
      <c r="B53" s="6" t="n">
        <v>13.016508</v>
      </c>
      <c r="C53" s="7" t="n">
        <v>13.422607</v>
      </c>
      <c r="D53" s="8" t="n">
        <v>0.222729</v>
      </c>
      <c r="E53" s="8" t="n">
        <v>2.604732</v>
      </c>
      <c r="F53" s="8" t="n">
        <v>4.620756</v>
      </c>
      <c r="G53" s="9" t="n">
        <f aca="false">SUM(D53:F53)</f>
        <v>7.448217</v>
      </c>
      <c r="H53" s="8" t="n">
        <v>1.5</v>
      </c>
      <c r="I53" s="8" t="n">
        <v>0.515859</v>
      </c>
      <c r="J53" s="10" t="n">
        <v>9.414</v>
      </c>
      <c r="K53" s="10" t="n">
        <v>9.24573516845703</v>
      </c>
      <c r="L53" s="10" t="n">
        <f aca="false">J53-I53</f>
        <v>8.898141</v>
      </c>
      <c r="M53" s="10" t="n">
        <f aca="false">L53-7.5</f>
        <v>1.398141</v>
      </c>
      <c r="N53" s="11" t="n">
        <v>9.85418033599854</v>
      </c>
      <c r="O53" s="10" t="n">
        <v>12.3329000473022</v>
      </c>
      <c r="P53" s="10" t="n">
        <v>0.368092864751816</v>
      </c>
      <c r="Q53" s="10" t="n">
        <v>9.00027179718018</v>
      </c>
      <c r="R53" s="10" t="n">
        <v>9.13614940643311</v>
      </c>
      <c r="S53" s="10" t="n">
        <v>9.41938781738281</v>
      </c>
      <c r="T53" s="8" t="n">
        <v>10.1737823486328</v>
      </c>
      <c r="U53" s="9" t="n">
        <v>3.97645</v>
      </c>
      <c r="V53" s="8" t="n">
        <v>1.578059</v>
      </c>
      <c r="W53" s="8" t="n">
        <v>0.931278</v>
      </c>
      <c r="X53" s="8" t="n">
        <v>0.633737</v>
      </c>
      <c r="Y53" s="8" t="n">
        <v>0.343895</v>
      </c>
      <c r="Z53" s="8" t="n">
        <v>0.028708</v>
      </c>
      <c r="AA53" s="10"/>
      <c r="AB53" s="10"/>
      <c r="AC53" s="10" t="n">
        <v>0.00360600999556482</v>
      </c>
      <c r="AD53" s="10" t="n">
        <v>-235.800003051758</v>
      </c>
      <c r="AE53" s="10" t="n">
        <v>0.528427183628082</v>
      </c>
      <c r="AF53" s="10" t="n">
        <v>0.372543185949326</v>
      </c>
    </row>
    <row r="54" customFormat="false" ht="15" hidden="false" customHeight="false" outlineLevel="0" collapsed="false">
      <c r="A54" s="5" t="n">
        <v>2016</v>
      </c>
      <c r="B54" s="6" t="n">
        <v>13.418884</v>
      </c>
      <c r="C54" s="7" t="n">
        <v>13.843877</v>
      </c>
      <c r="D54" s="8" t="n">
        <v>0.238326</v>
      </c>
      <c r="E54" s="8" t="n">
        <v>2.612833</v>
      </c>
      <c r="F54" s="8" t="n">
        <v>4.381101</v>
      </c>
      <c r="G54" s="9" t="n">
        <f aca="false">SUM(D54:F54)</f>
        <v>7.23226</v>
      </c>
      <c r="H54" s="8" t="n">
        <v>1.5</v>
      </c>
      <c r="I54" s="8" t="n">
        <v>0.50891</v>
      </c>
      <c r="J54" s="10" t="n">
        <v>9.275998</v>
      </c>
      <c r="K54" s="10" t="n">
        <v>9.29260540008545</v>
      </c>
      <c r="L54" s="10" t="n">
        <f aca="false">J54-I54</f>
        <v>8.767088</v>
      </c>
      <c r="M54" s="10" t="n">
        <f aca="false">L54-7.5</f>
        <v>1.267088</v>
      </c>
      <c r="N54" s="11" t="n">
        <v>9.61966991424561</v>
      </c>
      <c r="O54" s="10" t="n">
        <v>12.8240995407105</v>
      </c>
      <c r="P54" s="10" t="n">
        <v>0.378368884325027</v>
      </c>
      <c r="Q54" s="10" t="n">
        <v>8.99997997283936</v>
      </c>
      <c r="R54" s="10" t="n">
        <v>9.11700916290283</v>
      </c>
      <c r="S54" s="10" t="n">
        <v>9.90891647338867</v>
      </c>
      <c r="T54" s="8" t="n">
        <v>9.61590194702148</v>
      </c>
      <c r="U54" s="9" t="n">
        <v>4.308611</v>
      </c>
      <c r="V54" s="8" t="n">
        <v>1.933417</v>
      </c>
      <c r="W54" s="8" t="n">
        <v>0.934281</v>
      </c>
      <c r="X54" s="8" t="n">
        <v>0.598842</v>
      </c>
      <c r="Y54" s="8" t="n">
        <v>0.344958</v>
      </c>
      <c r="Z54" s="8" t="n">
        <v>0.028461</v>
      </c>
      <c r="AA54" s="10"/>
      <c r="AB54" s="10"/>
      <c r="AC54" s="10" t="n">
        <v>0.00361092993989587</v>
      </c>
      <c r="AD54" s="10" t="n">
        <v>-236.300003051758</v>
      </c>
      <c r="AE54" s="10" t="n">
        <v>0.563708961009979</v>
      </c>
      <c r="AF54" s="10" t="n">
        <v>0.433032751083374</v>
      </c>
    </row>
    <row r="55" customFormat="false" ht="15" hidden="false" customHeight="false" outlineLevel="0" collapsed="false">
      <c r="A55" s="5" t="n">
        <v>2017</v>
      </c>
      <c r="B55" s="6" t="n">
        <v>16.295678</v>
      </c>
      <c r="C55" s="7" t="n">
        <v>16.767842</v>
      </c>
      <c r="D55" s="8" t="n">
        <v>0.243425</v>
      </c>
      <c r="E55" s="8" t="n">
        <v>2.509503</v>
      </c>
      <c r="F55" s="8" t="n">
        <v>4.026515</v>
      </c>
      <c r="G55" s="9" t="n">
        <f aca="false">SUM(D55:F55)</f>
        <v>6.779443</v>
      </c>
      <c r="H55" s="8" t="n">
        <v>1.5</v>
      </c>
      <c r="I55" s="8" t="n">
        <v>0.521725</v>
      </c>
      <c r="J55" s="10" t="n">
        <v>8.730095</v>
      </c>
      <c r="K55" s="10" t="n">
        <v>8.61975574493408</v>
      </c>
      <c r="L55" s="10" t="n">
        <f aca="false">J55-I55</f>
        <v>8.20837</v>
      </c>
      <c r="M55" s="10" t="n">
        <f aca="false">L55-7.5</f>
        <v>0.70837</v>
      </c>
      <c r="N55" s="11" t="n">
        <v>10.1815996170044</v>
      </c>
      <c r="O55" s="10" t="n">
        <v>14.664400100708</v>
      </c>
      <c r="P55" s="10" t="n">
        <v>0.408693224191666</v>
      </c>
      <c r="Q55" s="10" t="n">
        <v>8.99998188018799</v>
      </c>
      <c r="R55" s="10" t="n">
        <v>9.15223503112793</v>
      </c>
      <c r="S55" s="10" t="n">
        <v>11.3962020874023</v>
      </c>
      <c r="T55" s="8" t="n">
        <v>11.9048614501953</v>
      </c>
      <c r="U55" s="9" t="n">
        <v>4.709288</v>
      </c>
      <c r="V55" s="8" t="n">
        <v>2.044902</v>
      </c>
      <c r="W55" s="8" t="n">
        <v>1.014582</v>
      </c>
      <c r="X55" s="8" t="n">
        <v>0.652482</v>
      </c>
      <c r="Y55" s="8" t="n">
        <v>0.456076</v>
      </c>
      <c r="Z55" s="8" t="n">
        <v>0.028859</v>
      </c>
      <c r="AA55" s="10"/>
      <c r="AB55" s="10"/>
      <c r="AC55" s="10" t="n">
        <v>0.0036283100489527</v>
      </c>
      <c r="AD55" s="10" t="n">
        <v>-237.100006103516</v>
      </c>
      <c r="AE55" s="10" t="n">
        <v>0.529934644699097</v>
      </c>
      <c r="AF55" s="10" t="n">
        <v>0.396390318870544</v>
      </c>
    </row>
    <row r="56" customFormat="false" ht="15" hidden="false" customHeight="false" outlineLevel="0" collapsed="false">
      <c r="A56" s="5" t="n">
        <v>2018</v>
      </c>
      <c r="B56" s="6" t="n">
        <v>8.440932</v>
      </c>
      <c r="C56" s="7" t="n">
        <v>8.645903</v>
      </c>
      <c r="D56" s="8" t="n">
        <v>0.244103</v>
      </c>
      <c r="E56" s="8" t="n">
        <v>2.63226</v>
      </c>
      <c r="F56" s="8" t="n">
        <v>4.265525</v>
      </c>
      <c r="G56" s="9" t="n">
        <f aca="false">SUM(D56:F56)</f>
        <v>7.141888</v>
      </c>
      <c r="H56" s="8" t="n">
        <v>1.493327</v>
      </c>
      <c r="I56" s="8" t="n">
        <v>0.518023</v>
      </c>
      <c r="J56" s="10" t="n">
        <v>9.11638</v>
      </c>
      <c r="K56" s="10" t="n">
        <v>9.24049854278564</v>
      </c>
      <c r="L56" s="10" t="n">
        <f aca="false">J56-I56</f>
        <v>8.598357</v>
      </c>
      <c r="M56" s="10" t="n">
        <f aca="false">L56-7.5</f>
        <v>1.098357</v>
      </c>
      <c r="N56" s="11" t="n">
        <v>9.86981010437012</v>
      </c>
      <c r="O56" s="10" t="n">
        <v>11.0277004241943</v>
      </c>
      <c r="P56" s="10" t="n">
        <v>0.386346250772476</v>
      </c>
      <c r="Q56" s="10" t="n">
        <v>8.99990463256836</v>
      </c>
      <c r="R56" s="10" t="n">
        <v>9.15762996673584</v>
      </c>
      <c r="S56" s="10" t="n">
        <v>5.45858716964722</v>
      </c>
      <c r="T56" s="8" t="n">
        <v>4.61205387115479</v>
      </c>
      <c r="U56" s="9" t="n">
        <v>4.540771</v>
      </c>
      <c r="V56" s="8" t="n">
        <v>2.069402</v>
      </c>
      <c r="W56" s="8" t="n">
        <v>0.931346</v>
      </c>
      <c r="X56" s="8" t="n">
        <v>0.712196</v>
      </c>
      <c r="Y56" s="8" t="n">
        <v>0.346425</v>
      </c>
      <c r="Z56" s="8" t="n">
        <v>0.029175</v>
      </c>
      <c r="AA56" s="10"/>
      <c r="AB56" s="10"/>
      <c r="AC56" s="10" t="n">
        <v>0.00359226996079087</v>
      </c>
      <c r="AD56" s="10" t="n">
        <v>-237.699996948242</v>
      </c>
      <c r="AE56" s="10" t="n">
        <v>0.574385941028595</v>
      </c>
      <c r="AF56" s="10" t="n">
        <v>0.363562107086182</v>
      </c>
    </row>
    <row r="57" customFormat="false" ht="15" hidden="false" customHeight="false" outlineLevel="0" collapsed="false">
      <c r="A57" s="5" t="n">
        <v>2019</v>
      </c>
      <c r="B57" s="6" t="n">
        <v>17.721368</v>
      </c>
      <c r="C57" s="7" t="n">
        <v>18.386349</v>
      </c>
      <c r="D57" s="8" t="n">
        <v>0.233996</v>
      </c>
      <c r="E57" s="8" t="n">
        <v>2.491707</v>
      </c>
      <c r="F57" s="8" t="n">
        <v>3.840686</v>
      </c>
      <c r="G57" s="9" t="n">
        <f aca="false">SUM(D57:F57)</f>
        <v>6.566389</v>
      </c>
      <c r="H57" s="8" t="n">
        <v>1.5</v>
      </c>
      <c r="I57" s="8" t="n">
        <v>0.523928</v>
      </c>
      <c r="J57" s="10" t="n">
        <v>8.514582</v>
      </c>
      <c r="K57" s="10" t="n">
        <v>8.89182662963867</v>
      </c>
      <c r="L57" s="10" t="n">
        <f aca="false">J57-I57</f>
        <v>7.990654</v>
      </c>
      <c r="M57" s="10" t="n">
        <f aca="false">L57-7.5</f>
        <v>0.490654000000001</v>
      </c>
      <c r="N57" s="11" t="n">
        <v>10.2610998153687</v>
      </c>
      <c r="O57" s="10" t="n">
        <v>13.2774000167847</v>
      </c>
      <c r="P57" s="10" t="n">
        <v>0.355521768331528</v>
      </c>
      <c r="Q57" s="10" t="n">
        <v>9.00139331817627</v>
      </c>
      <c r="R57" s="10" t="n">
        <v>9.24145126342773</v>
      </c>
      <c r="S57" s="10" t="n">
        <v>11.7865781784058</v>
      </c>
      <c r="T57" s="8" t="n">
        <v>12.9513921737671</v>
      </c>
      <c r="U57" s="9" t="n">
        <v>4.623573</v>
      </c>
      <c r="V57" s="8" t="n">
        <v>2.083523</v>
      </c>
      <c r="W57" s="8" t="n">
        <v>0.969279</v>
      </c>
      <c r="X57" s="8" t="n">
        <v>0.650692</v>
      </c>
      <c r="Y57" s="8" t="n">
        <v>0.430218</v>
      </c>
      <c r="Z57" s="8" t="n">
        <v>0.029538</v>
      </c>
      <c r="AA57" s="10"/>
      <c r="AB57" s="10"/>
      <c r="AC57" s="10" t="n">
        <v>0.00361536000855267</v>
      </c>
      <c r="AD57" s="10" t="n">
        <v>-238.399993896484</v>
      </c>
      <c r="AE57" s="10" t="n">
        <v>0.564266324043274</v>
      </c>
      <c r="AF57" s="10" t="n">
        <v>0.322191089391708</v>
      </c>
    </row>
    <row r="58" customFormat="false" ht="15" hidden="false" customHeight="false" outlineLevel="0" collapsed="false">
      <c r="A58" s="5" t="n">
        <v>2020</v>
      </c>
      <c r="B58" s="6" t="n">
        <v>9.557982</v>
      </c>
      <c r="C58" s="7" t="n">
        <v>9.685005</v>
      </c>
      <c r="D58" s="8" t="n">
        <v>0.255568</v>
      </c>
      <c r="E58" s="8" t="n">
        <v>2.470776</v>
      </c>
      <c r="F58" s="8" t="n">
        <v>4.059911</v>
      </c>
      <c r="G58" s="9" t="n">
        <f aca="false">SUM(D58:F58)</f>
        <v>6.786255</v>
      </c>
      <c r="H58" s="8" t="n">
        <v>1.432606</v>
      </c>
      <c r="I58" s="8" t="n">
        <v>0.532147</v>
      </c>
      <c r="J58" s="10" t="n">
        <v>8.7828</v>
      </c>
      <c r="K58" s="10" t="n">
        <v>8.26273345947266</v>
      </c>
      <c r="L58" s="10" t="n">
        <f aca="false">J58-I58</f>
        <v>8.250653</v>
      </c>
      <c r="M58" s="10" t="n">
        <f aca="false">L58-7.5</f>
        <v>0.750653</v>
      </c>
      <c r="N58" s="11" t="n">
        <v>10.2786998748779</v>
      </c>
      <c r="O58" s="10" t="n">
        <v>11.3704996109009</v>
      </c>
      <c r="P58" s="10" t="n">
        <v>0.372177809476852</v>
      </c>
      <c r="Q58" s="10" t="n">
        <v>8.23009586334229</v>
      </c>
      <c r="R58" s="10" t="n">
        <v>8.42490100860596</v>
      </c>
      <c r="S58" s="10" t="n">
        <v>6.54286956787109</v>
      </c>
      <c r="T58" s="8" t="n">
        <v>5.84757089614868</v>
      </c>
      <c r="U58" s="9" t="n">
        <v>4.851257</v>
      </c>
      <c r="V58" s="8" t="n">
        <v>2.162487</v>
      </c>
      <c r="W58" s="8" t="n">
        <v>1.119833</v>
      </c>
      <c r="X58" s="8" t="n">
        <v>0.727253</v>
      </c>
      <c r="Y58" s="8" t="n">
        <v>0.385091</v>
      </c>
      <c r="Z58" s="8" t="n">
        <v>0.01016</v>
      </c>
      <c r="AA58" s="10"/>
      <c r="AB58" s="10"/>
      <c r="AC58" s="10" t="n">
        <v>0.00359597988426685</v>
      </c>
      <c r="AD58" s="10" t="n">
        <v>-239.199996948242</v>
      </c>
      <c r="AE58" s="10" t="n">
        <v>0.539655566215515</v>
      </c>
      <c r="AF58" s="10" t="n">
        <v>0.320090621709824</v>
      </c>
    </row>
    <row r="59" customFormat="false" ht="15" hidden="false" customHeight="false" outlineLevel="0" collapsed="false">
      <c r="A59" s="5" t="n">
        <v>2021</v>
      </c>
      <c r="B59" s="6" t="n">
        <v>7.818</v>
      </c>
      <c r="C59" s="7"/>
      <c r="D59" s="8" t="n">
        <v>0.242168</v>
      </c>
      <c r="E59" s="8" t="n">
        <v>2.425736</v>
      </c>
      <c r="F59" s="8" t="n">
        <v>4.404727</v>
      </c>
      <c r="G59" s="9" t="n">
        <f aca="false">SUM(D59:F59)</f>
        <v>7.072631</v>
      </c>
      <c r="H59" s="8" t="n">
        <v>1.455061</v>
      </c>
      <c r="I59" s="8" t="n">
        <v>0.500743</v>
      </c>
      <c r="J59" s="10" t="n">
        <v>9.144952</v>
      </c>
      <c r="K59" s="10" t="n">
        <v>9.35952568054199</v>
      </c>
      <c r="L59" s="10" t="n">
        <f aca="false">J59-I59</f>
        <v>8.644209</v>
      </c>
      <c r="M59" s="10" t="n">
        <f aca="false">L59-7.5</f>
        <v>1.144209</v>
      </c>
      <c r="N59" s="11" t="n">
        <v>9.0161600112915</v>
      </c>
      <c r="O59" s="10" t="n">
        <v>7.25770998001099</v>
      </c>
      <c r="P59" s="10" t="n">
        <v>0.276791512966156</v>
      </c>
      <c r="Q59" s="10" t="n">
        <v>8.22947120666504</v>
      </c>
      <c r="R59" s="10" t="n">
        <v>8.27864074707031</v>
      </c>
      <c r="S59" s="10" t="n">
        <v>4.06440353393555</v>
      </c>
      <c r="T59" s="8" t="n">
        <v>3.50209450721741</v>
      </c>
      <c r="U59" s="9" t="n">
        <v>3.928805</v>
      </c>
      <c r="V59" s="8" t="n">
        <v>1.804285</v>
      </c>
      <c r="W59" s="8" t="n">
        <v>0.834521</v>
      </c>
      <c r="X59" s="8" t="n">
        <v>0.590286</v>
      </c>
      <c r="Y59" s="8" t="n">
        <v>0.3546</v>
      </c>
      <c r="Z59" s="8" t="n">
        <v>0.010907</v>
      </c>
      <c r="AA59" s="10"/>
      <c r="AB59" s="10"/>
      <c r="AC59" s="10" t="n">
        <v>0.00354536017403007</v>
      </c>
      <c r="AD59" s="10" t="n">
        <v>-239.899993896484</v>
      </c>
      <c r="AE59" s="10" t="n">
        <v>0.581833839416504</v>
      </c>
      <c r="AF59" s="10" t="n">
        <v>0.343185991048813</v>
      </c>
    </row>
    <row r="60" customFormat="false" ht="15" hidden="false" customHeight="false" outlineLevel="0" collapsed="false">
      <c r="A60" s="5" t="n">
        <v>2022</v>
      </c>
      <c r="B60" s="6" t="n">
        <v>10.11</v>
      </c>
      <c r="C60" s="7"/>
      <c r="D60" s="8"/>
      <c r="E60" s="8" t="n">
        <v>2.014176</v>
      </c>
      <c r="F60" s="8"/>
      <c r="G60" s="9" t="n">
        <f aca="false">SUM(D60:F60)</f>
        <v>2.014176</v>
      </c>
      <c r="H60" s="8"/>
      <c r="I60" s="8" t="n">
        <v>0.5</v>
      </c>
      <c r="J60" s="10"/>
      <c r="K60" s="10" t="n">
        <v>8.89900684356689</v>
      </c>
      <c r="L60" s="10" t="n">
        <f aca="false">J60-I60</f>
        <v>-0.5</v>
      </c>
      <c r="M60" s="10" t="n">
        <f aca="false">L60-7.5</f>
        <v>-8</v>
      </c>
      <c r="N60" s="11" t="n">
        <v>7.32816982269287</v>
      </c>
      <c r="O60" s="10" t="n">
        <v>5.79742002487183</v>
      </c>
      <c r="P60" s="10" t="n">
        <v>0.203149005770683</v>
      </c>
      <c r="Q60" s="10" t="n">
        <v>6.99912405014038</v>
      </c>
      <c r="R60" s="10" t="n">
        <v>7.06579494476318</v>
      </c>
      <c r="S60" s="10" t="n">
        <v>6.10749769210815</v>
      </c>
      <c r="T60" s="8" t="n">
        <v>6.08388328552246</v>
      </c>
      <c r="U60" s="9" t="n">
        <v>4.051607</v>
      </c>
      <c r="V60" s="8" t="n">
        <v>1.846994</v>
      </c>
      <c r="W60" s="8" t="n">
        <v>0.912415</v>
      </c>
      <c r="X60" s="8" t="n">
        <v>0.66637</v>
      </c>
      <c r="Y60" s="8" t="n">
        <v>0.347348</v>
      </c>
      <c r="Z60" s="8" t="n">
        <v>0.010676</v>
      </c>
      <c r="AA60" s="10"/>
      <c r="AB60" s="10"/>
      <c r="AC60" s="10" t="n">
        <v>0.00352933001704514</v>
      </c>
      <c r="AD60" s="10" t="n">
        <v>-240.800003051758</v>
      </c>
      <c r="AE60" s="10" t="n">
        <v>0.568895697593689</v>
      </c>
      <c r="AF60" s="10" t="n">
        <v>0.33562308549881</v>
      </c>
    </row>
    <row r="61" customFormat="false" ht="15" hidden="false" customHeight="false" outlineLevel="0" collapsed="false">
      <c r="A61" s="5" t="n">
        <v>2023</v>
      </c>
      <c r="B61" s="6" t="n">
        <v>17.389</v>
      </c>
      <c r="C61" s="7"/>
      <c r="D61" s="8"/>
      <c r="E61" s="8" t="n">
        <v>1.889517</v>
      </c>
      <c r="F61" s="8"/>
      <c r="G61" s="9" t="n">
        <f aca="false">SUM(D61:F61)</f>
        <v>1.889517</v>
      </c>
      <c r="H61" s="8"/>
      <c r="I61" s="8" t="n">
        <v>0.475</v>
      </c>
      <c r="J61" s="10"/>
      <c r="K61" s="10" t="n">
        <v>7.63316345214844</v>
      </c>
      <c r="L61" s="10" t="n">
        <f aca="false">J61-I61</f>
        <v>-0.475</v>
      </c>
      <c r="M61" s="10" t="n">
        <f aca="false">L61-7.5</f>
        <v>-7.975</v>
      </c>
      <c r="N61" s="11" t="n">
        <v>8.87057018280029</v>
      </c>
      <c r="O61" s="10" t="n">
        <v>8.79034996032715</v>
      </c>
      <c r="P61" s="10" t="n">
        <v>0.2300084233284</v>
      </c>
      <c r="Q61" s="10" t="n">
        <v>8.5808162689209</v>
      </c>
      <c r="R61" s="10" t="n">
        <v>8.73031425476074</v>
      </c>
      <c r="S61" s="10" t="n">
        <v>12.0431928634644</v>
      </c>
      <c r="T61" s="8" t="n">
        <v>13.4211339950562</v>
      </c>
      <c r="U61" s="9" t="n">
        <v>4.712049</v>
      </c>
      <c r="V61" s="8" t="n">
        <v>2.301726</v>
      </c>
      <c r="W61" s="8" t="n">
        <v>1.049098</v>
      </c>
      <c r="X61" s="8" t="n">
        <v>0.589642</v>
      </c>
      <c r="Y61" s="8" t="n">
        <v>0.424347</v>
      </c>
      <c r="Z61" s="8" t="n">
        <v>0.012329</v>
      </c>
      <c r="AA61" s="10"/>
      <c r="AB61" s="10"/>
      <c r="AC61" s="10" t="n">
        <v>0.00357357016764581</v>
      </c>
      <c r="AD61" s="10" t="n">
        <v>-242.100006103516</v>
      </c>
      <c r="AE61" s="10" t="n">
        <v>0.538766920566559</v>
      </c>
      <c r="AF61" s="10" t="n">
        <v>0.297554552555084</v>
      </c>
    </row>
    <row r="62" customFormat="false" ht="15" hidden="false" customHeight="false" outlineLevel="0" collapsed="false">
      <c r="A62" s="5" t="n">
        <v>2024</v>
      </c>
      <c r="B62" s="6" t="n">
        <v>12.132</v>
      </c>
      <c r="C62" s="7"/>
      <c r="D62" s="8" t="n">
        <v>0.212428</v>
      </c>
      <c r="E62" s="8" t="n">
        <v>1.934518</v>
      </c>
      <c r="F62" s="8" t="n">
        <v>3.943741</v>
      </c>
      <c r="G62" s="9" t="n">
        <f aca="false">SUM(D62:F62)</f>
        <v>6.090687</v>
      </c>
      <c r="H62" s="8" t="n">
        <v>1.45</v>
      </c>
      <c r="I62" s="8" t="n">
        <v>0.45</v>
      </c>
      <c r="J62" s="10"/>
      <c r="K62" s="10" t="n">
        <v>7.63236999511719</v>
      </c>
      <c r="L62" s="10" t="n">
        <f aca="false">J62-I62</f>
        <v>-0.45</v>
      </c>
      <c r="M62" s="10" t="n">
        <f aca="false">L62-7.5</f>
        <v>-7.95</v>
      </c>
      <c r="N62" s="11" t="n">
        <v>8.70693016052246</v>
      </c>
      <c r="O62" s="10" t="n">
        <v>9.14169025421143</v>
      </c>
      <c r="P62" s="10" t="n">
        <v>0.268701106309891</v>
      </c>
      <c r="Q62" s="10" t="n">
        <v>7.48147439956665</v>
      </c>
      <c r="R62" s="10" t="n">
        <v>7.5513653755188</v>
      </c>
      <c r="S62" s="10" t="n">
        <v>8.12962436676025</v>
      </c>
      <c r="T62" s="8" t="n">
        <v>7.9814395904541</v>
      </c>
      <c r="U62" s="9" t="n">
        <v>4.472497</v>
      </c>
      <c r="V62" s="8" t="n">
        <v>1.917325</v>
      </c>
      <c r="W62" s="8" t="n">
        <v>1.154042</v>
      </c>
      <c r="X62" s="8" t="n">
        <v>0.686759</v>
      </c>
      <c r="Y62" s="8" t="n">
        <v>0.345359</v>
      </c>
      <c r="Z62" s="8" t="n">
        <v>0.012436</v>
      </c>
      <c r="AA62" s="10"/>
      <c r="AB62" s="10"/>
      <c r="AC62" s="10" t="n">
        <v>0.00357808009721339</v>
      </c>
      <c r="AD62" s="10" t="n">
        <v>-243.399993896484</v>
      </c>
      <c r="AE62" s="10" t="n">
        <v>0.487177193164825</v>
      </c>
      <c r="AF62" s="10" t="n">
        <v>0.276565581560135</v>
      </c>
    </row>
    <row r="63" customFormat="false" ht="15" hidden="false" customHeight="false" outlineLevel="0" collapsed="false">
      <c r="A63" s="5" t="n">
        <v>2025</v>
      </c>
      <c r="B63" s="6"/>
      <c r="C63" s="7"/>
      <c r="D63" s="8"/>
      <c r="E63" s="8"/>
      <c r="F63" s="8"/>
      <c r="G63" s="9" t="n">
        <f aca="false">SUM(D63:F63)</f>
        <v>0</v>
      </c>
      <c r="H63" s="8"/>
      <c r="I63" s="8" t="n">
        <v>0.43</v>
      </c>
      <c r="J63" s="10"/>
      <c r="K63" s="10" t="n">
        <v>7.87240839004517</v>
      </c>
      <c r="L63" s="10" t="n">
        <f aca="false">J63-I63</f>
        <v>-0.43</v>
      </c>
      <c r="M63" s="10" t="n">
        <f aca="false">L63-7.5</f>
        <v>-7.93</v>
      </c>
      <c r="N63" s="11" t="n">
        <v>8.21592998504639</v>
      </c>
      <c r="O63" s="10" t="n">
        <v>6.74868011474609</v>
      </c>
      <c r="P63" s="10" t="n">
        <v>0.239466220140457</v>
      </c>
      <c r="Q63" s="10" t="n">
        <v>7.48056268692017</v>
      </c>
      <c r="R63" s="10" t="n">
        <v>7.50290966033935</v>
      </c>
      <c r="S63" s="10" t="n">
        <v>5.13557958602905</v>
      </c>
      <c r="T63" s="8" t="n">
        <v>4.68836736679077</v>
      </c>
      <c r="U63" s="9"/>
      <c r="V63" s="8"/>
      <c r="W63" s="8"/>
      <c r="X63" s="8"/>
      <c r="Y63" s="8"/>
      <c r="Z63" s="8"/>
      <c r="AA63" s="10"/>
      <c r="AB63" s="10"/>
      <c r="AC63" s="10" t="n">
        <v>0.00354468985460699</v>
      </c>
      <c r="AD63" s="10" t="n">
        <v>-243.130004882812</v>
      </c>
      <c r="AE63" s="10" t="n">
        <v>0.490596681833267</v>
      </c>
      <c r="AF63" s="10" t="n">
        <v>0.269345819950104</v>
      </c>
    </row>
    <row r="64" customFormat="false" ht="15" hidden="false" customHeight="false" outlineLevel="0" collapsed="false">
      <c r="A64" s="5" t="n">
        <v>2026</v>
      </c>
      <c r="B64" s="6"/>
      <c r="C64" s="7"/>
      <c r="D64" s="8"/>
      <c r="E64" s="8"/>
      <c r="F64" s="8"/>
      <c r="G64" s="9" t="n">
        <f aca="false">SUM(D64:F64)</f>
        <v>0</v>
      </c>
      <c r="H64" s="8"/>
      <c r="I64" s="8"/>
      <c r="J64" s="10"/>
      <c r="K64" s="10" t="n">
        <v>1.62590086460114</v>
      </c>
      <c r="L64" s="10" t="n">
        <f aca="false">J64-I64</f>
        <v>0</v>
      </c>
      <c r="M64" s="10" t="n">
        <f aca="false">L64-7.5</f>
        <v>-7.5</v>
      </c>
      <c r="N64" s="11" t="n">
        <v>8.86277961730957</v>
      </c>
      <c r="O64" s="10" t="n">
        <v>5.96737003326416</v>
      </c>
      <c r="P64" s="10" t="n">
        <v>0.0595584362745285</v>
      </c>
      <c r="Q64" s="10" t="n">
        <v>2.47953939437866</v>
      </c>
      <c r="R64" s="10" t="n">
        <v>2.48087072372436</v>
      </c>
      <c r="S64" s="10" t="n">
        <v>1.69527304172516</v>
      </c>
      <c r="T64" s="8" t="n">
        <v>1.79805958271027</v>
      </c>
      <c r="U64" s="9"/>
      <c r="V64" s="8"/>
      <c r="W64" s="8"/>
      <c r="X64" s="8"/>
      <c r="Y64" s="8"/>
      <c r="Z64" s="8"/>
      <c r="AA64" s="10"/>
      <c r="AB64" s="10"/>
      <c r="AC64" s="10" t="n">
        <v>0.00353217986412346</v>
      </c>
      <c r="AD64" s="10"/>
      <c r="AE64" s="10" t="n">
        <v>0.153860881924629</v>
      </c>
      <c r="AF64" s="10" t="n">
        <v>0.0933772847056389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LibreOffice/7.3.7.2$Linux_AARCH64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2026-03-01T07:17:10Z</dcterms:created>
  <dc:creator>openpyxl</dc:creator>
  <dc:description/>
  <dc:language>en-US</dc:language>
  <cp:lastModifiedBy/>
  <dcterms:modified xsi:type="dcterms:W3CDTF">2026-03-01T07:17:22Z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