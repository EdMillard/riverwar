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definedNames>
    <definedName function="false" hidden="false" name="HTML_1 - ctl00_ContentPlaceHolder1_rgQueryX_ctl00 - Data from: 3/30/2026" vbProcedure="false">Sheet1!$A$2:$G$229</definedName>
    <definedName function="false" hidden="false" name="HTML_all" vbProcedure="false">Sheet1!$A$1:$G$229</definedName>
    <definedName function="false" hidden="false" name="HTML_tables" vbProcedure="false">Sheet1!$A$1:$A$1</definedName>
  </definedNames>
  <calcPr iterateCount="100" refMode="A1" iterate="false" iterateDelta="0.0001"/>
</workbook>
</file>

<file path=xl/sharedStrings.xml><?xml version="1.0" encoding="utf-8"?>
<sst xmlns="http://schemas.openxmlformats.org/spreadsheetml/2006/main" count="691" uniqueCount="466">
  <si>
    <t xml:space="preserve">AMA</t>
  </si>
  <si>
    <t xml:space="preserve">LTSA Number</t>
  </si>
  <si>
    <t xml:space="preserve"> </t>
  </si>
  <si>
    <t xml:space="preserve">LTSA Holder</t>
  </si>
  <si>
    <t xml:space="preserve">Total LTSA Balance (ac_ft)</t>
  </si>
  <si>
    <t xml:space="preserve">Balance Certified Through Year</t>
  </si>
  <si>
    <t xml:space="preserve">PHOENIX AMA</t>
  </si>
  <si>
    <t xml:space="preserve">70-441150.0000</t>
  </si>
  <si>
    <t xml:space="preserve">AWBA-MAIN (PHOENIX AMA) LONG TERM STORAGE ACCOUNT</t>
  </si>
  <si>
    <t xml:space="preserve">PINAL AMA</t>
  </si>
  <si>
    <t xml:space="preserve">70-431135.0000</t>
  </si>
  <si>
    <t xml:space="preserve">AWBA-MAIN (PINAL AMA) LONG TERM STORAGE ACCOUNT</t>
  </si>
  <si>
    <t xml:space="preserve">TUCSON AMA</t>
  </si>
  <si>
    <t xml:space="preserve">70-411150.0000</t>
  </si>
  <si>
    <t xml:space="preserve">AWBA-MAIN (TUCSON AMA) LONG TERM STORAGE ACCOUNT</t>
  </si>
  <si>
    <t xml:space="preserve">75-441120.0000</t>
  </si>
  <si>
    <t xml:space="preserve">CAGRD-CDA (PHOENIX AMA)</t>
  </si>
  <si>
    <t xml:space="preserve">70-411111.0000</t>
  </si>
  <si>
    <t xml:space="preserve">CITY OF TUCSON,TUCSON WATER (TUCSON LTSA)</t>
  </si>
  <si>
    <t xml:space="preserve">70-441127.0000</t>
  </si>
  <si>
    <t xml:space="preserve">CITY OF MESA LONG TERM STORAGE ACCOUNT</t>
  </si>
  <si>
    <t xml:space="preserve">70-441143.0000</t>
  </si>
  <si>
    <t xml:space="preserve">TOWN OF GILBERT LONG TERM STORAGE ACCOUNT</t>
  </si>
  <si>
    <t xml:space="preserve">70-441120.0001</t>
  </si>
  <si>
    <t xml:space="preserve">CAGRD SUBACCOUNT (PHOENIX AMA)</t>
  </si>
  <si>
    <t xml:space="preserve">70-441129.0000</t>
  </si>
  <si>
    <t xml:space="preserve">CITY OF CHANDLER LONG TERM STORAGE ACCOUNT</t>
  </si>
  <si>
    <t xml:space="preserve">70-431135.0001</t>
  </si>
  <si>
    <t xml:space="preserve">AWBA-SNWA (PINAL AMA) LTSA</t>
  </si>
  <si>
    <t xml:space="preserve">70-441133.0000</t>
  </si>
  <si>
    <t xml:space="preserve">CITY OF PHOENIX LONG TERM STORAGE ACCOUNT</t>
  </si>
  <si>
    <t xml:space="preserve">70-431205.0000</t>
  </si>
  <si>
    <t xml:space="preserve">GILA RIVER WATER STORAGE LLC PINAL LONG TERM STORAGE ACCOUNT</t>
  </si>
  <si>
    <t xml:space="preserve">70-441236.0000</t>
  </si>
  <si>
    <t xml:space="preserve">GILA RIVER WATER STORAGE, LLC PHOENIX LONG TERM STORAGE ACCT</t>
  </si>
  <si>
    <t xml:space="preserve">70-431120.0000</t>
  </si>
  <si>
    <t xml:space="preserve">CAWCD (PINAL) LONG TERM STORAGE ACCOUNT</t>
  </si>
  <si>
    <t xml:space="preserve">70-431120.0001</t>
  </si>
  <si>
    <t xml:space="preserve">CAGRD SUBACCOUNT (PINAL AMA)</t>
  </si>
  <si>
    <t xml:space="preserve">70-441120.0002</t>
  </si>
  <si>
    <t xml:space="preserve">CAGRD-RRA (PHOENIX AMA)</t>
  </si>
  <si>
    <t xml:space="preserve">70-441131.0000</t>
  </si>
  <si>
    <t xml:space="preserve">CITY OF SCOTTSDALE LONG TERM STORAGE ACCOUNT</t>
  </si>
  <si>
    <t xml:space="preserve">70-441200.0000</t>
  </si>
  <si>
    <t xml:space="preserve">RESOLUTION COPPER MINING LLC LONG TERM STORAGE ACCOUNT</t>
  </si>
  <si>
    <t xml:space="preserve">70-431135.0003</t>
  </si>
  <si>
    <t xml:space="preserve">AWBA-MCWA (PINAL AMA) LTSA</t>
  </si>
  <si>
    <t xml:space="preserve">70-431180.0000</t>
  </si>
  <si>
    <t xml:space="preserve">GILA RIVER INDIAN COMMUNITY(PINAL) LONG TERM STORAGE ACCOUNT</t>
  </si>
  <si>
    <t xml:space="preserve">70-411480.0000</t>
  </si>
  <si>
    <t xml:space="preserve">CITY OF PHOENIX LTSA - TUCSON AMA</t>
  </si>
  <si>
    <t xml:space="preserve">70-441161.0000</t>
  </si>
  <si>
    <t xml:space="preserve">FREEPORT MINERALS CORPORATION LONG TERM STORAGE ACCOUNT</t>
  </si>
  <si>
    <t xml:space="preserve">70-441218.0000</t>
  </si>
  <si>
    <t xml:space="preserve">TOHONO O'ODHAM NATION LTSA</t>
  </si>
  <si>
    <t xml:space="preserve">70-441146.0000</t>
  </si>
  <si>
    <t xml:space="preserve">CITY OF PEORIA - LONG TERM STORAGE ACCOUNT</t>
  </si>
  <si>
    <t xml:space="preserve">70-441149.0000</t>
  </si>
  <si>
    <t xml:space="preserve">CITY OF GLENDALE LONG TERM STORAGE ACCOUNT</t>
  </si>
  <si>
    <t xml:space="preserve">HARQUAHALA VALLEY INA</t>
  </si>
  <si>
    <t xml:space="preserve">70-461000.0000</t>
  </si>
  <si>
    <t xml:space="preserve">VIDLER WATER CO - HARQUAHALA INA LTSA</t>
  </si>
  <si>
    <t xml:space="preserve">70-441120.0000</t>
  </si>
  <si>
    <t xml:space="preserve">CAWCD (PHOENIX)LONG TERM STORAGE ACCOUNT</t>
  </si>
  <si>
    <t xml:space="preserve">70-411120.0001</t>
  </si>
  <si>
    <t xml:space="preserve">CAGRD-SUBACCOUNT (TUCSON AMA)</t>
  </si>
  <si>
    <t xml:space="preserve">70-441155.0000</t>
  </si>
  <si>
    <t xml:space="preserve">CITY OF SURPRISE LONG TERM STORAGE ACCOUNT</t>
  </si>
  <si>
    <t xml:space="preserve">70-411200.0000</t>
  </si>
  <si>
    <t xml:space="preserve">US BUREAU OF RECLAMATION LTSA (TUC AMA)</t>
  </si>
  <si>
    <t xml:space="preserve">70-441135.0000</t>
  </si>
  <si>
    <t xml:space="preserve">CITY OF AVONDALE LONG TERM STORAGE ACCOUNT</t>
  </si>
  <si>
    <t xml:space="preserve">70-441247.0000</t>
  </si>
  <si>
    <t xml:space="preserve">ASARCO LLC LONG TERM STORAGE ACCOUNT (PHX AMA)</t>
  </si>
  <si>
    <t xml:space="preserve">AWBA-MAIN</t>
  </si>
  <si>
    <t xml:space="preserve">70-084101.0000</t>
  </si>
  <si>
    <t xml:space="preserve">TOHONO O'ODHAM NATION LONG TERM STORAGE ACCOUNT</t>
  </si>
  <si>
    <t xml:space="preserve">AWBA-SNWA</t>
  </si>
  <si>
    <t xml:space="preserve">70-441225.0000</t>
  </si>
  <si>
    <t xml:space="preserve">GILA RIVER INDIAN COMMUNITY (PHX) LONG TERM STORAGE ACCOUNT</t>
  </si>
  <si>
    <t xml:space="preserve">GRIC</t>
  </si>
  <si>
    <t xml:space="preserve">70-411150.0001</t>
  </si>
  <si>
    <t xml:space="preserve">AWBA-SNWA (TUCSON AMA) LTSA</t>
  </si>
  <si>
    <t xml:space="preserve">75-411120.0000</t>
  </si>
  <si>
    <t xml:space="preserve">CAGRD-CDA (TUCSON AMA)</t>
  </si>
  <si>
    <t xml:space="preserve">70-441144.0000</t>
  </si>
  <si>
    <t xml:space="preserve">CITY OF GOODYEAR LTSA</t>
  </si>
  <si>
    <t xml:space="preserve">70-441150.0002</t>
  </si>
  <si>
    <t xml:space="preserve">AWBA-INDIAN FIRMING (PHOENIX AMA) LTSA</t>
  </si>
  <si>
    <t xml:space="preserve">70-441125.0000</t>
  </si>
  <si>
    <t xml:space="preserve">SALT RIVER PROJECT LONG TERM STORAGE ACCOUNT</t>
  </si>
  <si>
    <t xml:space="preserve">70-441123.0000</t>
  </si>
  <si>
    <t xml:space="preserve">CITY OF TEMPE LONG TERM STORAGE ACCOUNT</t>
  </si>
  <si>
    <t xml:space="preserve">70-431245.0000</t>
  </si>
  <si>
    <t xml:space="preserve">BUREAU OF RECLAMATION LTSA</t>
  </si>
  <si>
    <t xml:space="preserve">70-431240.0000</t>
  </si>
  <si>
    <t xml:space="preserve">FREEPORT MINERALS CORPORATION LTSA (PINAL AMA)</t>
  </si>
  <si>
    <t xml:space="preserve">70-441260.0000</t>
  </si>
  <si>
    <t xml:space="preserve">VIHREA DEVELOPMENT LLC LTSA</t>
  </si>
  <si>
    <t xml:space="preserve">70-441150.0001</t>
  </si>
  <si>
    <t xml:space="preserve">AWBA-SNWA (PHOENIX AMA) LTSA</t>
  </si>
  <si>
    <t xml:space="preserve">70-431130.0000</t>
  </si>
  <si>
    <t xml:space="preserve">CITY OF ELOY LONG TERM STORAGE ACCOUNT</t>
  </si>
  <si>
    <t xml:space="preserve">70-461005.0000</t>
  </si>
  <si>
    <t xml:space="preserve">HARQUAHALA FLATS SOLAR LLC LTSA</t>
  </si>
  <si>
    <t xml:space="preserve">70-411130.0000</t>
  </si>
  <si>
    <t xml:space="preserve">METROPOLITAN DWID LONG TERM STORAGE ACCOUNT</t>
  </si>
  <si>
    <t xml:space="preserve">70-441176.0000</t>
  </si>
  <si>
    <t xml:space="preserve">CITY OF EL MIRAGE</t>
  </si>
  <si>
    <t xml:space="preserve">70-441223.0000</t>
  </si>
  <si>
    <t xml:space="preserve">US BUREAU OF RECLAMATION LTSA (PHX AMA)</t>
  </si>
  <si>
    <t xml:space="preserve">70-411390.0000</t>
  </si>
  <si>
    <t xml:space="preserve">COPPER WORLD, INC. LONG TERM STORAGE ACCOUNT</t>
  </si>
  <si>
    <t xml:space="preserve">70-411120.0002</t>
  </si>
  <si>
    <t xml:space="preserve">CAGRD-RRA (TUCSON AMA)</t>
  </si>
  <si>
    <t xml:space="preserve">PRESCOTT AMA</t>
  </si>
  <si>
    <t xml:space="preserve">70-421123.0000</t>
  </si>
  <si>
    <t xml:space="preserve">CITY OF PRESCOTT LONG TERM STORAGE ACCOUNT</t>
  </si>
  <si>
    <t xml:space="preserve">70-411370.0000</t>
  </si>
  <si>
    <t xml:space="preserve">PIMA COUNTY REGIONAL WRD LONG TERM STORAGE ACCOUNT</t>
  </si>
  <si>
    <t xml:space="preserve">70-411160.0000</t>
  </si>
  <si>
    <t xml:space="preserve">TOWN OF ORO VALLEY LONG TERM STORAGE ACCOUNT</t>
  </si>
  <si>
    <t xml:space="preserve">70-441152.0000</t>
  </si>
  <si>
    <t xml:space="preserve">APACHE JUNCTION WATER DISTRICT</t>
  </si>
  <si>
    <t xml:space="preserve">70-431125.0000</t>
  </si>
  <si>
    <t xml:space="preserve">TOWN OF FLORENCE LONG TERM STORAGE ACCOUNT</t>
  </si>
  <si>
    <t xml:space="preserve">70-431170.0000</t>
  </si>
  <si>
    <t xml:space="preserve">SRP AIPD LONG TERM STORAGE ACCOUNT</t>
  </si>
  <si>
    <t xml:space="preserve">70-411470.0000</t>
  </si>
  <si>
    <t xml:space="preserve">FREEPORT MINERALS CORPORATION LTSA-TUCSON AMA</t>
  </si>
  <si>
    <t xml:space="preserve">70-411150.0002</t>
  </si>
  <si>
    <t xml:space="preserve">AWBA-INDIAN FIRMING (TUCSON AMA) LTSA</t>
  </si>
  <si>
    <t xml:space="preserve">70-421124.0000</t>
  </si>
  <si>
    <t xml:space="preserve">TOWN OF PRESCOTT VALLEY LONG TERM STORAGE ACCOUNT</t>
  </si>
  <si>
    <t xml:space="preserve">NOT WITHIN ANY AMA OR INA</t>
  </si>
  <si>
    <t xml:space="preserve">70-491025.0000</t>
  </si>
  <si>
    <t xml:space="preserve">CITY OF SIERRA VISTA LONG TERM STORAGE ACCOUNT</t>
  </si>
  <si>
    <t xml:space="preserve">70-411430.0000</t>
  </si>
  <si>
    <t xml:space="preserve">PASCUA YAQUI TRIBE LONG TERM STORAGE ACCOUNT</t>
  </si>
  <si>
    <t xml:space="preserve">70-441244.0000</t>
  </si>
  <si>
    <t xml:space="preserve">AK-CHIN INDIAN COMMUNITY LTSA - PHOENIX AMA</t>
  </si>
  <si>
    <t xml:space="preserve">70-431300.0000</t>
  </si>
  <si>
    <t xml:space="preserve">VIDLER WATER COMPANY</t>
  </si>
  <si>
    <t xml:space="preserve">70-411250.0000</t>
  </si>
  <si>
    <t xml:space="preserve">ROBSON RANCH QUAIL CREEK LLC LONG TERM STORAGE ACCOUNT</t>
  </si>
  <si>
    <t xml:space="preserve">70-411220.0000</t>
  </si>
  <si>
    <t xml:space="preserve">TOWN OF MARANA LONG TERM STORAGE ACCOUNT</t>
  </si>
  <si>
    <t xml:space="preserve">70-441178.0000</t>
  </si>
  <si>
    <t xml:space="preserve">DEL WEBB CORPORATION LTSA</t>
  </si>
  <si>
    <t xml:space="preserve">70-431135.0002</t>
  </si>
  <si>
    <t xml:space="preserve">AWBA-INDIAN FIRMING (PINAL AMA) LTSA</t>
  </si>
  <si>
    <t xml:space="preserve">70-431165.0000</t>
  </si>
  <si>
    <t xml:space="preserve">RESOLUTION COPPER MINING LLC (PINAL) LTSA</t>
  </si>
  <si>
    <t xml:space="preserve">70-441226.0000</t>
  </si>
  <si>
    <t xml:space="preserve">CHAPARRAL CITY WC LONG TERM STORAGE ACCOUNT - PHOENIX AMA</t>
  </si>
  <si>
    <t xml:space="preserve">70-441232.0000</t>
  </si>
  <si>
    <t xml:space="preserve">EPCOR WATER ARIZONA INC. (ANTHEM) PHOENIX</t>
  </si>
  <si>
    <t xml:space="preserve">70-411320.0000</t>
  </si>
  <si>
    <t xml:space="preserve">FLOWING WELLS IRRIGATION DISTRICT LONG TERM STORAGE ACCOUNT</t>
  </si>
  <si>
    <t xml:space="preserve">70-441199.0000</t>
  </si>
  <si>
    <t xml:space="preserve">CITY OF BUCKEYE LONG TERM STORAGE ACCOUNT</t>
  </si>
  <si>
    <t xml:space="preserve">70-441266.0000</t>
  </si>
  <si>
    <t xml:space="preserve">MICROSOFT CORPORATION LTSA</t>
  </si>
  <si>
    <t xml:space="preserve">70-431220.0000</t>
  </si>
  <si>
    <t xml:space="preserve">ARIZONA PUBLIC SERVICE CO (PINAL) LONG TERM STORAGE ACCOUNT</t>
  </si>
  <si>
    <t xml:space="preserve">70-411380.0000</t>
  </si>
  <si>
    <t xml:space="preserve">TOWN OF SAHUARITA LONG TERM STORAGE ACCOUNT</t>
  </si>
  <si>
    <t xml:space="preserve">70-441157.0000</t>
  </si>
  <si>
    <t xml:space="preserve">VIDLER WATER COMPANY LONG TERM STORAGE ACCOUNT</t>
  </si>
  <si>
    <t xml:space="preserve">70-441147.0000</t>
  </si>
  <si>
    <t xml:space="preserve">OCOTILLO MANAGEMENT GROUP LONG TERM STORAGE ACCOUNT</t>
  </si>
  <si>
    <t xml:space="preserve">70-441180.0000</t>
  </si>
  <si>
    <t xml:space="preserve">TOWN OF QUEEN CREEK</t>
  </si>
  <si>
    <t xml:space="preserve">70-441216.0000</t>
  </si>
  <si>
    <t xml:space="preserve">WINFIELD WATER PARTNERS, LLC LONG TERM STORAGE ACCOUNT</t>
  </si>
  <si>
    <t xml:space="preserve">70-431215.0000</t>
  </si>
  <si>
    <t xml:space="preserve">CITY OF CASA GRANDE LONG TERM STORAGE ACCOUNT</t>
  </si>
  <si>
    <t xml:space="preserve">70-411210.0000</t>
  </si>
  <si>
    <t xml:space="preserve">VAIL WATER COMPANY LONG TERM STORAGE ACCOUNT</t>
  </si>
  <si>
    <t xml:space="preserve">70-411560.0000</t>
  </si>
  <si>
    <t xml:space="preserve">CITY OF SCOTTSDALE (TUCSON AMA)</t>
  </si>
  <si>
    <t xml:space="preserve">70-431200.0000</t>
  </si>
  <si>
    <t xml:space="preserve">CORECIVIC, INC. LONG TERM STORAGE ACCOUNT</t>
  </si>
  <si>
    <t xml:space="preserve">70-441139.0000</t>
  </si>
  <si>
    <t xml:space="preserve">LIBERTY UTILITIES (LITCHFIELD PARK WATER &amp; SEWER) CORP LTSA</t>
  </si>
  <si>
    <t xml:space="preserve">70-431140.0000</t>
  </si>
  <si>
    <t xml:space="preserve">PINAL COUNTY WATER AUGMENTATION AUTHORITY LTSA</t>
  </si>
  <si>
    <t xml:space="preserve">70-441230.0000</t>
  </si>
  <si>
    <t xml:space="preserve">EPCOR WATER ARIZONA INC. (SUN CITY WEST)</t>
  </si>
  <si>
    <t xml:space="preserve">75-431120.0000</t>
  </si>
  <si>
    <t xml:space="preserve">CAGRD-CDA (PINAL AMA)</t>
  </si>
  <si>
    <t xml:space="preserve">70-461010.0000</t>
  </si>
  <si>
    <t xml:space="preserve">FBQ, LLC LTSA</t>
  </si>
  <si>
    <t xml:space="preserve">70-441258.0000</t>
  </si>
  <si>
    <t xml:space="preserve">STONE APPLICATIONS LLC</t>
  </si>
  <si>
    <t xml:space="preserve">70-441229.0000</t>
  </si>
  <si>
    <t xml:space="preserve">EPCOR WATER ARIZONA INC. (SUN CITY)</t>
  </si>
  <si>
    <t xml:space="preserve">70-441274.0000</t>
  </si>
  <si>
    <t xml:space="preserve">NIAGARA BOTTLING LTSA</t>
  </si>
  <si>
    <t xml:space="preserve">70-441196.0000</t>
  </si>
  <si>
    <t xml:space="preserve">APACHE JUNCTION SEWER DISTRICT LTSA</t>
  </si>
  <si>
    <t xml:space="preserve">70-441137.0000</t>
  </si>
  <si>
    <t xml:space="preserve">PIMA UTILITY COMPANY LONG TERM STORAGE ACCOUNT</t>
  </si>
  <si>
    <t xml:space="preserve">70-441275.0000</t>
  </si>
  <si>
    <t xml:space="preserve">WATER WISE CERTIFICATES HOLDINGS LTSA (PHOENIX AMA)</t>
  </si>
  <si>
    <t xml:space="preserve">70-431120.0002</t>
  </si>
  <si>
    <t xml:space="preserve">CAGRD-RRA (PINAL AMA)</t>
  </si>
  <si>
    <t xml:space="preserve">70-441250.0000</t>
  </si>
  <si>
    <t xml:space="preserve">TOWN OF FLORENCE LONG TERM STORAGE ACCOUNT (PHOENIX AMA)</t>
  </si>
  <si>
    <t xml:space="preserve">70-441231.0000</t>
  </si>
  <si>
    <t xml:space="preserve">EPCOR WATER ARIZONA INC. (AGUA FRIA)</t>
  </si>
  <si>
    <t xml:space="preserve">70-421127.0000</t>
  </si>
  <si>
    <t xml:space="preserve">TOWN OF CHINO VALLEY LONG TERM STORAGE ACCOUNT</t>
  </si>
  <si>
    <t xml:space="preserve">70-441255.0000</t>
  </si>
  <si>
    <t xml:space="preserve">CITY OF ELOY LTSA (PHOENIX AMA)</t>
  </si>
  <si>
    <t xml:space="preserve">70-411170.0000</t>
  </si>
  <si>
    <t xml:space="preserve">SPANISH TRAIL WATER COMPANY LONG TERM STORAGE ACCOUNT</t>
  </si>
  <si>
    <t xml:space="preserve">70-441187.0000</t>
  </si>
  <si>
    <t xml:space="preserve">LIBERTY UTILITIES (GOLD CANYON SEWER) CORP</t>
  </si>
  <si>
    <t xml:space="preserve">70-431270.0000</t>
  </si>
  <si>
    <t xml:space="preserve">CITY OF SCOTTSDALE LTSA (PINAL AMA)</t>
  </si>
  <si>
    <t xml:space="preserve">70-411540.0000</t>
  </si>
  <si>
    <t xml:space="preserve">CITY OF PEORIA (TUCSON AMA)</t>
  </si>
  <si>
    <t xml:space="preserve">70-441220.0000</t>
  </si>
  <si>
    <t xml:space="preserve">THE HOPI TRIBE LONG TERM STORGE ACCOUNT</t>
  </si>
  <si>
    <t xml:space="preserve">70-441194.0000</t>
  </si>
  <si>
    <t xml:space="preserve">WILLIAM LYON HOMES. INC LONG TERM STORAGE ACCOUNT</t>
  </si>
  <si>
    <t xml:space="preserve">70-431225.0000</t>
  </si>
  <si>
    <t xml:space="preserve">CITY OF MARICOPA LTSA</t>
  </si>
  <si>
    <t xml:space="preserve">70-411550.0000</t>
  </si>
  <si>
    <t xml:space="preserve">TOWN OF GILBERT (TUCSON AMA)</t>
  </si>
  <si>
    <t xml:space="preserve">70-431190.0000</t>
  </si>
  <si>
    <t xml:space="preserve">EPCOR WATER ARIZONA INC. (SAN TAN-ANTHEM) PINAL LTSA</t>
  </si>
  <si>
    <t xml:space="preserve">70-441263.0000</t>
  </si>
  <si>
    <t xml:space="preserve">TOWN OF CAVE CREEK LTSA</t>
  </si>
  <si>
    <t xml:space="preserve">70-411240.0000</t>
  </si>
  <si>
    <t xml:space="preserve">ARIZONA STATE LAND DEPARTMENT LONG TERM STORAGE ACCOUNT</t>
  </si>
  <si>
    <t xml:space="preserve">70-441265.0000</t>
  </si>
  <si>
    <t xml:space="preserve">NESTLE USA, INC. LTSA</t>
  </si>
  <si>
    <t xml:space="preserve">70-491030.0000</t>
  </si>
  <si>
    <t xml:space="preserve">ARIZONA PUBLIC SERVICE (OUTSIDE AMA) LTSA</t>
  </si>
  <si>
    <t xml:space="preserve">70-491015.0000</t>
  </si>
  <si>
    <t xml:space="preserve">Y</t>
  </si>
  <si>
    <t xml:space="preserve">TOWN OF PAYSON NON-RECOVERABLE STORAGE ACCOUNT</t>
  </si>
  <si>
    <t xml:space="preserve">70-441208.0000</t>
  </si>
  <si>
    <t xml:space="preserve">ROOSEVELT WATER CONSERVATION DISTRICT LTSA</t>
  </si>
  <si>
    <t xml:space="preserve">70-431265.0000</t>
  </si>
  <si>
    <t xml:space="preserve">CITY OF GOODYEAR LTSA (PINAL AMA)</t>
  </si>
  <si>
    <t xml:space="preserve">70-411330.0000</t>
  </si>
  <si>
    <t xml:space="preserve">ROBSON RANCH MOUNTAINS LLC LONG TERM STORAGE ACCOUNT</t>
  </si>
  <si>
    <t xml:space="preserve">70-431255.0000</t>
  </si>
  <si>
    <t xml:space="preserve">CITY OF COOLIDGE LTSA</t>
  </si>
  <si>
    <t xml:space="preserve">70-411300.0000</t>
  </si>
  <si>
    <t xml:space="preserve">SLF-AGUA, LLC LONG TERM STORAGE ACCOUNT</t>
  </si>
  <si>
    <t xml:space="preserve">70-491000.0000</t>
  </si>
  <si>
    <t xml:space="preserve">CITY OF SEDONA LONG TERM STORAGE ACCOUNT</t>
  </si>
  <si>
    <t xml:space="preserve">70-441175.0000</t>
  </si>
  <si>
    <t xml:space="preserve">FOUNTAIN HILLS SANITATION DISTRICT LTSA</t>
  </si>
  <si>
    <t xml:space="preserve">70-441239.0000</t>
  </si>
  <si>
    <t xml:space="preserve">AV HOMES OF ARIZONA, LLC LTSA</t>
  </si>
  <si>
    <t xml:space="preserve">70-431150.0000</t>
  </si>
  <si>
    <t xml:space="preserve">ARIZONA CITY SANITARY DISTRICT LONG TERM STORAGE ACCOUNT</t>
  </si>
  <si>
    <t xml:space="preserve">70-411140.0000</t>
  </si>
  <si>
    <t xml:space="preserve">COMMUNITY WATER CO. OF GREEN VALLEY LTSA</t>
  </si>
  <si>
    <t xml:space="preserve">70-431160.0000</t>
  </si>
  <si>
    <t xml:space="preserve">GLOBAL WATER-SANTA CRUZ WATER CO LTSA - PINAL</t>
  </si>
  <si>
    <t xml:space="preserve">70-421129.0000</t>
  </si>
  <si>
    <t xml:space="preserve">FAIN LAND AND CATTLE COMPANY LONG TERM STORAGE ACCOUNT</t>
  </si>
  <si>
    <t xml:space="preserve">70-441270.0000</t>
  </si>
  <si>
    <t xml:space="preserve">DIVOT PARTNERS LLC LTSA</t>
  </si>
  <si>
    <t xml:space="preserve">70-491010.0000</t>
  </si>
  <si>
    <t xml:space="preserve">TOWN OF PAYSON LTSA</t>
  </si>
  <si>
    <t xml:space="preserve">70-441224.0000</t>
  </si>
  <si>
    <t xml:space="preserve">RECREATION CENTERS OF SUN CITY, INC. LTSA</t>
  </si>
  <si>
    <t xml:space="preserve">70-441195.0000</t>
  </si>
  <si>
    <t xml:space="preserve">VANDERBILT FARMS LLC</t>
  </si>
  <si>
    <t xml:space="preserve">70-441201.0000</t>
  </si>
  <si>
    <t xml:space="preserve">MOHAVE COUNTY WATER AUTHORITY LONG TERM STORAGE ACCOUNT</t>
  </si>
  <si>
    <t xml:space="preserve">70-441167.0000</t>
  </si>
  <si>
    <t xml:space="preserve">RECREATION CENTERS OF SUN CITY WEST LTSA</t>
  </si>
  <si>
    <t xml:space="preserve">70-441181.0000</t>
  </si>
  <si>
    <t xml:space="preserve">SHEA HOMES L.P.</t>
  </si>
  <si>
    <t xml:space="preserve">70-441204.0000</t>
  </si>
  <si>
    <t xml:space="preserve">POWER RANCH COMMUNITY ASSOCATION</t>
  </si>
  <si>
    <t xml:space="preserve">70-441243.0000</t>
  </si>
  <si>
    <t xml:space="preserve">RECREATIONAL CENTER, INC DBA SCOTTSDALE SHADOWS LTSA</t>
  </si>
  <si>
    <t xml:space="preserve">70-441164.0000</t>
  </si>
  <si>
    <t xml:space="preserve">PEBBLECREEK PROPERTIES LP LONG TERM STORAGE ACCOUNT</t>
  </si>
  <si>
    <t xml:space="preserve">70-421126.0000</t>
  </si>
  <si>
    <t xml:space="preserve">NORTH NUGGET DEVELOPMENT LLC LONG TERM STORAGE ACCOUNT</t>
  </si>
  <si>
    <t xml:space="preserve">70-411500.0000</t>
  </si>
  <si>
    <t xml:space="preserve">BKW FARMS, INC.</t>
  </si>
  <si>
    <t xml:space="preserve">70-421123.0001</t>
  </si>
  <si>
    <t xml:space="preserve">CITY OF PRESCOTT NON-RECOVERABLE STORAGE ACCOUNT</t>
  </si>
  <si>
    <t xml:space="preserve">70-441261.0000</t>
  </si>
  <si>
    <t xml:space="preserve">ACTION ZONE BUSINESS 17, LLC LTSA</t>
  </si>
  <si>
    <t xml:space="preserve">70-441272.0000</t>
  </si>
  <si>
    <t xml:space="preserve">JEWEL INVESTMENT COMPANY, LP LTSA</t>
  </si>
  <si>
    <t xml:space="preserve">70-431305.0000</t>
  </si>
  <si>
    <t xml:space="preserve">WATER WISE CERTIFICATES HOLDINGS LTSA (PINAL AMA)</t>
  </si>
  <si>
    <t xml:space="preserve">70-441228.0000</t>
  </si>
  <si>
    <t xml:space="preserve">TONTO HILLS DWID LTSA</t>
  </si>
  <si>
    <t xml:space="preserve">70-441241.0000</t>
  </si>
  <si>
    <t xml:space="preserve">THE CLUB AT ENCANTERRA, LLC LTSA</t>
  </si>
  <si>
    <t xml:space="preserve">70-441190.0000</t>
  </si>
  <si>
    <t xml:space="preserve">BASHA'S INC.</t>
  </si>
  <si>
    <t xml:space="preserve">70-431195.0000</t>
  </si>
  <si>
    <t xml:space="preserve">RECHARGE TECHNOLOGIES LLC (PINAL) LONG TERM STORAGE ACCOUNT</t>
  </si>
  <si>
    <t xml:space="preserve">70-441277.0000</t>
  </si>
  <si>
    <t xml:space="preserve">SARIVAL &amp; BELL LLC LTSA</t>
  </si>
  <si>
    <t xml:space="preserve">70-441238.0000</t>
  </si>
  <si>
    <t xml:space="preserve">APACHE SUN GOLF COURSE LTSA</t>
  </si>
  <si>
    <t xml:space="preserve">70-441151.0000</t>
  </si>
  <si>
    <t xml:space="preserve">MARICOPA WATER DISTRICT LONG TERM STORAGE ACCOUNT</t>
  </si>
  <si>
    <t xml:space="preserve">70-431170.0001</t>
  </si>
  <si>
    <t xml:space="preserve">SRP AIPD - NONRECOVERABLE LTSA</t>
  </si>
  <si>
    <t xml:space="preserve">70-441251.0000</t>
  </si>
  <si>
    <t xml:space="preserve">IRONWOOD CROSSING HOA LTSA</t>
  </si>
  <si>
    <t xml:space="preserve">70-411460.0000</t>
  </si>
  <si>
    <t xml:space="preserve">SADDLEBROOKE UTILITY COMPANY</t>
  </si>
  <si>
    <t xml:space="preserve">70-431145.0000</t>
  </si>
  <si>
    <t xml:space="preserve">PICACHO SEWER COMPANY LONG TERM STORAGE ACCOUNT</t>
  </si>
  <si>
    <t xml:space="preserve">70-431235.0000</t>
  </si>
  <si>
    <t xml:space="preserve">SOUTHWEST ENVIRONMENTAL UTILITIES, LLC LTSA</t>
  </si>
  <si>
    <t xml:space="preserve">70-421125.0000</t>
  </si>
  <si>
    <t xml:space="preserve">CHINO VALLEY IRRIGATION DISTRICT LONG TERM STORAGE ACCOUNT</t>
  </si>
  <si>
    <t xml:space="preserve">70-441268.0000</t>
  </si>
  <si>
    <t xml:space="preserve">RIO VERDE FOOTHILLS STANDPIPE DISTRICT LTSA</t>
  </si>
  <si>
    <t xml:space="preserve">70-441227.0000</t>
  </si>
  <si>
    <t xml:space="preserve">SFI GRAND VISTA LLC LONG TERM STORAGE ACCOUNT</t>
  </si>
  <si>
    <t xml:space="preserve">70-411270.0000</t>
  </si>
  <si>
    <t xml:space="preserve">RIDGEVIEW UTILITY COMPANY LONG TERM STORAGE ACCOUNT</t>
  </si>
  <si>
    <t xml:space="preserve">70-441174.0000</t>
  </si>
  <si>
    <t xml:space="preserve">SAN TAN LAKESIDE ESTATES LTSA (MCCORMICK LAND &amp; DEVELOPMENT)</t>
  </si>
  <si>
    <t xml:space="preserve">70-441215.0000</t>
  </si>
  <si>
    <t xml:space="preserve">LENNAR ARIZONA , INC LONG TERM STORAGE ACCOUNT</t>
  </si>
  <si>
    <t xml:space="preserve">70-441276.0000</t>
  </si>
  <si>
    <t xml:space="preserve">SURPRISE HOTEL HOLDINGS LLC LTSA</t>
  </si>
  <si>
    <t xml:space="preserve">70-441252.0000</t>
  </si>
  <si>
    <t xml:space="preserve">QUEEN CREEK STATION HOA LTSA</t>
  </si>
  <si>
    <t xml:space="preserve">70-441219.0000</t>
  </si>
  <si>
    <t xml:space="preserve">EPCOR WATER ARIZONA INC. (SAN TAN-PHOENIX) LTSA</t>
  </si>
  <si>
    <t xml:space="preserve">70-441186.0000</t>
  </si>
  <si>
    <t xml:space="preserve">ALL GOLF @ RIO SALADO</t>
  </si>
  <si>
    <t xml:space="preserve">70-441256.0000</t>
  </si>
  <si>
    <t xml:space="preserve">RED MOUNTAIN MINING LTSA</t>
  </si>
  <si>
    <t xml:space="preserve">70-441264.0000</t>
  </si>
  <si>
    <t xml:space="preserve">MUELLER SUPPLY COMPANY, INC. LTSA</t>
  </si>
  <si>
    <t xml:space="preserve">70-441156.0000</t>
  </si>
  <si>
    <t xml:space="preserve">TEMPE FAMILY GOLF CENTERS LONG TERM STORAGE ACCOUNT</t>
  </si>
  <si>
    <t xml:space="preserve">70-431155.0000</t>
  </si>
  <si>
    <t xml:space="preserve">GLOBAL WATER- PALO VERDE UTILITIES LONG TERM STORAGE ACCOUNT</t>
  </si>
  <si>
    <t xml:space="preserve">70-441203.0000</t>
  </si>
  <si>
    <t xml:space="preserve">ROADHAVEN RESORT HOA</t>
  </si>
  <si>
    <t xml:space="preserve">70-441193.0000</t>
  </si>
  <si>
    <t xml:space="preserve">MARBELLA VINEYARDS HOA LONG TERM STORAGE ACCOUNT</t>
  </si>
  <si>
    <t xml:space="preserve">70-441245.0000</t>
  </si>
  <si>
    <t xml:space="preserve">VULCAN MATERIALS COMPANY LONG TERM STORAGE ACCOUNT</t>
  </si>
  <si>
    <t xml:space="preserve">70-441259.0000</t>
  </si>
  <si>
    <t xml:space="preserve">THE LONNIEC.MCCLEVE&amp;DEBBIER.MCCLEVE RVCBL LIVING TRUST LTSA</t>
  </si>
  <si>
    <t xml:space="preserve">70-441202.0000</t>
  </si>
  <si>
    <t xml:space="preserve">CSW SUN VALLEY SOUTH HOLDING, LLC</t>
  </si>
  <si>
    <t xml:space="preserve">70-441189.0000</t>
  </si>
  <si>
    <t xml:space="preserve">DMB WHITE TANK LLC</t>
  </si>
  <si>
    <t xml:space="preserve">70-411510.0000</t>
  </si>
  <si>
    <t xml:space="preserve">METRO DWID - LAZY B</t>
  </si>
  <si>
    <t xml:space="preserve">70-441168.0000</t>
  </si>
  <si>
    <t xml:space="preserve">GLOBAL WATER - BELMONT (NORTHERN SCOTTSDALE) LTSA</t>
  </si>
  <si>
    <t xml:space="preserve">70-411310.0000</t>
  </si>
  <si>
    <t xml:space="preserve">DEL LAGO GOLF COURSE LLC LONG TERM STORAGE ACCOUNT</t>
  </si>
  <si>
    <t xml:space="preserve">70-441210.0000</t>
  </si>
  <si>
    <t xml:space="preserve">BM3 HOLDINGS, LLC LTSA</t>
  </si>
  <si>
    <t xml:space="preserve">70-441248.0000</t>
  </si>
  <si>
    <t xml:space="preserve">CEV HOLDINGS LLC LONG TERM STORAGE ACCOUNT</t>
  </si>
  <si>
    <t xml:space="preserve">70-441169.0000</t>
  </si>
  <si>
    <t xml:space="preserve">HILLCREST GOLF COURSE LONG TERM STORAGE ACCOUNT</t>
  </si>
  <si>
    <t xml:space="preserve">70-441209.0000</t>
  </si>
  <si>
    <t xml:space="preserve">ASANTE LH, LLC</t>
  </si>
  <si>
    <t xml:space="preserve">70-441213.0000</t>
  </si>
  <si>
    <t xml:space="preserve">US HOME OF ARIZONA CONSTRUCTION COMPANY LTSA</t>
  </si>
  <si>
    <t xml:space="preserve">70-441273.0000</t>
  </si>
  <si>
    <t xml:space="preserve">OCEAN FRONT PROPERTY IN ARIZONA LLC LTSA</t>
  </si>
  <si>
    <t xml:space="preserve">70-411350.0000</t>
  </si>
  <si>
    <t xml:space="preserve">GLOBAL WATER - SANTA CRUZ (RED ROCK) LTSA</t>
  </si>
  <si>
    <t xml:space="preserve">70-411280.0000</t>
  </si>
  <si>
    <t xml:space="preserve">ROBSON COMMUNITIES INC LONG TERM STORAGE ACCOUNT</t>
  </si>
  <si>
    <t xml:space="preserve">70-491005.0000</t>
  </si>
  <si>
    <t xml:space="preserve">CITY OF COTTONWOOD LTSA</t>
  </si>
  <si>
    <t xml:space="preserve">70-441148.0000</t>
  </si>
  <si>
    <t xml:space="preserve">DEL WEBB HOME CONSTRUCTION</t>
  </si>
  <si>
    <t xml:space="preserve">70-441150.0003</t>
  </si>
  <si>
    <t xml:space="preserve">AWBA-MCWA (PHOENIX AMA) LTSA</t>
  </si>
  <si>
    <t xml:space="preserve">70-441158.0000</t>
  </si>
  <si>
    <t xml:space="preserve">GLOBAL WATER - BELMONT WATER CO., INC. (TONOPAH) LTSA</t>
  </si>
  <si>
    <t xml:space="preserve">70-441159.0000</t>
  </si>
  <si>
    <t xml:space="preserve">GLOBAL WATER - SANTA CRUZ WATER CO LTSA-PHOENIX AMA</t>
  </si>
  <si>
    <t xml:space="preserve">70-441160.0000</t>
  </si>
  <si>
    <t xml:space="preserve">ARIZONA PUBLIC SERVICE CO (PHX) LONG TERM STORAGE ACCOUNT</t>
  </si>
  <si>
    <t xml:space="preserve">70-441188.0000</t>
  </si>
  <si>
    <t xml:space="preserve">ACTIVE RESOURCE MANAGEMENT, L.L.C.</t>
  </si>
  <si>
    <t xml:space="preserve">70-441192.0000</t>
  </si>
  <si>
    <t xml:space="preserve">SUN CITY GRAND COMMUNITY ASSOCIATION, INC LTSA</t>
  </si>
  <si>
    <t xml:space="preserve">70-441214.0000</t>
  </si>
  <si>
    <t xml:space="preserve">GREYSTONE CONSTRUCTION, INC LTSA</t>
  </si>
  <si>
    <t xml:space="preserve">70-441233.0000</t>
  </si>
  <si>
    <t xml:space="preserve">EPCOR WATER ARIZONA INC. (PARADISE VALLEY) LTSA</t>
  </si>
  <si>
    <t xml:space="preserve">70-441234.0000</t>
  </si>
  <si>
    <t xml:space="preserve">TONTO APACHE TRIBE LTSA</t>
  </si>
  <si>
    <t xml:space="preserve">70-441237.0000</t>
  </si>
  <si>
    <t xml:space="preserve">ARIZONA WATER COMPANY WHITE TANKS</t>
  </si>
  <si>
    <t xml:space="preserve">70-441240.0000</t>
  </si>
  <si>
    <t xml:space="preserve">PECAN CREEK SOUTH HOA LONG TERM STORAGE ACCOUNT</t>
  </si>
  <si>
    <t xml:space="preserve">70-441242.0000</t>
  </si>
  <si>
    <t xml:space="preserve">ARIZONA WATER COMPANY - SUPERSTITION</t>
  </si>
  <si>
    <t xml:space="preserve">70-441246.0000</t>
  </si>
  <si>
    <t xml:space="preserve">OB SPORTS GOLF MANAGEMENT (ASU), LLC LONG TERM STORAGE ACCT</t>
  </si>
  <si>
    <t xml:space="preserve">70-441257.0000</t>
  </si>
  <si>
    <t xml:space="preserve">RIO VERDE UTILITIES</t>
  </si>
  <si>
    <t xml:space="preserve">70-441262.0000</t>
  </si>
  <si>
    <t xml:space="preserve">CAMPBELL REVOCABLE TRUST LTSA</t>
  </si>
  <si>
    <t xml:space="preserve">70-441269.0000</t>
  </si>
  <si>
    <t xml:space="preserve">HASTINGS FARM HOA LTSA</t>
  </si>
  <si>
    <t xml:space="preserve">70-441271.0000</t>
  </si>
  <si>
    <t xml:space="preserve">PULTE HOME COMPANY, LLC LTSA</t>
  </si>
  <si>
    <t xml:space="preserve">70-431210.0000</t>
  </si>
  <si>
    <t xml:space="preserve">SANTA ROSA UTILITY COMPANY LONG TERM STORAGE ACCOUNT</t>
  </si>
  <si>
    <t xml:space="preserve">70-431230.0000</t>
  </si>
  <si>
    <t xml:space="preserve">ARIZONA WATER COMPANY LTSA - PINAL AMA</t>
  </si>
  <si>
    <t xml:space="preserve">70-431250.0000</t>
  </si>
  <si>
    <t xml:space="preserve">CITY OF PEORIA LTSA (PINAL AMA)</t>
  </si>
  <si>
    <t xml:space="preserve">70-431260.0000</t>
  </si>
  <si>
    <t xml:space="preserve">CHAPARRAL CITY WATER COMPANY LTSA (PINAL AMA)</t>
  </si>
  <si>
    <t xml:space="preserve">70-431275.0000</t>
  </si>
  <si>
    <t xml:space="preserve">CITY OF CHANDLER LTSA (PINAL AMA)</t>
  </si>
  <si>
    <t xml:space="preserve">70-431280.0000</t>
  </si>
  <si>
    <t xml:space="preserve">CITY OF PHOENIX LTSA (PINAL AMA)</t>
  </si>
  <si>
    <t xml:space="preserve">70-431285.0000</t>
  </si>
  <si>
    <t xml:space="preserve">CITY OF AVONDALE LTSA (PINAL AMA)</t>
  </si>
  <si>
    <t xml:space="preserve">70-431290.0000</t>
  </si>
  <si>
    <t xml:space="preserve">CITY OF TUCSON, TUCSON WATER (PINAL LTSA)</t>
  </si>
  <si>
    <t xml:space="preserve">70-411120.0000</t>
  </si>
  <si>
    <t xml:space="preserve">CAWCD (TUCSON) LONG TERM STORAGE ACCOUNT</t>
  </si>
  <si>
    <t xml:space="preserve">70-411230.0000</t>
  </si>
  <si>
    <t xml:space="preserve">CORTARO-MARANA IRRIGATION DISTRICT LONG TERM STORAGE ACCOUNT</t>
  </si>
  <si>
    <t xml:space="preserve">70-411340.0000</t>
  </si>
  <si>
    <t xml:space="preserve">GREEN VALLEY DWID LONG TERM STORAGE ACCOUNT</t>
  </si>
  <si>
    <t xml:space="preserve">70-411440.0000</t>
  </si>
  <si>
    <t xml:space="preserve">70-411450.0000</t>
  </si>
  <si>
    <t xml:space="preserve">AVRA WATER CO-OP LONG TERM STORAGE ACCOUNT</t>
  </si>
  <si>
    <t xml:space="preserve">70-411520.0000</t>
  </si>
  <si>
    <t xml:space="preserve">AK-CHIN INDIAN COMMUNITY LTSA - TUCSON AMA</t>
  </si>
  <si>
    <t xml:space="preserve">70-411490.0000</t>
  </si>
  <si>
    <t xml:space="preserve">MDWID - SW DIABLO VILLAGE</t>
  </si>
  <si>
    <t xml:space="preserve">Data from: 3/30/2026</t>
  </si>
  <si>
    <t xml:space="preserve">70-441278.0000</t>
  </si>
  <si>
    <t xml:space="preserve">ASSURED WATER BUILDERS I LLC LTSA</t>
  </si>
  <si>
    <t xml:space="preserve">70-441279.0000</t>
  </si>
  <si>
    <t xml:space="preserve">BASHA BOTTLING CO LTSA</t>
  </si>
  <si>
    <t xml:space="preserve">70-441280.0000</t>
  </si>
  <si>
    <t xml:space="preserve">VAI RESORTS, LLC</t>
  </si>
  <si>
    <t xml:space="preserve">70-441281.0000</t>
  </si>
  <si>
    <t xml:space="preserve">TRILLIUM LAND COMPANY LLC LTSA</t>
  </si>
  <si>
    <t xml:space="preserve">70-421128.0000</t>
  </si>
  <si>
    <t xml:space="preserve">BRADSHAW WATER COMPANY LONG TERM STORAGE ACCOUNT</t>
  </si>
  <si>
    <t xml:space="preserve">70-411570.0000</t>
  </si>
  <si>
    <t xml:space="preserve">GLOBAL WATER - OCTOTILLO WATER COMPANY, INC. LTSA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</si>
</sst>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_);\(#,##0\)"/>
    <numFmt numFmtId="166" formatCode="#,###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  <font>
      <b val="true"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fgColor rgb="00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2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35" activeCellId="0" sqref="H3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.9"/>
    <col collapsed="false" customWidth="true" hidden="false" outlineLevel="0" max="2" min="2" style="0" width="15.9"/>
    <col collapsed="false" customWidth="true" hidden="false" outlineLevel="0" max="3" min="3" style="0" width="12.99"/>
    <col collapsed="false" customWidth="true" hidden="false" outlineLevel="0" max="4" min="4" style="0" width="4.39"/>
    <col collapsed="false" customWidth="true" hidden="false" outlineLevel="0" max="5" min="5" style="0" width="67.91"/>
    <col collapsed="false" customWidth="true" hidden="false" outlineLevel="0" max="6" min="6" style="0" width="23.9"/>
    <col collapsed="false" customWidth="true" hidden="false" outlineLevel="0" max="8" min="8" style="0" width="13.09"/>
  </cols>
  <sheetData>
    <row r="1" customFormat="false" ht="12.8" hidden="false" customHeight="false" outlineLevel="0" collapsed="false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customFormat="false" ht="12.8" hidden="false" customHeight="false" outlineLevel="0" collapsed="false">
      <c r="A2" s="3"/>
      <c r="B2" s="3" t="s">
        <v>6</v>
      </c>
      <c r="C2" s="3" t="s">
        <v>7</v>
      </c>
      <c r="D2" s="3"/>
      <c r="E2" s="3" t="s">
        <v>8</v>
      </c>
      <c r="F2" s="4" t="n">
        <v>1877857.78</v>
      </c>
      <c r="G2" s="3" t="n">
        <v>2024</v>
      </c>
    </row>
    <row r="3" customFormat="false" ht="12.8" hidden="false" customHeight="false" outlineLevel="0" collapsed="false">
      <c r="A3" s="3"/>
      <c r="B3" s="3" t="s">
        <v>9</v>
      </c>
      <c r="C3" s="3" t="s">
        <v>10</v>
      </c>
      <c r="D3" s="3"/>
      <c r="E3" s="3" t="s">
        <v>11</v>
      </c>
      <c r="F3" s="4" t="n">
        <v>808317.06</v>
      </c>
      <c r="G3" s="3" t="n">
        <v>2024</v>
      </c>
    </row>
    <row r="4" customFormat="false" ht="12.8" hidden="false" customHeight="false" outlineLevel="0" collapsed="false">
      <c r="A4" s="3"/>
      <c r="B4" s="3" t="s">
        <v>12</v>
      </c>
      <c r="C4" s="3" t="s">
        <v>13</v>
      </c>
      <c r="D4" s="3"/>
      <c r="E4" s="3" t="s">
        <v>14</v>
      </c>
      <c r="F4" s="4" t="n">
        <v>720910.24</v>
      </c>
      <c r="G4" s="3" t="n">
        <v>2024</v>
      </c>
    </row>
    <row r="5" customFormat="false" ht="12.8" hidden="false" customHeight="false" outlineLevel="0" collapsed="false">
      <c r="A5" s="3"/>
      <c r="B5" s="3" t="s">
        <v>6</v>
      </c>
      <c r="C5" s="3" t="s">
        <v>15</v>
      </c>
      <c r="D5" s="3"/>
      <c r="E5" s="3" t="s">
        <v>16</v>
      </c>
      <c r="F5" s="4" t="n">
        <v>605773.55</v>
      </c>
      <c r="G5" s="3" t="n">
        <v>2024</v>
      </c>
    </row>
    <row r="6" customFormat="false" ht="12.8" hidden="false" customHeight="false" outlineLevel="0" collapsed="false">
      <c r="A6" s="3"/>
      <c r="B6" s="3" t="s">
        <v>12</v>
      </c>
      <c r="C6" s="3" t="s">
        <v>17</v>
      </c>
      <c r="D6" s="3"/>
      <c r="E6" s="3" t="s">
        <v>18</v>
      </c>
      <c r="F6" s="4" t="n">
        <v>575386.99</v>
      </c>
      <c r="G6" s="3" t="n">
        <v>2022</v>
      </c>
    </row>
    <row r="7" customFormat="false" ht="12.8" hidden="false" customHeight="false" outlineLevel="0" collapsed="false">
      <c r="A7" s="3"/>
      <c r="B7" s="3" t="s">
        <v>6</v>
      </c>
      <c r="C7" s="3" t="s">
        <v>19</v>
      </c>
      <c r="D7" s="3"/>
      <c r="E7" s="3" t="s">
        <v>20</v>
      </c>
      <c r="F7" s="4" t="n">
        <v>563703.27</v>
      </c>
      <c r="G7" s="3" t="n">
        <v>2024</v>
      </c>
    </row>
    <row r="8" customFormat="false" ht="12.8" hidden="false" customHeight="false" outlineLevel="0" collapsed="false">
      <c r="A8" s="3"/>
      <c r="B8" s="3" t="s">
        <v>6</v>
      </c>
      <c r="C8" s="3" t="s">
        <v>21</v>
      </c>
      <c r="D8" s="3"/>
      <c r="E8" s="3" t="s">
        <v>22</v>
      </c>
      <c r="F8" s="4" t="n">
        <v>558693.89</v>
      </c>
      <c r="G8" s="3" t="n">
        <v>2024</v>
      </c>
    </row>
    <row r="9" customFormat="false" ht="12.8" hidden="false" customHeight="false" outlineLevel="0" collapsed="false">
      <c r="A9" s="3"/>
      <c r="B9" s="3" t="s">
        <v>6</v>
      </c>
      <c r="C9" s="3" t="s">
        <v>23</v>
      </c>
      <c r="D9" s="3"/>
      <c r="E9" s="3" t="s">
        <v>24</v>
      </c>
      <c r="F9" s="4" t="n">
        <v>524883.66</v>
      </c>
      <c r="G9" s="3" t="n">
        <v>2024</v>
      </c>
    </row>
    <row r="10" customFormat="false" ht="12.8" hidden="false" customHeight="false" outlineLevel="0" collapsed="false">
      <c r="A10" s="3"/>
      <c r="B10" s="3" t="s">
        <v>6</v>
      </c>
      <c r="C10" s="3" t="s">
        <v>25</v>
      </c>
      <c r="D10" s="3"/>
      <c r="E10" s="3" t="s">
        <v>26</v>
      </c>
      <c r="F10" s="4" t="n">
        <v>469318.44</v>
      </c>
      <c r="G10" s="3" t="n">
        <v>2023</v>
      </c>
    </row>
    <row r="11" customFormat="false" ht="12.8" hidden="false" customHeight="false" outlineLevel="0" collapsed="false">
      <c r="A11" s="3"/>
      <c r="B11" s="3" t="s">
        <v>9</v>
      </c>
      <c r="C11" s="3" t="s">
        <v>27</v>
      </c>
      <c r="D11" s="3"/>
      <c r="E11" s="3" t="s">
        <v>28</v>
      </c>
      <c r="F11" s="4" t="n">
        <v>440241.03</v>
      </c>
      <c r="G11" s="3" t="n">
        <v>2024</v>
      </c>
    </row>
    <row r="12" customFormat="false" ht="12.8" hidden="false" customHeight="false" outlineLevel="0" collapsed="false">
      <c r="A12" s="3"/>
      <c r="B12" s="3" t="s">
        <v>6</v>
      </c>
      <c r="C12" s="3" t="s">
        <v>29</v>
      </c>
      <c r="D12" s="3"/>
      <c r="E12" s="3" t="s">
        <v>30</v>
      </c>
      <c r="F12" s="4" t="n">
        <v>430029.63</v>
      </c>
      <c r="G12" s="3" t="n">
        <v>2024</v>
      </c>
    </row>
    <row r="13" customFormat="false" ht="12.8" hidden="false" customHeight="false" outlineLevel="0" collapsed="false">
      <c r="A13" s="3"/>
      <c r="B13" s="3" t="s">
        <v>9</v>
      </c>
      <c r="C13" s="3" t="s">
        <v>31</v>
      </c>
      <c r="D13" s="3"/>
      <c r="E13" s="3" t="s">
        <v>32</v>
      </c>
      <c r="F13" s="4" t="n">
        <v>420447.51</v>
      </c>
      <c r="G13" s="3" t="n">
        <v>2024</v>
      </c>
    </row>
    <row r="14" customFormat="false" ht="12.8" hidden="false" customHeight="false" outlineLevel="0" collapsed="false">
      <c r="A14" s="3"/>
      <c r="B14" s="3" t="s">
        <v>6</v>
      </c>
      <c r="C14" s="3" t="s">
        <v>33</v>
      </c>
      <c r="D14" s="3"/>
      <c r="E14" s="3" t="s">
        <v>34</v>
      </c>
      <c r="F14" s="4" t="n">
        <v>314622</v>
      </c>
      <c r="G14" s="3" t="n">
        <v>2024</v>
      </c>
    </row>
    <row r="15" customFormat="false" ht="12.8" hidden="false" customHeight="false" outlineLevel="0" collapsed="false">
      <c r="A15" s="3"/>
      <c r="B15" s="3" t="s">
        <v>9</v>
      </c>
      <c r="C15" s="3" t="s">
        <v>35</v>
      </c>
      <c r="D15" s="3"/>
      <c r="E15" s="3" t="s">
        <v>36</v>
      </c>
      <c r="F15" s="4" t="n">
        <v>311058.49</v>
      </c>
      <c r="G15" s="3" t="n">
        <v>2024</v>
      </c>
    </row>
    <row r="16" customFormat="false" ht="12.8" hidden="false" customHeight="false" outlineLevel="0" collapsed="false">
      <c r="A16" s="3"/>
      <c r="B16" s="3" t="s">
        <v>9</v>
      </c>
      <c r="C16" s="3" t="s">
        <v>37</v>
      </c>
      <c r="D16" s="3"/>
      <c r="E16" s="3" t="s">
        <v>38</v>
      </c>
      <c r="F16" s="4" t="n">
        <v>301579.31</v>
      </c>
      <c r="G16" s="3" t="n">
        <v>2024</v>
      </c>
    </row>
    <row r="17" customFormat="false" ht="12.8" hidden="false" customHeight="false" outlineLevel="0" collapsed="false">
      <c r="A17" s="3"/>
      <c r="B17" s="3" t="s">
        <v>6</v>
      </c>
      <c r="C17" s="3" t="s">
        <v>39</v>
      </c>
      <c r="D17" s="3"/>
      <c r="E17" s="3" t="s">
        <v>40</v>
      </c>
      <c r="F17" s="4" t="n">
        <v>284690.51</v>
      </c>
      <c r="G17" s="3" t="n">
        <v>2024</v>
      </c>
    </row>
    <row r="18" customFormat="false" ht="12.8" hidden="false" customHeight="false" outlineLevel="0" collapsed="false">
      <c r="A18" s="3"/>
      <c r="B18" s="3" t="s">
        <v>6</v>
      </c>
      <c r="C18" s="3" t="s">
        <v>41</v>
      </c>
      <c r="D18" s="3"/>
      <c r="E18" s="3" t="s">
        <v>42</v>
      </c>
      <c r="F18" s="4" t="n">
        <v>277690.78</v>
      </c>
      <c r="G18" s="3" t="n">
        <v>2024</v>
      </c>
    </row>
    <row r="19" customFormat="false" ht="12.8" hidden="false" customHeight="false" outlineLevel="0" collapsed="false">
      <c r="A19" s="3"/>
      <c r="B19" s="3" t="s">
        <v>6</v>
      </c>
      <c r="C19" s="3" t="s">
        <v>43</v>
      </c>
      <c r="D19" s="3"/>
      <c r="E19" s="3" t="s">
        <v>44</v>
      </c>
      <c r="F19" s="4" t="n">
        <v>263671.9</v>
      </c>
      <c r="G19" s="3" t="n">
        <v>2024</v>
      </c>
    </row>
    <row r="20" customFormat="false" ht="12.8" hidden="false" customHeight="false" outlineLevel="0" collapsed="false">
      <c r="A20" s="3"/>
      <c r="B20" s="3" t="s">
        <v>9</v>
      </c>
      <c r="C20" s="3" t="s">
        <v>45</v>
      </c>
      <c r="D20" s="3"/>
      <c r="E20" s="3" t="s">
        <v>46</v>
      </c>
      <c r="F20" s="4" t="n">
        <v>256174</v>
      </c>
      <c r="G20" s="3" t="n">
        <v>2024</v>
      </c>
    </row>
    <row r="21" customFormat="false" ht="12.8" hidden="false" customHeight="false" outlineLevel="0" collapsed="false">
      <c r="A21" s="3"/>
      <c r="B21" s="3" t="s">
        <v>9</v>
      </c>
      <c r="C21" s="3" t="s">
        <v>47</v>
      </c>
      <c r="D21" s="3"/>
      <c r="E21" s="3" t="s">
        <v>48</v>
      </c>
      <c r="F21" s="4" t="n">
        <v>244406.25</v>
      </c>
      <c r="G21" s="3" t="n">
        <v>2024</v>
      </c>
    </row>
    <row r="22" customFormat="false" ht="12.8" hidden="false" customHeight="false" outlineLevel="0" collapsed="false">
      <c r="A22" s="3"/>
      <c r="B22" s="3" t="s">
        <v>12</v>
      </c>
      <c r="C22" s="3" t="s">
        <v>49</v>
      </c>
      <c r="D22" s="3"/>
      <c r="E22" s="3" t="s">
        <v>50</v>
      </c>
      <c r="F22" s="4" t="n">
        <v>243432.05</v>
      </c>
      <c r="G22" s="3" t="n">
        <v>2024</v>
      </c>
    </row>
    <row r="23" customFormat="false" ht="12.8" hidden="false" customHeight="false" outlineLevel="0" collapsed="false">
      <c r="A23" s="3"/>
      <c r="B23" s="3" t="s">
        <v>6</v>
      </c>
      <c r="C23" s="3" t="s">
        <v>51</v>
      </c>
      <c r="D23" s="3"/>
      <c r="E23" s="3" t="s">
        <v>52</v>
      </c>
      <c r="F23" s="4" t="n">
        <v>243368.35</v>
      </c>
      <c r="G23" s="3" t="n">
        <v>2024</v>
      </c>
    </row>
    <row r="24" customFormat="false" ht="12.8" hidden="false" customHeight="false" outlineLevel="0" collapsed="false">
      <c r="A24" s="3"/>
      <c r="B24" s="3" t="s">
        <v>6</v>
      </c>
      <c r="C24" s="3" t="s">
        <v>53</v>
      </c>
      <c r="D24" s="3"/>
      <c r="E24" s="3" t="s">
        <v>54</v>
      </c>
      <c r="F24" s="4" t="n">
        <v>235471.31</v>
      </c>
      <c r="G24" s="3" t="n">
        <v>2024</v>
      </c>
    </row>
    <row r="25" customFormat="false" ht="12.8" hidden="false" customHeight="false" outlineLevel="0" collapsed="false">
      <c r="A25" s="3"/>
      <c r="B25" s="3" t="s">
        <v>6</v>
      </c>
      <c r="C25" s="3" t="s">
        <v>55</v>
      </c>
      <c r="D25" s="3"/>
      <c r="E25" s="3" t="s">
        <v>56</v>
      </c>
      <c r="F25" s="4" t="n">
        <v>228468.79</v>
      </c>
      <c r="G25" s="3" t="n">
        <v>2024</v>
      </c>
    </row>
    <row r="26" customFormat="false" ht="12.8" hidden="false" customHeight="false" outlineLevel="0" collapsed="false">
      <c r="A26" s="3"/>
      <c r="B26" s="3" t="s">
        <v>6</v>
      </c>
      <c r="C26" s="3" t="s">
        <v>57</v>
      </c>
      <c r="D26" s="3"/>
      <c r="E26" s="3" t="s">
        <v>58</v>
      </c>
      <c r="F26" s="4" t="n">
        <v>209121.03</v>
      </c>
      <c r="G26" s="3" t="n">
        <v>2024</v>
      </c>
    </row>
    <row r="27" customFormat="false" ht="12.8" hidden="false" customHeight="false" outlineLevel="0" collapsed="false">
      <c r="A27" s="3"/>
      <c r="B27" s="3" t="s">
        <v>59</v>
      </c>
      <c r="C27" s="3" t="s">
        <v>60</v>
      </c>
      <c r="D27" s="3"/>
      <c r="E27" s="3" t="s">
        <v>61</v>
      </c>
      <c r="F27" s="4" t="n">
        <v>188672.7</v>
      </c>
      <c r="G27" s="3" t="n">
        <v>2024</v>
      </c>
    </row>
    <row r="28" customFormat="false" ht="12.8" hidden="false" customHeight="false" outlineLevel="0" collapsed="false">
      <c r="A28" s="3"/>
      <c r="B28" s="3" t="s">
        <v>6</v>
      </c>
      <c r="C28" s="3" t="s">
        <v>62</v>
      </c>
      <c r="D28" s="3"/>
      <c r="E28" s="3" t="s">
        <v>63</v>
      </c>
      <c r="F28" s="4" t="n">
        <v>178471.78</v>
      </c>
      <c r="G28" s="3" t="n">
        <v>2024</v>
      </c>
    </row>
    <row r="29" customFormat="false" ht="12.8" hidden="false" customHeight="false" outlineLevel="0" collapsed="false">
      <c r="A29" s="3"/>
      <c r="B29" s="3" t="s">
        <v>12</v>
      </c>
      <c r="C29" s="3" t="s">
        <v>64</v>
      </c>
      <c r="D29" s="3"/>
      <c r="E29" s="3" t="s">
        <v>65</v>
      </c>
      <c r="F29" s="4" t="n">
        <v>166443.46</v>
      </c>
      <c r="G29" s="3" t="n">
        <v>2024</v>
      </c>
    </row>
    <row r="30" customFormat="false" ht="12.8" hidden="false" customHeight="false" outlineLevel="0" collapsed="false">
      <c r="A30" s="3"/>
      <c r="B30" s="3" t="s">
        <v>6</v>
      </c>
      <c r="C30" s="3" t="s">
        <v>66</v>
      </c>
      <c r="D30" s="3"/>
      <c r="E30" s="3" t="s">
        <v>67</v>
      </c>
      <c r="F30" s="4" t="n">
        <v>161749.12</v>
      </c>
      <c r="G30" s="3" t="n">
        <v>2024</v>
      </c>
    </row>
    <row r="31" customFormat="false" ht="12.8" hidden="false" customHeight="false" outlineLevel="0" collapsed="false">
      <c r="A31" s="3"/>
      <c r="B31" s="3" t="s">
        <v>12</v>
      </c>
      <c r="C31" s="3" t="s">
        <v>68</v>
      </c>
      <c r="D31" s="3"/>
      <c r="E31" s="3" t="s">
        <v>69</v>
      </c>
      <c r="F31" s="4" t="n">
        <v>157734.05</v>
      </c>
      <c r="G31" s="3" t="n">
        <v>2023</v>
      </c>
    </row>
    <row r="32" customFormat="false" ht="12.8" hidden="false" customHeight="false" outlineLevel="0" collapsed="false">
      <c r="A32" s="3"/>
      <c r="B32" s="3" t="s">
        <v>6</v>
      </c>
      <c r="C32" s="3" t="s">
        <v>70</v>
      </c>
      <c r="D32" s="3"/>
      <c r="E32" s="3" t="s">
        <v>71</v>
      </c>
      <c r="F32" s="4" t="n">
        <v>138260.97</v>
      </c>
      <c r="G32" s="3" t="n">
        <v>2024</v>
      </c>
    </row>
    <row r="33" customFormat="false" ht="12.8" hidden="false" customHeight="false" outlineLevel="0" collapsed="false">
      <c r="A33" s="3"/>
      <c r="B33" s="3" t="s">
        <v>6</v>
      </c>
      <c r="C33" s="3" t="s">
        <v>72</v>
      </c>
      <c r="D33" s="3"/>
      <c r="E33" s="3" t="s">
        <v>73</v>
      </c>
      <c r="F33" s="4" t="n">
        <v>137716.46</v>
      </c>
      <c r="G33" s="3" t="n">
        <v>2024</v>
      </c>
      <c r="H33" s="5" t="s">
        <v>74</v>
      </c>
      <c r="I33" s="6" t="n">
        <f aca="false">F2+F3+F4</f>
        <v>3407085.08</v>
      </c>
    </row>
    <row r="34" customFormat="false" ht="12.8" hidden="false" customHeight="false" outlineLevel="0" collapsed="false">
      <c r="A34" s="3"/>
      <c r="B34" s="3" t="s">
        <v>12</v>
      </c>
      <c r="C34" s="3" t="s">
        <v>75</v>
      </c>
      <c r="D34" s="3"/>
      <c r="E34" s="3" t="s">
        <v>76</v>
      </c>
      <c r="F34" s="4" t="n">
        <v>130493.52</v>
      </c>
      <c r="G34" s="3" t="n">
        <v>2023</v>
      </c>
      <c r="H34" s="5" t="s">
        <v>77</v>
      </c>
      <c r="I34" s="6" t="n">
        <f aca="false">F45+F36+F11</f>
        <v>613846.18</v>
      </c>
    </row>
    <row r="35" customFormat="false" ht="12.8" hidden="false" customHeight="false" outlineLevel="0" collapsed="false">
      <c r="A35" s="3"/>
      <c r="B35" s="3" t="s">
        <v>6</v>
      </c>
      <c r="C35" s="3" t="s">
        <v>78</v>
      </c>
      <c r="D35" s="3"/>
      <c r="E35" s="3" t="s">
        <v>79</v>
      </c>
      <c r="F35" s="4" t="n">
        <v>130253.73</v>
      </c>
      <c r="G35" s="3" t="n">
        <v>2024</v>
      </c>
      <c r="H35" s="5" t="s">
        <v>80</v>
      </c>
      <c r="I35" s="6" t="n">
        <f aca="false">F21+F35</f>
        <v>374659.98</v>
      </c>
    </row>
    <row r="36" customFormat="false" ht="12.8" hidden="false" customHeight="false" outlineLevel="0" collapsed="false">
      <c r="A36" s="3"/>
      <c r="B36" s="3" t="s">
        <v>12</v>
      </c>
      <c r="C36" s="3" t="s">
        <v>81</v>
      </c>
      <c r="D36" s="3"/>
      <c r="E36" s="3" t="s">
        <v>82</v>
      </c>
      <c r="F36" s="4" t="n">
        <v>113583.99</v>
      </c>
      <c r="G36" s="3" t="n">
        <v>2024</v>
      </c>
    </row>
    <row r="37" customFormat="false" ht="12.8" hidden="false" customHeight="false" outlineLevel="0" collapsed="false">
      <c r="A37" s="3"/>
      <c r="B37" s="3" t="s">
        <v>12</v>
      </c>
      <c r="C37" s="3" t="s">
        <v>83</v>
      </c>
      <c r="D37" s="3"/>
      <c r="E37" s="3" t="s">
        <v>84</v>
      </c>
      <c r="F37" s="4" t="n">
        <v>106065.72</v>
      </c>
      <c r="G37" s="3" t="n">
        <v>2024</v>
      </c>
    </row>
    <row r="38" customFormat="false" ht="12.8" hidden="false" customHeight="false" outlineLevel="0" collapsed="false">
      <c r="A38" s="3"/>
      <c r="B38" s="3" t="s">
        <v>6</v>
      </c>
      <c r="C38" s="3" t="s">
        <v>85</v>
      </c>
      <c r="D38" s="3"/>
      <c r="E38" s="3" t="s">
        <v>86</v>
      </c>
      <c r="F38" s="4" t="n">
        <v>95130.62</v>
      </c>
      <c r="G38" s="3" t="n">
        <v>2023</v>
      </c>
    </row>
    <row r="39" customFormat="false" ht="12.8" hidden="false" customHeight="false" outlineLevel="0" collapsed="false">
      <c r="A39" s="3"/>
      <c r="B39" s="3" t="s">
        <v>6</v>
      </c>
      <c r="C39" s="3" t="s">
        <v>87</v>
      </c>
      <c r="D39" s="3"/>
      <c r="E39" s="3" t="s">
        <v>88</v>
      </c>
      <c r="F39" s="4" t="n">
        <v>88312.95</v>
      </c>
      <c r="G39" s="3" t="n">
        <v>2024</v>
      </c>
    </row>
    <row r="40" customFormat="false" ht="12.8" hidden="false" customHeight="false" outlineLevel="0" collapsed="false">
      <c r="A40" s="3"/>
      <c r="B40" s="3" t="s">
        <v>6</v>
      </c>
      <c r="C40" s="3" t="s">
        <v>89</v>
      </c>
      <c r="D40" s="3"/>
      <c r="E40" s="3" t="s">
        <v>90</v>
      </c>
      <c r="F40" s="4" t="n">
        <v>79076.1</v>
      </c>
      <c r="G40" s="3" t="n">
        <v>2024</v>
      </c>
    </row>
    <row r="41" customFormat="false" ht="12.8" hidden="false" customHeight="false" outlineLevel="0" collapsed="false">
      <c r="A41" s="3"/>
      <c r="B41" s="3" t="s">
        <v>6</v>
      </c>
      <c r="C41" s="3" t="s">
        <v>91</v>
      </c>
      <c r="D41" s="3"/>
      <c r="E41" s="3" t="s">
        <v>92</v>
      </c>
      <c r="F41" s="4" t="n">
        <v>73782.1</v>
      </c>
      <c r="G41" s="3" t="n">
        <v>2024</v>
      </c>
    </row>
    <row r="42" customFormat="false" ht="12.8" hidden="false" customHeight="false" outlineLevel="0" collapsed="false">
      <c r="A42" s="3"/>
      <c r="B42" s="3" t="s">
        <v>9</v>
      </c>
      <c r="C42" s="3" t="s">
        <v>93</v>
      </c>
      <c r="D42" s="3"/>
      <c r="E42" s="3" t="s">
        <v>94</v>
      </c>
      <c r="F42" s="4" t="n">
        <v>72813</v>
      </c>
      <c r="G42" s="3" t="n">
        <v>2024</v>
      </c>
    </row>
    <row r="43" customFormat="false" ht="12.8" hidden="false" customHeight="false" outlineLevel="0" collapsed="false">
      <c r="A43" s="3"/>
      <c r="B43" s="3" t="s">
        <v>9</v>
      </c>
      <c r="C43" s="3" t="s">
        <v>95</v>
      </c>
      <c r="D43" s="3"/>
      <c r="E43" s="3" t="s">
        <v>96</v>
      </c>
      <c r="F43" s="4" t="n">
        <v>71229.85</v>
      </c>
      <c r="G43" s="3" t="n">
        <v>2024</v>
      </c>
    </row>
    <row r="44" customFormat="false" ht="12.8" hidden="false" customHeight="false" outlineLevel="0" collapsed="false">
      <c r="A44" s="3"/>
      <c r="B44" s="3" t="s">
        <v>6</v>
      </c>
      <c r="C44" s="3" t="s">
        <v>97</v>
      </c>
      <c r="D44" s="3"/>
      <c r="E44" s="3" t="s">
        <v>98</v>
      </c>
      <c r="F44" s="4" t="n">
        <v>63225</v>
      </c>
      <c r="G44" s="3" t="n">
        <v>2024</v>
      </c>
    </row>
    <row r="45" customFormat="false" ht="12.8" hidden="false" customHeight="false" outlineLevel="0" collapsed="false">
      <c r="A45" s="3"/>
      <c r="B45" s="3" t="s">
        <v>6</v>
      </c>
      <c r="C45" s="3" t="s">
        <v>99</v>
      </c>
      <c r="D45" s="3"/>
      <c r="E45" s="3" t="s">
        <v>100</v>
      </c>
      <c r="F45" s="4" t="n">
        <v>60021.16</v>
      </c>
      <c r="G45" s="3" t="n">
        <v>2024</v>
      </c>
    </row>
    <row r="46" customFormat="false" ht="12.8" hidden="false" customHeight="false" outlineLevel="0" collapsed="false">
      <c r="A46" s="3"/>
      <c r="B46" s="3" t="s">
        <v>9</v>
      </c>
      <c r="C46" s="3" t="s">
        <v>101</v>
      </c>
      <c r="D46" s="3"/>
      <c r="E46" s="3" t="s">
        <v>102</v>
      </c>
      <c r="F46" s="4" t="n">
        <v>56682.74</v>
      </c>
      <c r="G46" s="3" t="n">
        <v>2024</v>
      </c>
    </row>
    <row r="47" customFormat="false" ht="12.8" hidden="false" customHeight="false" outlineLevel="0" collapsed="false">
      <c r="A47" s="3"/>
      <c r="B47" s="3" t="s">
        <v>59</v>
      </c>
      <c r="C47" s="3" t="s">
        <v>103</v>
      </c>
      <c r="D47" s="3"/>
      <c r="E47" s="3" t="s">
        <v>104</v>
      </c>
      <c r="F47" s="4" t="n">
        <v>55000</v>
      </c>
      <c r="G47" s="3" t="n">
        <v>2024</v>
      </c>
    </row>
    <row r="48" customFormat="false" ht="12.8" hidden="false" customHeight="false" outlineLevel="0" collapsed="false">
      <c r="A48" s="3"/>
      <c r="B48" s="3" t="s">
        <v>12</v>
      </c>
      <c r="C48" s="3" t="s">
        <v>105</v>
      </c>
      <c r="D48" s="3"/>
      <c r="E48" s="3" t="s">
        <v>106</v>
      </c>
      <c r="F48" s="4" t="n">
        <v>53210.03</v>
      </c>
      <c r="G48" s="3" t="n">
        <v>2024</v>
      </c>
    </row>
    <row r="49" customFormat="false" ht="12.8" hidden="false" customHeight="false" outlineLevel="0" collapsed="false">
      <c r="A49" s="3"/>
      <c r="B49" s="3" t="s">
        <v>6</v>
      </c>
      <c r="C49" s="3" t="s">
        <v>107</v>
      </c>
      <c r="D49" s="3"/>
      <c r="E49" s="3" t="s">
        <v>108</v>
      </c>
      <c r="F49" s="4" t="n">
        <v>50551.53</v>
      </c>
      <c r="G49" s="3" t="n">
        <v>2024</v>
      </c>
    </row>
    <row r="50" customFormat="false" ht="12.8" hidden="false" customHeight="false" outlineLevel="0" collapsed="false">
      <c r="A50" s="3"/>
      <c r="B50" s="3" t="s">
        <v>6</v>
      </c>
      <c r="C50" s="3" t="s">
        <v>109</v>
      </c>
      <c r="D50" s="3"/>
      <c r="E50" s="3" t="s">
        <v>110</v>
      </c>
      <c r="F50" s="4" t="n">
        <v>49524.9</v>
      </c>
      <c r="G50" s="3" t="n">
        <v>2024</v>
      </c>
    </row>
    <row r="51" customFormat="false" ht="12.8" hidden="false" customHeight="false" outlineLevel="0" collapsed="false">
      <c r="A51" s="3"/>
      <c r="B51" s="3" t="s">
        <v>12</v>
      </c>
      <c r="C51" s="3" t="s">
        <v>111</v>
      </c>
      <c r="D51" s="3"/>
      <c r="E51" s="3" t="s">
        <v>112</v>
      </c>
      <c r="F51" s="4" t="n">
        <v>44448.61</v>
      </c>
      <c r="G51" s="3" t="n">
        <v>2024</v>
      </c>
    </row>
    <row r="52" customFormat="false" ht="12.8" hidden="false" customHeight="false" outlineLevel="0" collapsed="false">
      <c r="A52" s="3"/>
      <c r="B52" s="3" t="s">
        <v>12</v>
      </c>
      <c r="C52" s="3" t="s">
        <v>113</v>
      </c>
      <c r="D52" s="3"/>
      <c r="E52" s="3" t="s">
        <v>114</v>
      </c>
      <c r="F52" s="4" t="n">
        <v>43911.87</v>
      </c>
      <c r="G52" s="3" t="n">
        <v>2024</v>
      </c>
    </row>
    <row r="53" customFormat="false" ht="12.8" hidden="false" customHeight="false" outlineLevel="0" collapsed="false">
      <c r="A53" s="3"/>
      <c r="B53" s="3" t="s">
        <v>115</v>
      </c>
      <c r="C53" s="3" t="s">
        <v>116</v>
      </c>
      <c r="D53" s="3"/>
      <c r="E53" s="3" t="s">
        <v>117</v>
      </c>
      <c r="F53" s="4" t="n">
        <v>42226.89</v>
      </c>
      <c r="G53" s="3" t="n">
        <v>2024</v>
      </c>
    </row>
    <row r="54" customFormat="false" ht="12.8" hidden="false" customHeight="false" outlineLevel="0" collapsed="false">
      <c r="A54" s="3"/>
      <c r="B54" s="3" t="s">
        <v>12</v>
      </c>
      <c r="C54" s="3" t="s">
        <v>118</v>
      </c>
      <c r="D54" s="3"/>
      <c r="E54" s="3" t="s">
        <v>119</v>
      </c>
      <c r="F54" s="4" t="n">
        <v>38979.66</v>
      </c>
      <c r="G54" s="3" t="n">
        <v>2024</v>
      </c>
    </row>
    <row r="55" customFormat="false" ht="12.8" hidden="false" customHeight="false" outlineLevel="0" collapsed="false">
      <c r="A55" s="3"/>
      <c r="B55" s="3" t="s">
        <v>12</v>
      </c>
      <c r="C55" s="3" t="s">
        <v>120</v>
      </c>
      <c r="D55" s="3"/>
      <c r="E55" s="3" t="s">
        <v>121</v>
      </c>
      <c r="F55" s="4" t="n">
        <v>37735.78</v>
      </c>
      <c r="G55" s="3" t="n">
        <v>2024</v>
      </c>
    </row>
    <row r="56" customFormat="false" ht="12.8" hidden="false" customHeight="false" outlineLevel="0" collapsed="false">
      <c r="A56" s="3"/>
      <c r="B56" s="3" t="s">
        <v>6</v>
      </c>
      <c r="C56" s="3" t="s">
        <v>122</v>
      </c>
      <c r="D56" s="3"/>
      <c r="E56" s="3" t="s">
        <v>123</v>
      </c>
      <c r="F56" s="4" t="n">
        <v>34960.64</v>
      </c>
      <c r="G56" s="3" t="n">
        <v>2024</v>
      </c>
    </row>
    <row r="57" customFormat="false" ht="12.8" hidden="false" customHeight="false" outlineLevel="0" collapsed="false">
      <c r="A57" s="3"/>
      <c r="B57" s="3" t="s">
        <v>9</v>
      </c>
      <c r="C57" s="3" t="s">
        <v>124</v>
      </c>
      <c r="D57" s="3"/>
      <c r="E57" s="3" t="s">
        <v>125</v>
      </c>
      <c r="F57" s="4" t="n">
        <v>34937.92</v>
      </c>
      <c r="G57" s="3" t="n">
        <v>2024</v>
      </c>
    </row>
    <row r="58" customFormat="false" ht="12.8" hidden="false" customHeight="false" outlineLevel="0" collapsed="false">
      <c r="A58" s="3"/>
      <c r="B58" s="3" t="s">
        <v>9</v>
      </c>
      <c r="C58" s="3" t="s">
        <v>126</v>
      </c>
      <c r="D58" s="3"/>
      <c r="E58" s="3" t="s">
        <v>127</v>
      </c>
      <c r="F58" s="4" t="n">
        <v>34726.42</v>
      </c>
      <c r="G58" s="3" t="n">
        <v>2024</v>
      </c>
    </row>
    <row r="59" customFormat="false" ht="12.8" hidden="false" customHeight="false" outlineLevel="0" collapsed="false">
      <c r="A59" s="3"/>
      <c r="B59" s="3" t="s">
        <v>12</v>
      </c>
      <c r="C59" s="3" t="s">
        <v>128</v>
      </c>
      <c r="D59" s="3"/>
      <c r="E59" s="3" t="s">
        <v>129</v>
      </c>
      <c r="F59" s="4" t="n">
        <v>34540.03</v>
      </c>
      <c r="G59" s="3" t="n">
        <v>2024</v>
      </c>
    </row>
    <row r="60" customFormat="false" ht="12.8" hidden="false" customHeight="false" outlineLevel="0" collapsed="false">
      <c r="A60" s="3"/>
      <c r="B60" s="3" t="s">
        <v>12</v>
      </c>
      <c r="C60" s="3" t="s">
        <v>130</v>
      </c>
      <c r="D60" s="3"/>
      <c r="E60" s="3" t="s">
        <v>131</v>
      </c>
      <c r="F60" s="4" t="n">
        <v>34101.86</v>
      </c>
      <c r="G60" s="3" t="n">
        <v>2024</v>
      </c>
    </row>
    <row r="61" customFormat="false" ht="12.8" hidden="false" customHeight="false" outlineLevel="0" collapsed="false">
      <c r="A61" s="3"/>
      <c r="B61" s="3" t="s">
        <v>115</v>
      </c>
      <c r="C61" s="3" t="s">
        <v>132</v>
      </c>
      <c r="D61" s="3"/>
      <c r="E61" s="3" t="s">
        <v>133</v>
      </c>
      <c r="F61" s="4" t="n">
        <v>29298.32</v>
      </c>
      <c r="G61" s="3" t="n">
        <v>2023</v>
      </c>
    </row>
    <row r="62" customFormat="false" ht="12.8" hidden="false" customHeight="false" outlineLevel="0" collapsed="false">
      <c r="A62" s="3"/>
      <c r="B62" s="3" t="s">
        <v>134</v>
      </c>
      <c r="C62" s="3" t="s">
        <v>135</v>
      </c>
      <c r="D62" s="3"/>
      <c r="E62" s="3" t="s">
        <v>136</v>
      </c>
      <c r="F62" s="4" t="n">
        <v>27383</v>
      </c>
      <c r="G62" s="3" t="n">
        <v>2024</v>
      </c>
    </row>
    <row r="63" customFormat="false" ht="12.8" hidden="false" customHeight="false" outlineLevel="0" collapsed="false">
      <c r="A63" s="3"/>
      <c r="B63" s="3" t="s">
        <v>12</v>
      </c>
      <c r="C63" s="3" t="s">
        <v>137</v>
      </c>
      <c r="D63" s="3"/>
      <c r="E63" s="3" t="s">
        <v>138</v>
      </c>
      <c r="F63" s="4" t="n">
        <v>26817.44</v>
      </c>
      <c r="G63" s="3" t="n">
        <v>2024</v>
      </c>
    </row>
    <row r="64" customFormat="false" ht="12.8" hidden="false" customHeight="false" outlineLevel="0" collapsed="false">
      <c r="A64" s="3"/>
      <c r="B64" s="3" t="s">
        <v>6</v>
      </c>
      <c r="C64" s="3" t="s">
        <v>139</v>
      </c>
      <c r="D64" s="3"/>
      <c r="E64" s="3" t="s">
        <v>140</v>
      </c>
      <c r="F64" s="4" t="n">
        <v>25933.8</v>
      </c>
      <c r="G64" s="3" t="n">
        <v>2024</v>
      </c>
    </row>
    <row r="65" customFormat="false" ht="12.8" hidden="false" customHeight="false" outlineLevel="0" collapsed="false">
      <c r="A65" s="3"/>
      <c r="B65" s="3" t="s">
        <v>9</v>
      </c>
      <c r="C65" s="3" t="s">
        <v>141</v>
      </c>
      <c r="D65" s="3"/>
      <c r="E65" s="3" t="s">
        <v>142</v>
      </c>
      <c r="F65" s="4" t="n">
        <v>25500</v>
      </c>
      <c r="G65" s="3" t="n">
        <v>2024</v>
      </c>
    </row>
    <row r="66" customFormat="false" ht="12.8" hidden="false" customHeight="false" outlineLevel="0" collapsed="false">
      <c r="A66" s="3"/>
      <c r="B66" s="3" t="s">
        <v>12</v>
      </c>
      <c r="C66" s="3" t="s">
        <v>143</v>
      </c>
      <c r="D66" s="3"/>
      <c r="E66" s="3" t="s">
        <v>144</v>
      </c>
      <c r="F66" s="4" t="n">
        <v>25430.74</v>
      </c>
      <c r="G66" s="3" t="n">
        <v>2023</v>
      </c>
    </row>
    <row r="67" customFormat="false" ht="12.8" hidden="false" customHeight="false" outlineLevel="0" collapsed="false">
      <c r="A67" s="3"/>
      <c r="B67" s="3" t="s">
        <v>12</v>
      </c>
      <c r="C67" s="3" t="s">
        <v>145</v>
      </c>
      <c r="D67" s="3"/>
      <c r="E67" s="3" t="s">
        <v>146</v>
      </c>
      <c r="F67" s="4" t="n">
        <v>19776.95</v>
      </c>
      <c r="G67" s="3" t="n">
        <v>2023</v>
      </c>
    </row>
    <row r="68" customFormat="false" ht="12.8" hidden="false" customHeight="false" outlineLevel="0" collapsed="false">
      <c r="A68" s="3"/>
      <c r="B68" s="3" t="s">
        <v>6</v>
      </c>
      <c r="C68" s="3" t="s">
        <v>147</v>
      </c>
      <c r="D68" s="3"/>
      <c r="E68" s="3" t="s">
        <v>148</v>
      </c>
      <c r="F68" s="4" t="n">
        <v>18071.23</v>
      </c>
      <c r="G68" s="3" t="n">
        <v>2024</v>
      </c>
    </row>
    <row r="69" customFormat="false" ht="12.8" hidden="false" customHeight="false" outlineLevel="0" collapsed="false">
      <c r="A69" s="3"/>
      <c r="B69" s="3" t="s">
        <v>9</v>
      </c>
      <c r="C69" s="3" t="s">
        <v>149</v>
      </c>
      <c r="D69" s="3"/>
      <c r="E69" s="3" t="s">
        <v>150</v>
      </c>
      <c r="F69" s="4" t="n">
        <v>17077.2</v>
      </c>
      <c r="G69" s="3" t="n">
        <v>2024</v>
      </c>
    </row>
    <row r="70" customFormat="false" ht="12.8" hidden="false" customHeight="false" outlineLevel="0" collapsed="false">
      <c r="A70" s="3"/>
      <c r="B70" s="3" t="s">
        <v>9</v>
      </c>
      <c r="C70" s="3" t="s">
        <v>151</v>
      </c>
      <c r="D70" s="3"/>
      <c r="E70" s="3" t="s">
        <v>152</v>
      </c>
      <c r="F70" s="4" t="n">
        <v>16780.14</v>
      </c>
      <c r="G70" s="3" t="n">
        <v>2024</v>
      </c>
    </row>
    <row r="71" customFormat="false" ht="12.8" hidden="false" customHeight="false" outlineLevel="0" collapsed="false">
      <c r="A71" s="3"/>
      <c r="B71" s="3" t="s">
        <v>6</v>
      </c>
      <c r="C71" s="3" t="s">
        <v>153</v>
      </c>
      <c r="D71" s="3"/>
      <c r="E71" s="3" t="s">
        <v>154</v>
      </c>
      <c r="F71" s="4" t="n">
        <v>16519.76</v>
      </c>
      <c r="G71" s="3" t="n">
        <v>2023</v>
      </c>
    </row>
    <row r="72" customFormat="false" ht="12.8" hidden="false" customHeight="false" outlineLevel="0" collapsed="false">
      <c r="A72" s="3"/>
      <c r="B72" s="3" t="s">
        <v>6</v>
      </c>
      <c r="C72" s="3" t="s">
        <v>155</v>
      </c>
      <c r="D72" s="3"/>
      <c r="E72" s="3" t="s">
        <v>156</v>
      </c>
      <c r="F72" s="4" t="n">
        <v>15701.26</v>
      </c>
      <c r="G72" s="3" t="n">
        <v>2023</v>
      </c>
    </row>
    <row r="73" customFormat="false" ht="12.8" hidden="false" customHeight="false" outlineLevel="0" collapsed="false">
      <c r="A73" s="3"/>
      <c r="B73" s="3" t="s">
        <v>12</v>
      </c>
      <c r="C73" s="3" t="s">
        <v>157</v>
      </c>
      <c r="D73" s="3"/>
      <c r="E73" s="3" t="s">
        <v>158</v>
      </c>
      <c r="F73" s="4" t="n">
        <v>14955.59</v>
      </c>
      <c r="G73" s="3" t="n">
        <v>2024</v>
      </c>
    </row>
    <row r="74" customFormat="false" ht="12.8" hidden="false" customHeight="false" outlineLevel="0" collapsed="false">
      <c r="A74" s="3"/>
      <c r="B74" s="3" t="s">
        <v>6</v>
      </c>
      <c r="C74" s="3" t="s">
        <v>159</v>
      </c>
      <c r="D74" s="3"/>
      <c r="E74" s="3" t="s">
        <v>160</v>
      </c>
      <c r="F74" s="4" t="n">
        <v>14898.57</v>
      </c>
      <c r="G74" s="3" t="n">
        <v>2024</v>
      </c>
    </row>
    <row r="75" customFormat="false" ht="12.8" hidden="false" customHeight="false" outlineLevel="0" collapsed="false">
      <c r="A75" s="3"/>
      <c r="B75" s="3" t="s">
        <v>6</v>
      </c>
      <c r="C75" s="3" t="s">
        <v>161</v>
      </c>
      <c r="D75" s="3"/>
      <c r="E75" s="3" t="s">
        <v>162</v>
      </c>
      <c r="F75" s="4" t="n">
        <v>14587.85</v>
      </c>
      <c r="G75" s="3" t="n">
        <v>2024</v>
      </c>
    </row>
    <row r="76" customFormat="false" ht="12.8" hidden="false" customHeight="false" outlineLevel="0" collapsed="false">
      <c r="A76" s="3"/>
      <c r="B76" s="3" t="s">
        <v>9</v>
      </c>
      <c r="C76" s="3" t="s">
        <v>163</v>
      </c>
      <c r="D76" s="3"/>
      <c r="E76" s="3" t="s">
        <v>164</v>
      </c>
      <c r="F76" s="4" t="n">
        <v>12955.49</v>
      </c>
      <c r="G76" s="3" t="n">
        <v>2024</v>
      </c>
    </row>
    <row r="77" customFormat="false" ht="12.8" hidden="false" customHeight="false" outlineLevel="0" collapsed="false">
      <c r="A77" s="3"/>
      <c r="B77" s="3" t="s">
        <v>12</v>
      </c>
      <c r="C77" s="3" t="s">
        <v>165</v>
      </c>
      <c r="D77" s="3"/>
      <c r="E77" s="3" t="s">
        <v>166</v>
      </c>
      <c r="F77" s="4" t="n">
        <v>12091.97</v>
      </c>
      <c r="G77" s="3" t="n">
        <v>2024</v>
      </c>
    </row>
    <row r="78" customFormat="false" ht="12.8" hidden="false" customHeight="false" outlineLevel="0" collapsed="false">
      <c r="A78" s="3"/>
      <c r="B78" s="3" t="s">
        <v>6</v>
      </c>
      <c r="C78" s="3" t="s">
        <v>167</v>
      </c>
      <c r="D78" s="3"/>
      <c r="E78" s="3" t="s">
        <v>168</v>
      </c>
      <c r="F78" s="4" t="n">
        <v>11850.4</v>
      </c>
      <c r="G78" s="3" t="n">
        <v>2024</v>
      </c>
    </row>
    <row r="79" customFormat="false" ht="12.8" hidden="false" customHeight="false" outlineLevel="0" collapsed="false">
      <c r="A79" s="3"/>
      <c r="B79" s="3" t="s">
        <v>6</v>
      </c>
      <c r="C79" s="3" t="s">
        <v>169</v>
      </c>
      <c r="D79" s="3"/>
      <c r="E79" s="3" t="s">
        <v>170</v>
      </c>
      <c r="F79" s="4" t="n">
        <v>11461.62</v>
      </c>
      <c r="G79" s="3" t="n">
        <v>2024</v>
      </c>
    </row>
    <row r="80" customFormat="false" ht="12.8" hidden="false" customHeight="false" outlineLevel="0" collapsed="false">
      <c r="A80" s="3"/>
      <c r="B80" s="3" t="s">
        <v>6</v>
      </c>
      <c r="C80" s="3" t="s">
        <v>171</v>
      </c>
      <c r="D80" s="3"/>
      <c r="E80" s="3" t="s">
        <v>172</v>
      </c>
      <c r="F80" s="4" t="n">
        <v>9824.12</v>
      </c>
      <c r="G80" s="3" t="n">
        <v>2024</v>
      </c>
    </row>
    <row r="81" customFormat="false" ht="12.8" hidden="false" customHeight="false" outlineLevel="0" collapsed="false">
      <c r="A81" s="3"/>
      <c r="B81" s="3" t="s">
        <v>6</v>
      </c>
      <c r="C81" s="3" t="s">
        <v>173</v>
      </c>
      <c r="D81" s="3"/>
      <c r="E81" s="3" t="s">
        <v>174</v>
      </c>
      <c r="F81" s="4" t="n">
        <v>9500</v>
      </c>
      <c r="G81" s="3" t="n">
        <v>2024</v>
      </c>
    </row>
    <row r="82" customFormat="false" ht="12.8" hidden="false" customHeight="false" outlineLevel="0" collapsed="false">
      <c r="A82" s="3"/>
      <c r="B82" s="3" t="s">
        <v>9</v>
      </c>
      <c r="C82" s="3" t="s">
        <v>175</v>
      </c>
      <c r="D82" s="3"/>
      <c r="E82" s="3" t="s">
        <v>176</v>
      </c>
      <c r="F82" s="4" t="n">
        <v>8763.9</v>
      </c>
      <c r="G82" s="3" t="n">
        <v>2021</v>
      </c>
    </row>
    <row r="83" customFormat="false" ht="12.8" hidden="false" customHeight="false" outlineLevel="0" collapsed="false">
      <c r="A83" s="3"/>
      <c r="B83" s="3" t="s">
        <v>12</v>
      </c>
      <c r="C83" s="3" t="s">
        <v>177</v>
      </c>
      <c r="D83" s="3"/>
      <c r="E83" s="3" t="s">
        <v>178</v>
      </c>
      <c r="F83" s="4" t="n">
        <v>8334.15</v>
      </c>
      <c r="G83" s="3" t="n">
        <v>2023</v>
      </c>
    </row>
    <row r="84" customFormat="false" ht="12.8" hidden="false" customHeight="false" outlineLevel="0" collapsed="false">
      <c r="A84" s="3"/>
      <c r="B84" s="3" t="s">
        <v>12</v>
      </c>
      <c r="C84" s="3" t="s">
        <v>179</v>
      </c>
      <c r="D84" s="3"/>
      <c r="E84" s="3" t="s">
        <v>180</v>
      </c>
      <c r="F84" s="4" t="n">
        <v>8075.48</v>
      </c>
      <c r="G84" s="3" t="n">
        <v>2024</v>
      </c>
    </row>
    <row r="85" customFormat="false" ht="12.8" hidden="false" customHeight="false" outlineLevel="0" collapsed="false">
      <c r="A85" s="3"/>
      <c r="B85" s="3" t="s">
        <v>9</v>
      </c>
      <c r="C85" s="3" t="s">
        <v>181</v>
      </c>
      <c r="D85" s="3"/>
      <c r="E85" s="3" t="s">
        <v>182</v>
      </c>
      <c r="F85" s="4" t="n">
        <v>7992.66</v>
      </c>
      <c r="G85" s="3" t="n">
        <v>2022</v>
      </c>
    </row>
    <row r="86" customFormat="false" ht="12.8" hidden="false" customHeight="false" outlineLevel="0" collapsed="false">
      <c r="A86" s="3"/>
      <c r="B86" s="3" t="s">
        <v>6</v>
      </c>
      <c r="C86" s="3" t="s">
        <v>183</v>
      </c>
      <c r="D86" s="3"/>
      <c r="E86" s="3" t="s">
        <v>184</v>
      </c>
      <c r="F86" s="4" t="n">
        <v>7618.35</v>
      </c>
      <c r="G86" s="3" t="n">
        <v>2024</v>
      </c>
    </row>
    <row r="87" customFormat="false" ht="12.8" hidden="false" customHeight="false" outlineLevel="0" collapsed="false">
      <c r="A87" s="3"/>
      <c r="B87" s="3" t="s">
        <v>9</v>
      </c>
      <c r="C87" s="3" t="s">
        <v>185</v>
      </c>
      <c r="D87" s="3"/>
      <c r="E87" s="3" t="s">
        <v>186</v>
      </c>
      <c r="F87" s="4" t="n">
        <v>7223.08</v>
      </c>
      <c r="G87" s="3" t="n">
        <v>2024</v>
      </c>
    </row>
    <row r="88" customFormat="false" ht="12.8" hidden="false" customHeight="false" outlineLevel="0" collapsed="false">
      <c r="A88" s="3"/>
      <c r="B88" s="3" t="s">
        <v>6</v>
      </c>
      <c r="C88" s="3" t="s">
        <v>187</v>
      </c>
      <c r="D88" s="3"/>
      <c r="E88" s="3" t="s">
        <v>188</v>
      </c>
      <c r="F88" s="4" t="n">
        <v>7041.24</v>
      </c>
      <c r="G88" s="3" t="n">
        <v>2023</v>
      </c>
    </row>
    <row r="89" customFormat="false" ht="12.8" hidden="false" customHeight="false" outlineLevel="0" collapsed="false">
      <c r="A89" s="3"/>
      <c r="B89" s="3" t="s">
        <v>9</v>
      </c>
      <c r="C89" s="3" t="s">
        <v>189</v>
      </c>
      <c r="D89" s="3"/>
      <c r="E89" s="3" t="s">
        <v>190</v>
      </c>
      <c r="F89" s="4" t="n">
        <v>7008.26</v>
      </c>
      <c r="G89" s="3" t="n">
        <v>2024</v>
      </c>
    </row>
    <row r="90" customFormat="false" ht="12.8" hidden="false" customHeight="false" outlineLevel="0" collapsed="false">
      <c r="A90" s="3"/>
      <c r="B90" s="3" t="s">
        <v>59</v>
      </c>
      <c r="C90" s="3" t="s">
        <v>191</v>
      </c>
      <c r="D90" s="3"/>
      <c r="E90" s="3" t="s">
        <v>192</v>
      </c>
      <c r="F90" s="4" t="n">
        <v>7000</v>
      </c>
      <c r="G90" s="3" t="n">
        <v>2024</v>
      </c>
    </row>
    <row r="91" customFormat="false" ht="12.8" hidden="false" customHeight="false" outlineLevel="0" collapsed="false">
      <c r="A91" s="3"/>
      <c r="B91" s="3" t="s">
        <v>6</v>
      </c>
      <c r="C91" s="3" t="s">
        <v>193</v>
      </c>
      <c r="D91" s="3"/>
      <c r="E91" s="3" t="s">
        <v>194</v>
      </c>
      <c r="F91" s="4" t="n">
        <v>6969.79</v>
      </c>
      <c r="G91" s="3" t="n">
        <v>2024</v>
      </c>
    </row>
    <row r="92" customFormat="false" ht="12.8" hidden="false" customHeight="false" outlineLevel="0" collapsed="false">
      <c r="A92" s="3"/>
      <c r="B92" s="3" t="s">
        <v>6</v>
      </c>
      <c r="C92" s="3" t="s">
        <v>195</v>
      </c>
      <c r="D92" s="3"/>
      <c r="E92" s="3" t="s">
        <v>196</v>
      </c>
      <c r="F92" s="4" t="n">
        <v>6779.01</v>
      </c>
      <c r="G92" s="3" t="n">
        <v>2023</v>
      </c>
    </row>
    <row r="93" customFormat="false" ht="12.8" hidden="false" customHeight="false" outlineLevel="0" collapsed="false">
      <c r="A93" s="3"/>
      <c r="B93" s="3" t="s">
        <v>6</v>
      </c>
      <c r="C93" s="3" t="s">
        <v>197</v>
      </c>
      <c r="D93" s="3"/>
      <c r="E93" s="3" t="s">
        <v>198</v>
      </c>
      <c r="F93" s="4" t="n">
        <v>6759</v>
      </c>
      <c r="G93" s="3" t="n">
        <v>2024</v>
      </c>
    </row>
    <row r="94" customFormat="false" ht="12.8" hidden="false" customHeight="false" outlineLevel="0" collapsed="false">
      <c r="A94" s="3"/>
      <c r="B94" s="3" t="s">
        <v>6</v>
      </c>
      <c r="C94" s="3" t="s">
        <v>199</v>
      </c>
      <c r="D94" s="3"/>
      <c r="E94" s="3" t="s">
        <v>200</v>
      </c>
      <c r="F94" s="4" t="n">
        <v>6532.98</v>
      </c>
      <c r="G94" s="3" t="n">
        <v>2024</v>
      </c>
    </row>
    <row r="95" customFormat="false" ht="12.8" hidden="false" customHeight="false" outlineLevel="0" collapsed="false">
      <c r="A95" s="3"/>
      <c r="B95" s="3" t="s">
        <v>6</v>
      </c>
      <c r="C95" s="3" t="s">
        <v>201</v>
      </c>
      <c r="D95" s="3"/>
      <c r="E95" s="3" t="s">
        <v>202</v>
      </c>
      <c r="F95" s="4" t="n">
        <v>6305.99</v>
      </c>
      <c r="G95" s="3" t="n">
        <v>2023</v>
      </c>
    </row>
    <row r="96" customFormat="false" ht="12.8" hidden="false" customHeight="false" outlineLevel="0" collapsed="false">
      <c r="A96" s="3"/>
      <c r="B96" s="3" t="s">
        <v>6</v>
      </c>
      <c r="C96" s="3" t="s">
        <v>203</v>
      </c>
      <c r="D96" s="3"/>
      <c r="E96" s="3" t="s">
        <v>204</v>
      </c>
      <c r="F96" s="4" t="n">
        <v>6305</v>
      </c>
      <c r="G96" s="3" t="n">
        <v>2024</v>
      </c>
    </row>
    <row r="97" customFormat="false" ht="12.8" hidden="false" customHeight="false" outlineLevel="0" collapsed="false">
      <c r="A97" s="3"/>
      <c r="B97" s="3" t="s">
        <v>9</v>
      </c>
      <c r="C97" s="3" t="s">
        <v>205</v>
      </c>
      <c r="D97" s="3"/>
      <c r="E97" s="3" t="s">
        <v>206</v>
      </c>
      <c r="F97" s="4" t="n">
        <v>6192.35</v>
      </c>
      <c r="G97" s="3" t="n">
        <v>2024</v>
      </c>
    </row>
    <row r="98" customFormat="false" ht="12.8" hidden="false" customHeight="false" outlineLevel="0" collapsed="false">
      <c r="A98" s="3"/>
      <c r="B98" s="3" t="s">
        <v>6</v>
      </c>
      <c r="C98" s="3" t="s">
        <v>207</v>
      </c>
      <c r="D98" s="3"/>
      <c r="E98" s="3" t="s">
        <v>208</v>
      </c>
      <c r="F98" s="4" t="n">
        <v>5811.01</v>
      </c>
      <c r="G98" s="3" t="n">
        <v>2024</v>
      </c>
    </row>
    <row r="99" customFormat="false" ht="12.8" hidden="false" customHeight="false" outlineLevel="0" collapsed="false">
      <c r="A99" s="3"/>
      <c r="B99" s="3" t="s">
        <v>6</v>
      </c>
      <c r="C99" s="3" t="s">
        <v>209</v>
      </c>
      <c r="D99" s="3"/>
      <c r="E99" s="3" t="s">
        <v>210</v>
      </c>
      <c r="F99" s="4" t="n">
        <v>5722.66</v>
      </c>
      <c r="G99" s="3" t="n">
        <v>2023</v>
      </c>
    </row>
    <row r="100" customFormat="false" ht="12.8" hidden="false" customHeight="false" outlineLevel="0" collapsed="false">
      <c r="A100" s="3"/>
      <c r="B100" s="3" t="s">
        <v>115</v>
      </c>
      <c r="C100" s="3" t="s">
        <v>211</v>
      </c>
      <c r="D100" s="3"/>
      <c r="E100" s="3" t="s">
        <v>212</v>
      </c>
      <c r="F100" s="4" t="n">
        <v>4048.21</v>
      </c>
      <c r="G100" s="3" t="n">
        <v>2023</v>
      </c>
    </row>
    <row r="101" customFormat="false" ht="12.8" hidden="false" customHeight="false" outlineLevel="0" collapsed="false">
      <c r="A101" s="3"/>
      <c r="B101" s="3" t="s">
        <v>6</v>
      </c>
      <c r="C101" s="3" t="s">
        <v>213</v>
      </c>
      <c r="D101" s="3"/>
      <c r="E101" s="3" t="s">
        <v>214</v>
      </c>
      <c r="F101" s="4" t="n">
        <v>3933</v>
      </c>
      <c r="G101" s="3" t="n">
        <v>2024</v>
      </c>
    </row>
    <row r="102" customFormat="false" ht="12.8" hidden="false" customHeight="false" outlineLevel="0" collapsed="false">
      <c r="A102" s="3"/>
      <c r="B102" s="3" t="s">
        <v>12</v>
      </c>
      <c r="C102" s="3" t="s">
        <v>215</v>
      </c>
      <c r="D102" s="3"/>
      <c r="E102" s="3" t="s">
        <v>216</v>
      </c>
      <c r="F102" s="4" t="n">
        <v>3923.15</v>
      </c>
      <c r="G102" s="3" t="n">
        <v>2024</v>
      </c>
    </row>
    <row r="103" customFormat="false" ht="12.8" hidden="false" customHeight="false" outlineLevel="0" collapsed="false">
      <c r="A103" s="3"/>
      <c r="B103" s="3" t="s">
        <v>6</v>
      </c>
      <c r="C103" s="3" t="s">
        <v>217</v>
      </c>
      <c r="D103" s="3"/>
      <c r="E103" s="3" t="s">
        <v>218</v>
      </c>
      <c r="F103" s="4" t="n">
        <v>3800.57</v>
      </c>
      <c r="G103" s="3" t="n">
        <v>2024</v>
      </c>
    </row>
    <row r="104" customFormat="false" ht="12.8" hidden="false" customHeight="false" outlineLevel="0" collapsed="false">
      <c r="A104" s="3"/>
      <c r="B104" s="3" t="s">
        <v>9</v>
      </c>
      <c r="C104" s="3" t="s">
        <v>219</v>
      </c>
      <c r="D104" s="3"/>
      <c r="E104" s="3" t="s">
        <v>220</v>
      </c>
      <c r="F104" s="4" t="n">
        <v>3749.08</v>
      </c>
      <c r="G104" s="3" t="n">
        <v>2024</v>
      </c>
    </row>
    <row r="105" customFormat="false" ht="12.8" hidden="false" customHeight="false" outlineLevel="0" collapsed="false">
      <c r="A105" s="3"/>
      <c r="B105" s="3" t="s">
        <v>12</v>
      </c>
      <c r="C105" s="3" t="s">
        <v>221</v>
      </c>
      <c r="D105" s="3"/>
      <c r="E105" s="3" t="s">
        <v>222</v>
      </c>
      <c r="F105" s="4" t="n">
        <v>3735.29</v>
      </c>
      <c r="G105" s="3" t="n">
        <v>2024</v>
      </c>
    </row>
    <row r="106" customFormat="false" ht="12.8" hidden="false" customHeight="false" outlineLevel="0" collapsed="false">
      <c r="A106" s="3"/>
      <c r="B106" s="3" t="s">
        <v>6</v>
      </c>
      <c r="C106" s="3" t="s">
        <v>223</v>
      </c>
      <c r="D106" s="3"/>
      <c r="E106" s="3" t="s">
        <v>224</v>
      </c>
      <c r="F106" s="4" t="n">
        <v>3575.24</v>
      </c>
      <c r="G106" s="3" t="n">
        <v>2024</v>
      </c>
    </row>
    <row r="107" customFormat="false" ht="12.8" hidden="false" customHeight="false" outlineLevel="0" collapsed="false">
      <c r="A107" s="3"/>
      <c r="B107" s="3" t="s">
        <v>6</v>
      </c>
      <c r="C107" s="3" t="s">
        <v>225</v>
      </c>
      <c r="D107" s="3"/>
      <c r="E107" s="3" t="s">
        <v>226</v>
      </c>
      <c r="F107" s="4" t="n">
        <v>3421.41</v>
      </c>
      <c r="G107" s="3" t="n">
        <v>2024</v>
      </c>
    </row>
    <row r="108" customFormat="false" ht="12.8" hidden="false" customHeight="false" outlineLevel="0" collapsed="false">
      <c r="A108" s="3"/>
      <c r="B108" s="3" t="s">
        <v>9</v>
      </c>
      <c r="C108" s="3" t="s">
        <v>227</v>
      </c>
      <c r="D108" s="3"/>
      <c r="E108" s="3" t="s">
        <v>228</v>
      </c>
      <c r="F108" s="4" t="n">
        <v>3028.42</v>
      </c>
      <c r="G108" s="3" t="n">
        <v>2024</v>
      </c>
    </row>
    <row r="109" customFormat="false" ht="12.8" hidden="false" customHeight="false" outlineLevel="0" collapsed="false">
      <c r="A109" s="3"/>
      <c r="B109" s="3" t="s">
        <v>12</v>
      </c>
      <c r="C109" s="3" t="s">
        <v>229</v>
      </c>
      <c r="D109" s="3"/>
      <c r="E109" s="3" t="s">
        <v>230</v>
      </c>
      <c r="F109" s="4" t="n">
        <v>2797.8</v>
      </c>
      <c r="G109" s="3" t="n">
        <v>2024</v>
      </c>
    </row>
    <row r="110" customFormat="false" ht="12.8" hidden="false" customHeight="false" outlineLevel="0" collapsed="false">
      <c r="A110" s="3"/>
      <c r="B110" s="3" t="s">
        <v>9</v>
      </c>
      <c r="C110" s="3" t="s">
        <v>231</v>
      </c>
      <c r="D110" s="3"/>
      <c r="E110" s="3" t="s">
        <v>232</v>
      </c>
      <c r="F110" s="4" t="n">
        <v>2752.22</v>
      </c>
      <c r="G110" s="3" t="n">
        <v>2022</v>
      </c>
    </row>
    <row r="111" customFormat="false" ht="12.8" hidden="false" customHeight="false" outlineLevel="0" collapsed="false">
      <c r="A111" s="3"/>
      <c r="B111" s="3" t="s">
        <v>6</v>
      </c>
      <c r="C111" s="3" t="s">
        <v>233</v>
      </c>
      <c r="D111" s="3"/>
      <c r="E111" s="3" t="s">
        <v>234</v>
      </c>
      <c r="F111" s="4" t="n">
        <v>2310.34</v>
      </c>
      <c r="G111" s="3" t="n">
        <v>2024</v>
      </c>
    </row>
    <row r="112" customFormat="false" ht="12.8" hidden="false" customHeight="false" outlineLevel="0" collapsed="false">
      <c r="A112" s="3"/>
      <c r="B112" s="3" t="s">
        <v>12</v>
      </c>
      <c r="C112" s="3" t="s">
        <v>235</v>
      </c>
      <c r="D112" s="3"/>
      <c r="E112" s="3" t="s">
        <v>236</v>
      </c>
      <c r="F112" s="4" t="n">
        <v>2033.4</v>
      </c>
      <c r="G112" s="3" t="n">
        <v>2024</v>
      </c>
    </row>
    <row r="113" customFormat="false" ht="12.8" hidden="false" customHeight="false" outlineLevel="0" collapsed="false">
      <c r="A113" s="3"/>
      <c r="B113" s="3" t="s">
        <v>6</v>
      </c>
      <c r="C113" s="3" t="s">
        <v>237</v>
      </c>
      <c r="D113" s="3"/>
      <c r="E113" s="3" t="s">
        <v>238</v>
      </c>
      <c r="F113" s="4" t="n">
        <v>2000</v>
      </c>
      <c r="G113" s="3" t="n">
        <v>2024</v>
      </c>
    </row>
    <row r="114" customFormat="false" ht="12.8" hidden="false" customHeight="false" outlineLevel="0" collapsed="false">
      <c r="A114" s="3"/>
      <c r="B114" s="3" t="s">
        <v>134</v>
      </c>
      <c r="C114" s="3" t="s">
        <v>239</v>
      </c>
      <c r="D114" s="3"/>
      <c r="E114" s="3" t="s">
        <v>240</v>
      </c>
      <c r="F114" s="4" t="n">
        <v>1933.29</v>
      </c>
      <c r="G114" s="3" t="n">
        <v>2024</v>
      </c>
    </row>
    <row r="115" customFormat="false" ht="12.8" hidden="false" customHeight="false" outlineLevel="0" collapsed="false">
      <c r="A115" s="3"/>
      <c r="B115" s="3" t="s">
        <v>134</v>
      </c>
      <c r="C115" s="3" t="s">
        <v>241</v>
      </c>
      <c r="D115" s="3" t="s">
        <v>242</v>
      </c>
      <c r="E115" s="3" t="s">
        <v>243</v>
      </c>
      <c r="F115" s="4" t="n">
        <v>1903.92</v>
      </c>
      <c r="G115" s="3" t="n">
        <v>2024</v>
      </c>
    </row>
    <row r="116" customFormat="false" ht="12.8" hidden="false" customHeight="false" outlineLevel="0" collapsed="false">
      <c r="A116" s="3"/>
      <c r="B116" s="3" t="s">
        <v>6</v>
      </c>
      <c r="C116" s="3" t="s">
        <v>244</v>
      </c>
      <c r="D116" s="3"/>
      <c r="E116" s="3" t="s">
        <v>245</v>
      </c>
      <c r="F116" s="4" t="n">
        <v>1902.48</v>
      </c>
      <c r="G116" s="3" t="n">
        <v>2024</v>
      </c>
    </row>
    <row r="117" customFormat="false" ht="12.8" hidden="false" customHeight="false" outlineLevel="0" collapsed="false">
      <c r="A117" s="3"/>
      <c r="B117" s="3" t="s">
        <v>9</v>
      </c>
      <c r="C117" s="3" t="s">
        <v>246</v>
      </c>
      <c r="D117" s="3"/>
      <c r="E117" s="3" t="s">
        <v>247</v>
      </c>
      <c r="F117" s="4" t="n">
        <v>1886.89</v>
      </c>
      <c r="G117" s="3" t="n">
        <v>2024</v>
      </c>
    </row>
    <row r="118" customFormat="false" ht="12.8" hidden="false" customHeight="false" outlineLevel="0" collapsed="false">
      <c r="A118" s="3"/>
      <c r="B118" s="3" t="s">
        <v>12</v>
      </c>
      <c r="C118" s="3" t="s">
        <v>248</v>
      </c>
      <c r="D118" s="3"/>
      <c r="E118" s="3" t="s">
        <v>249</v>
      </c>
      <c r="F118" s="4" t="n">
        <v>1833.8</v>
      </c>
      <c r="G118" s="3" t="n">
        <v>2024</v>
      </c>
    </row>
    <row r="119" customFormat="false" ht="12.8" hidden="false" customHeight="false" outlineLevel="0" collapsed="false">
      <c r="A119" s="3"/>
      <c r="B119" s="3" t="s">
        <v>9</v>
      </c>
      <c r="C119" s="3" t="s">
        <v>250</v>
      </c>
      <c r="D119" s="3"/>
      <c r="E119" s="3" t="s">
        <v>251</v>
      </c>
      <c r="F119" s="4" t="n">
        <v>1795.56</v>
      </c>
      <c r="G119" s="3" t="n">
        <v>2024</v>
      </c>
    </row>
    <row r="120" customFormat="false" ht="12.8" hidden="false" customHeight="false" outlineLevel="0" collapsed="false">
      <c r="A120" s="3"/>
      <c r="B120" s="3" t="s">
        <v>12</v>
      </c>
      <c r="C120" s="3" t="s">
        <v>252</v>
      </c>
      <c r="D120" s="3"/>
      <c r="E120" s="3" t="s">
        <v>253</v>
      </c>
      <c r="F120" s="4" t="n">
        <v>1750</v>
      </c>
      <c r="G120" s="3" t="n">
        <v>2024</v>
      </c>
    </row>
    <row r="121" customFormat="false" ht="12.8" hidden="false" customHeight="false" outlineLevel="0" collapsed="false">
      <c r="A121" s="3"/>
      <c r="B121" s="3" t="s">
        <v>134</v>
      </c>
      <c r="C121" s="3" t="s">
        <v>254</v>
      </c>
      <c r="D121" s="3"/>
      <c r="E121" s="3" t="s">
        <v>255</v>
      </c>
      <c r="F121" s="4" t="n">
        <v>1713.7</v>
      </c>
      <c r="G121" s="3" t="n">
        <v>2024</v>
      </c>
    </row>
    <row r="122" customFormat="false" ht="12.8" hidden="false" customHeight="false" outlineLevel="0" collapsed="false">
      <c r="A122" s="3"/>
      <c r="B122" s="3" t="s">
        <v>6</v>
      </c>
      <c r="C122" s="3" t="s">
        <v>256</v>
      </c>
      <c r="D122" s="3"/>
      <c r="E122" s="3" t="s">
        <v>257</v>
      </c>
      <c r="F122" s="4" t="n">
        <v>1566.32</v>
      </c>
      <c r="G122" s="3" t="n">
        <v>2023</v>
      </c>
    </row>
    <row r="123" customFormat="false" ht="12.8" hidden="false" customHeight="false" outlineLevel="0" collapsed="false">
      <c r="A123" s="3"/>
      <c r="B123" s="3" t="s">
        <v>6</v>
      </c>
      <c r="C123" s="3" t="s">
        <v>258</v>
      </c>
      <c r="D123" s="3"/>
      <c r="E123" s="3" t="s">
        <v>259</v>
      </c>
      <c r="F123" s="4" t="n">
        <v>1488.07</v>
      </c>
      <c r="G123" s="3" t="n">
        <v>2024</v>
      </c>
    </row>
    <row r="124" customFormat="false" ht="12.8" hidden="false" customHeight="false" outlineLevel="0" collapsed="false">
      <c r="A124" s="3"/>
      <c r="B124" s="3" t="s">
        <v>9</v>
      </c>
      <c r="C124" s="3" t="s">
        <v>260</v>
      </c>
      <c r="D124" s="3"/>
      <c r="E124" s="3" t="s">
        <v>261</v>
      </c>
      <c r="F124" s="4" t="n">
        <v>1464.16</v>
      </c>
      <c r="G124" s="3" t="n">
        <v>2021</v>
      </c>
    </row>
    <row r="125" customFormat="false" ht="12.8" hidden="false" customHeight="false" outlineLevel="0" collapsed="false">
      <c r="A125" s="3"/>
      <c r="B125" s="3" t="s">
        <v>12</v>
      </c>
      <c r="C125" s="3" t="s">
        <v>262</v>
      </c>
      <c r="D125" s="3"/>
      <c r="E125" s="3" t="s">
        <v>263</v>
      </c>
      <c r="F125" s="4" t="n">
        <v>1429</v>
      </c>
      <c r="G125" s="3" t="n">
        <v>2024</v>
      </c>
    </row>
    <row r="126" customFormat="false" ht="12.8" hidden="false" customHeight="false" outlineLevel="0" collapsed="false">
      <c r="A126" s="3"/>
      <c r="B126" s="3" t="s">
        <v>9</v>
      </c>
      <c r="C126" s="3" t="s">
        <v>264</v>
      </c>
      <c r="D126" s="3"/>
      <c r="E126" s="3" t="s">
        <v>265</v>
      </c>
      <c r="F126" s="4" t="n">
        <v>1387</v>
      </c>
      <c r="G126" s="3" t="n">
        <v>2024</v>
      </c>
    </row>
    <row r="127" customFormat="false" ht="12.8" hidden="false" customHeight="false" outlineLevel="0" collapsed="false">
      <c r="A127" s="3"/>
      <c r="B127" s="3" t="s">
        <v>115</v>
      </c>
      <c r="C127" s="3" t="s">
        <v>266</v>
      </c>
      <c r="D127" s="3"/>
      <c r="E127" s="3" t="s">
        <v>267</v>
      </c>
      <c r="F127" s="4" t="n">
        <v>1330</v>
      </c>
      <c r="G127" s="3" t="n">
        <v>2024</v>
      </c>
    </row>
    <row r="128" customFormat="false" ht="12.8" hidden="false" customHeight="false" outlineLevel="0" collapsed="false">
      <c r="A128" s="3"/>
      <c r="B128" s="3" t="s">
        <v>6</v>
      </c>
      <c r="C128" s="3" t="s">
        <v>268</v>
      </c>
      <c r="D128" s="3"/>
      <c r="E128" s="3" t="s">
        <v>269</v>
      </c>
      <c r="F128" s="4" t="n">
        <v>1320</v>
      </c>
      <c r="G128" s="3" t="n">
        <v>2024</v>
      </c>
    </row>
    <row r="129" customFormat="false" ht="12.8" hidden="false" customHeight="false" outlineLevel="0" collapsed="false">
      <c r="A129" s="3"/>
      <c r="B129" s="3" t="s">
        <v>134</v>
      </c>
      <c r="C129" s="3" t="s">
        <v>270</v>
      </c>
      <c r="D129" s="3"/>
      <c r="E129" s="3" t="s">
        <v>271</v>
      </c>
      <c r="F129" s="4" t="n">
        <v>1220.14</v>
      </c>
      <c r="G129" s="3" t="n">
        <v>2024</v>
      </c>
    </row>
    <row r="130" customFormat="false" ht="12.8" hidden="false" customHeight="false" outlineLevel="0" collapsed="false">
      <c r="A130" s="3"/>
      <c r="B130" s="3" t="s">
        <v>6</v>
      </c>
      <c r="C130" s="3" t="s">
        <v>272</v>
      </c>
      <c r="D130" s="3"/>
      <c r="E130" s="3" t="s">
        <v>273</v>
      </c>
      <c r="F130" s="4" t="n">
        <v>1080</v>
      </c>
      <c r="G130" s="3" t="n">
        <v>2024</v>
      </c>
    </row>
    <row r="131" customFormat="false" ht="12.8" hidden="false" customHeight="false" outlineLevel="0" collapsed="false">
      <c r="A131" s="3"/>
      <c r="B131" s="3" t="s">
        <v>6</v>
      </c>
      <c r="C131" s="3" t="s">
        <v>274</v>
      </c>
      <c r="D131" s="3"/>
      <c r="E131" s="3" t="s">
        <v>275</v>
      </c>
      <c r="F131" s="4" t="n">
        <v>1072</v>
      </c>
      <c r="G131" s="3" t="n">
        <v>2024</v>
      </c>
    </row>
    <row r="132" customFormat="false" ht="12.8" hidden="false" customHeight="false" outlineLevel="0" collapsed="false">
      <c r="A132" s="3"/>
      <c r="B132" s="3" t="s">
        <v>6</v>
      </c>
      <c r="C132" s="3" t="s">
        <v>276</v>
      </c>
      <c r="D132" s="3"/>
      <c r="E132" s="3" t="s">
        <v>277</v>
      </c>
      <c r="F132" s="4" t="n">
        <v>950</v>
      </c>
      <c r="G132" s="3" t="n">
        <v>2024</v>
      </c>
    </row>
    <row r="133" customFormat="false" ht="12.8" hidden="false" customHeight="false" outlineLevel="0" collapsed="false">
      <c r="A133" s="3"/>
      <c r="B133" s="3" t="s">
        <v>6</v>
      </c>
      <c r="C133" s="3" t="s">
        <v>278</v>
      </c>
      <c r="D133" s="3"/>
      <c r="E133" s="3" t="s">
        <v>279</v>
      </c>
      <c r="F133" s="4" t="n">
        <v>796.98</v>
      </c>
      <c r="G133" s="3" t="n">
        <v>2024</v>
      </c>
    </row>
    <row r="134" customFormat="false" ht="12.8" hidden="false" customHeight="false" outlineLevel="0" collapsed="false">
      <c r="A134" s="3"/>
      <c r="B134" s="3" t="s">
        <v>6</v>
      </c>
      <c r="C134" s="3" t="s">
        <v>280</v>
      </c>
      <c r="D134" s="3"/>
      <c r="E134" s="3" t="s">
        <v>281</v>
      </c>
      <c r="F134" s="4" t="n">
        <v>658.56</v>
      </c>
      <c r="G134" s="3" t="n">
        <v>2024</v>
      </c>
    </row>
    <row r="135" customFormat="false" ht="12.8" hidden="false" customHeight="false" outlineLevel="0" collapsed="false">
      <c r="A135" s="3"/>
      <c r="B135" s="3" t="s">
        <v>6</v>
      </c>
      <c r="C135" s="3" t="s">
        <v>282</v>
      </c>
      <c r="D135" s="3"/>
      <c r="E135" s="3" t="s">
        <v>283</v>
      </c>
      <c r="F135" s="4" t="n">
        <v>621</v>
      </c>
      <c r="G135" s="3" t="n">
        <v>2024</v>
      </c>
    </row>
    <row r="136" customFormat="false" ht="12.8" hidden="false" customHeight="false" outlineLevel="0" collapsed="false">
      <c r="A136" s="3"/>
      <c r="B136" s="3" t="s">
        <v>6</v>
      </c>
      <c r="C136" s="3" t="s">
        <v>284</v>
      </c>
      <c r="D136" s="3"/>
      <c r="E136" s="3" t="s">
        <v>285</v>
      </c>
      <c r="F136" s="4" t="n">
        <v>620.56</v>
      </c>
      <c r="G136" s="3" t="n">
        <v>2024</v>
      </c>
    </row>
    <row r="137" customFormat="false" ht="12.8" hidden="false" customHeight="false" outlineLevel="0" collapsed="false">
      <c r="A137" s="3"/>
      <c r="B137" s="3" t="s">
        <v>6</v>
      </c>
      <c r="C137" s="3" t="s">
        <v>286</v>
      </c>
      <c r="D137" s="3"/>
      <c r="E137" s="3" t="s">
        <v>287</v>
      </c>
      <c r="F137" s="4" t="n">
        <v>535.55</v>
      </c>
      <c r="G137" s="3" t="n">
        <v>2024</v>
      </c>
    </row>
    <row r="138" customFormat="false" ht="12.8" hidden="false" customHeight="false" outlineLevel="0" collapsed="false">
      <c r="A138" s="3"/>
      <c r="B138" s="3" t="s">
        <v>115</v>
      </c>
      <c r="C138" s="3" t="s">
        <v>288</v>
      </c>
      <c r="D138" s="3"/>
      <c r="E138" s="3" t="s">
        <v>289</v>
      </c>
      <c r="F138" s="4" t="n">
        <v>527.62</v>
      </c>
      <c r="G138" s="3" t="n">
        <v>2024</v>
      </c>
    </row>
    <row r="139" customFormat="false" ht="12.8" hidden="false" customHeight="false" outlineLevel="0" collapsed="false">
      <c r="A139" s="3"/>
      <c r="B139" s="3" t="s">
        <v>12</v>
      </c>
      <c r="C139" s="3" t="s">
        <v>290</v>
      </c>
      <c r="D139" s="3"/>
      <c r="E139" s="3" t="s">
        <v>291</v>
      </c>
      <c r="F139" s="4" t="n">
        <v>518</v>
      </c>
      <c r="G139" s="3" t="n">
        <v>2024</v>
      </c>
    </row>
    <row r="140" customFormat="false" ht="12.8" hidden="false" customHeight="false" outlineLevel="0" collapsed="false">
      <c r="A140" s="3"/>
      <c r="B140" s="3" t="s">
        <v>115</v>
      </c>
      <c r="C140" s="3" t="s">
        <v>292</v>
      </c>
      <c r="D140" s="3" t="s">
        <v>242</v>
      </c>
      <c r="E140" s="3" t="s">
        <v>293</v>
      </c>
      <c r="F140" s="4" t="n">
        <v>503.5</v>
      </c>
      <c r="G140" s="3" t="n">
        <v>2024</v>
      </c>
    </row>
    <row r="141" customFormat="false" ht="12.8" hidden="false" customHeight="false" outlineLevel="0" collapsed="false">
      <c r="A141" s="3"/>
      <c r="B141" s="3" t="s">
        <v>6</v>
      </c>
      <c r="C141" s="3" t="s">
        <v>294</v>
      </c>
      <c r="D141" s="3"/>
      <c r="E141" s="3" t="s">
        <v>295</v>
      </c>
      <c r="F141" s="4" t="n">
        <v>481.24</v>
      </c>
      <c r="G141" s="3" t="n">
        <v>2024</v>
      </c>
    </row>
    <row r="142" customFormat="false" ht="12.8" hidden="false" customHeight="false" outlineLevel="0" collapsed="false">
      <c r="A142" s="3"/>
      <c r="B142" s="3" t="s">
        <v>6</v>
      </c>
      <c r="C142" s="3" t="s">
        <v>296</v>
      </c>
      <c r="D142" s="3"/>
      <c r="E142" s="3" t="s">
        <v>297</v>
      </c>
      <c r="F142" s="4" t="n">
        <v>443</v>
      </c>
      <c r="G142" s="3" t="n">
        <v>2024</v>
      </c>
    </row>
    <row r="143" customFormat="false" ht="12.8" hidden="false" customHeight="false" outlineLevel="0" collapsed="false">
      <c r="A143" s="3"/>
      <c r="B143" s="3" t="s">
        <v>9</v>
      </c>
      <c r="C143" s="3" t="s">
        <v>298</v>
      </c>
      <c r="D143" s="3"/>
      <c r="E143" s="3" t="s">
        <v>299</v>
      </c>
      <c r="F143" s="4" t="n">
        <v>347</v>
      </c>
      <c r="G143" s="3" t="n">
        <v>2024</v>
      </c>
    </row>
    <row r="144" customFormat="false" ht="12.8" hidden="false" customHeight="false" outlineLevel="0" collapsed="false">
      <c r="A144" s="3"/>
      <c r="B144" s="3" t="s">
        <v>6</v>
      </c>
      <c r="C144" s="3" t="s">
        <v>300</v>
      </c>
      <c r="D144" s="3"/>
      <c r="E144" s="3" t="s">
        <v>301</v>
      </c>
      <c r="F144" s="4" t="n">
        <v>334.4</v>
      </c>
      <c r="G144" s="3" t="n">
        <v>2024</v>
      </c>
    </row>
    <row r="145" customFormat="false" ht="12.8" hidden="false" customHeight="false" outlineLevel="0" collapsed="false">
      <c r="A145" s="3"/>
      <c r="B145" s="3" t="s">
        <v>6</v>
      </c>
      <c r="C145" s="3" t="s">
        <v>302</v>
      </c>
      <c r="D145" s="3"/>
      <c r="E145" s="3" t="s">
        <v>303</v>
      </c>
      <c r="F145" s="4" t="n">
        <v>308.83</v>
      </c>
      <c r="G145" s="3" t="n">
        <v>2024</v>
      </c>
    </row>
    <row r="146" customFormat="false" ht="12.8" hidden="false" customHeight="false" outlineLevel="0" collapsed="false">
      <c r="A146" s="3"/>
      <c r="B146" s="3" t="s">
        <v>6</v>
      </c>
      <c r="C146" s="3" t="s">
        <v>304</v>
      </c>
      <c r="D146" s="3"/>
      <c r="E146" s="3" t="s">
        <v>305</v>
      </c>
      <c r="F146" s="4" t="n">
        <v>218</v>
      </c>
      <c r="G146" s="3" t="n">
        <v>2024</v>
      </c>
    </row>
    <row r="147" customFormat="false" ht="12.8" hidden="false" customHeight="false" outlineLevel="0" collapsed="false">
      <c r="A147" s="3"/>
      <c r="B147" s="3" t="s">
        <v>9</v>
      </c>
      <c r="C147" s="3" t="s">
        <v>306</v>
      </c>
      <c r="D147" s="3"/>
      <c r="E147" s="3" t="s">
        <v>307</v>
      </c>
      <c r="F147" s="4" t="n">
        <v>214.77</v>
      </c>
      <c r="G147" s="3" t="n">
        <v>2024</v>
      </c>
    </row>
    <row r="148" customFormat="false" ht="12.8" hidden="false" customHeight="false" outlineLevel="0" collapsed="false">
      <c r="A148" s="3"/>
      <c r="B148" s="3" t="s">
        <v>6</v>
      </c>
      <c r="C148" s="3" t="s">
        <v>308</v>
      </c>
      <c r="D148" s="3"/>
      <c r="E148" s="3" t="s">
        <v>309</v>
      </c>
      <c r="F148" s="4" t="n">
        <v>168</v>
      </c>
      <c r="G148" s="3" t="n">
        <v>2024</v>
      </c>
    </row>
    <row r="149" customFormat="false" ht="12.8" hidden="false" customHeight="false" outlineLevel="0" collapsed="false">
      <c r="A149" s="3"/>
      <c r="B149" s="3" t="s">
        <v>6</v>
      </c>
      <c r="C149" s="3" t="s">
        <v>310</v>
      </c>
      <c r="D149" s="3"/>
      <c r="E149" s="3" t="s">
        <v>311</v>
      </c>
      <c r="F149" s="4" t="n">
        <v>165.63</v>
      </c>
      <c r="G149" s="3" t="n">
        <v>2020</v>
      </c>
    </row>
    <row r="150" customFormat="false" ht="12.8" hidden="false" customHeight="false" outlineLevel="0" collapsed="false">
      <c r="A150" s="3"/>
      <c r="B150" s="3" t="s">
        <v>6</v>
      </c>
      <c r="C150" s="3" t="s">
        <v>312</v>
      </c>
      <c r="D150" s="3"/>
      <c r="E150" s="3" t="s">
        <v>313</v>
      </c>
      <c r="F150" s="4" t="n">
        <v>162.5</v>
      </c>
      <c r="G150" s="3" t="n">
        <v>2023</v>
      </c>
    </row>
    <row r="151" customFormat="false" ht="12.8" hidden="false" customHeight="false" outlineLevel="0" collapsed="false">
      <c r="A151" s="3"/>
      <c r="B151" s="3" t="s">
        <v>9</v>
      </c>
      <c r="C151" s="3" t="s">
        <v>314</v>
      </c>
      <c r="D151" s="3"/>
      <c r="E151" s="3" t="s">
        <v>315</v>
      </c>
      <c r="F151" s="4" t="n">
        <v>130.49</v>
      </c>
      <c r="G151" s="3" t="n">
        <v>2024</v>
      </c>
    </row>
    <row r="152" customFormat="false" ht="12.8" hidden="false" customHeight="false" outlineLevel="0" collapsed="false">
      <c r="A152" s="3"/>
      <c r="B152" s="3" t="s">
        <v>6</v>
      </c>
      <c r="C152" s="3" t="s">
        <v>316</v>
      </c>
      <c r="D152" s="3"/>
      <c r="E152" s="3" t="s">
        <v>317</v>
      </c>
      <c r="F152" s="4" t="n">
        <v>111.21</v>
      </c>
      <c r="G152" s="3" t="n">
        <v>2024</v>
      </c>
    </row>
    <row r="153" customFormat="false" ht="12.8" hidden="false" customHeight="false" outlineLevel="0" collapsed="false">
      <c r="A153" s="3"/>
      <c r="B153" s="3" t="s">
        <v>12</v>
      </c>
      <c r="C153" s="3" t="s">
        <v>318</v>
      </c>
      <c r="D153" s="3"/>
      <c r="E153" s="3" t="s">
        <v>319</v>
      </c>
      <c r="F153" s="4" t="n">
        <v>90.09</v>
      </c>
      <c r="G153" s="3" t="n">
        <v>2021</v>
      </c>
    </row>
    <row r="154" customFormat="false" ht="12.8" hidden="false" customHeight="false" outlineLevel="0" collapsed="false">
      <c r="A154" s="3"/>
      <c r="B154" s="3" t="s">
        <v>9</v>
      </c>
      <c r="C154" s="3" t="s">
        <v>320</v>
      </c>
      <c r="D154" s="3"/>
      <c r="E154" s="3" t="s">
        <v>321</v>
      </c>
      <c r="F154" s="4" t="n">
        <v>89.99</v>
      </c>
      <c r="G154" s="3" t="n">
        <v>2024</v>
      </c>
    </row>
    <row r="155" customFormat="false" ht="12.8" hidden="false" customHeight="false" outlineLevel="0" collapsed="false">
      <c r="A155" s="3"/>
      <c r="B155" s="3" t="s">
        <v>9</v>
      </c>
      <c r="C155" s="3" t="s">
        <v>322</v>
      </c>
      <c r="D155" s="3"/>
      <c r="E155" s="3" t="s">
        <v>323</v>
      </c>
      <c r="F155" s="4" t="n">
        <v>84.29</v>
      </c>
      <c r="G155" s="3" t="n">
        <v>2021</v>
      </c>
    </row>
    <row r="156" customFormat="false" ht="12.8" hidden="false" customHeight="false" outlineLevel="0" collapsed="false">
      <c r="A156" s="3"/>
      <c r="B156" s="3" t="s">
        <v>115</v>
      </c>
      <c r="C156" s="3" t="s">
        <v>324</v>
      </c>
      <c r="D156" s="3"/>
      <c r="E156" s="3" t="s">
        <v>325</v>
      </c>
      <c r="F156" s="4" t="n">
        <v>56.33</v>
      </c>
      <c r="G156" s="3" t="n">
        <v>2024</v>
      </c>
    </row>
    <row r="157" customFormat="false" ht="12.8" hidden="false" customHeight="false" outlineLevel="0" collapsed="false">
      <c r="A157" s="3"/>
      <c r="B157" s="3" t="s">
        <v>6</v>
      </c>
      <c r="C157" s="3" t="s">
        <v>326</v>
      </c>
      <c r="D157" s="3"/>
      <c r="E157" s="3" t="s">
        <v>327</v>
      </c>
      <c r="F157" s="4" t="n">
        <v>50.1</v>
      </c>
      <c r="G157" s="3" t="n">
        <v>2024</v>
      </c>
    </row>
    <row r="158" customFormat="false" ht="12.8" hidden="false" customHeight="false" outlineLevel="0" collapsed="false">
      <c r="A158" s="3"/>
      <c r="B158" s="3" t="s">
        <v>6</v>
      </c>
      <c r="C158" s="3" t="s">
        <v>328</v>
      </c>
      <c r="D158" s="3"/>
      <c r="E158" s="3" t="s">
        <v>329</v>
      </c>
      <c r="F158" s="4" t="n">
        <v>50</v>
      </c>
      <c r="G158" s="3" t="n">
        <v>2020</v>
      </c>
    </row>
    <row r="159" customFormat="false" ht="12.8" hidden="false" customHeight="false" outlineLevel="0" collapsed="false">
      <c r="A159" s="3"/>
      <c r="B159" s="3" t="s">
        <v>12</v>
      </c>
      <c r="C159" s="3" t="s">
        <v>330</v>
      </c>
      <c r="D159" s="3"/>
      <c r="E159" s="3" t="s">
        <v>331</v>
      </c>
      <c r="F159" s="4" t="n">
        <v>50</v>
      </c>
      <c r="G159" s="3" t="n">
        <v>2024</v>
      </c>
    </row>
    <row r="160" customFormat="false" ht="12.8" hidden="false" customHeight="false" outlineLevel="0" collapsed="false">
      <c r="A160" s="3"/>
      <c r="B160" s="3" t="s">
        <v>6</v>
      </c>
      <c r="C160" s="3" t="s">
        <v>332</v>
      </c>
      <c r="D160" s="3"/>
      <c r="E160" s="3" t="s">
        <v>333</v>
      </c>
      <c r="F160" s="4" t="n">
        <v>49.72</v>
      </c>
      <c r="G160" s="3" t="n">
        <v>2024</v>
      </c>
    </row>
    <row r="161" customFormat="false" ht="12.8" hidden="false" customHeight="false" outlineLevel="0" collapsed="false">
      <c r="A161" s="3"/>
      <c r="B161" s="3" t="s">
        <v>6</v>
      </c>
      <c r="C161" s="3" t="s">
        <v>334</v>
      </c>
      <c r="D161" s="3"/>
      <c r="E161" s="3" t="s">
        <v>335</v>
      </c>
      <c r="F161" s="4" t="n">
        <v>49.59</v>
      </c>
      <c r="G161" s="3" t="n">
        <v>2024</v>
      </c>
    </row>
    <row r="162" customFormat="false" ht="12.8" hidden="false" customHeight="false" outlineLevel="0" collapsed="false">
      <c r="A162" s="3"/>
      <c r="B162" s="3" t="s">
        <v>6</v>
      </c>
      <c r="C162" s="3" t="s">
        <v>336</v>
      </c>
      <c r="D162" s="3"/>
      <c r="E162" s="3" t="s">
        <v>337</v>
      </c>
      <c r="F162" s="4" t="n">
        <v>47.29</v>
      </c>
      <c r="G162" s="3" t="n">
        <v>2024</v>
      </c>
    </row>
    <row r="163" customFormat="false" ht="12.8" hidden="false" customHeight="false" outlineLevel="0" collapsed="false">
      <c r="A163" s="3"/>
      <c r="B163" s="3" t="s">
        <v>6</v>
      </c>
      <c r="C163" s="3" t="s">
        <v>338</v>
      </c>
      <c r="D163" s="3"/>
      <c r="E163" s="3" t="s">
        <v>339</v>
      </c>
      <c r="F163" s="4" t="n">
        <v>45.23</v>
      </c>
      <c r="G163" s="3" t="n">
        <v>2024</v>
      </c>
    </row>
    <row r="164" customFormat="false" ht="12.8" hidden="false" customHeight="false" outlineLevel="0" collapsed="false">
      <c r="A164" s="3"/>
      <c r="B164" s="3" t="s">
        <v>6</v>
      </c>
      <c r="C164" s="3" t="s">
        <v>340</v>
      </c>
      <c r="D164" s="3"/>
      <c r="E164" s="3" t="s">
        <v>341</v>
      </c>
      <c r="F164" s="4" t="n">
        <v>42.35</v>
      </c>
      <c r="G164" s="3" t="n">
        <v>2021</v>
      </c>
    </row>
    <row r="165" customFormat="false" ht="12.8" hidden="false" customHeight="false" outlineLevel="0" collapsed="false">
      <c r="A165" s="3"/>
      <c r="B165" s="3" t="s">
        <v>6</v>
      </c>
      <c r="C165" s="3" t="s">
        <v>342</v>
      </c>
      <c r="D165" s="3"/>
      <c r="E165" s="3" t="s">
        <v>343</v>
      </c>
      <c r="F165" s="4" t="n">
        <v>39.88</v>
      </c>
      <c r="G165" s="3" t="n">
        <v>2019</v>
      </c>
    </row>
    <row r="166" customFormat="false" ht="12.8" hidden="false" customHeight="false" outlineLevel="0" collapsed="false">
      <c r="A166" s="3"/>
      <c r="B166" s="3" t="s">
        <v>6</v>
      </c>
      <c r="C166" s="3" t="s">
        <v>344</v>
      </c>
      <c r="D166" s="3"/>
      <c r="E166" s="3" t="s">
        <v>345</v>
      </c>
      <c r="F166" s="4" t="n">
        <v>35.12</v>
      </c>
      <c r="G166" s="3" t="n">
        <v>2024</v>
      </c>
    </row>
    <row r="167" customFormat="false" ht="12.8" hidden="false" customHeight="false" outlineLevel="0" collapsed="false">
      <c r="A167" s="3"/>
      <c r="B167" s="3" t="s">
        <v>6</v>
      </c>
      <c r="C167" s="3" t="s">
        <v>346</v>
      </c>
      <c r="D167" s="3"/>
      <c r="E167" s="3" t="s">
        <v>347</v>
      </c>
      <c r="F167" s="4" t="n">
        <v>33.56</v>
      </c>
      <c r="G167" s="3" t="n">
        <v>2024</v>
      </c>
    </row>
    <row r="168" customFormat="false" ht="12.8" hidden="false" customHeight="false" outlineLevel="0" collapsed="false">
      <c r="A168" s="3"/>
      <c r="B168" s="3" t="s">
        <v>6</v>
      </c>
      <c r="C168" s="3" t="s">
        <v>348</v>
      </c>
      <c r="D168" s="3"/>
      <c r="E168" s="3" t="s">
        <v>349</v>
      </c>
      <c r="F168" s="4" t="n">
        <v>33.46</v>
      </c>
      <c r="G168" s="3" t="n">
        <v>2024</v>
      </c>
    </row>
    <row r="169" customFormat="false" ht="12.8" hidden="false" customHeight="false" outlineLevel="0" collapsed="false">
      <c r="A169" s="3"/>
      <c r="B169" s="3" t="s">
        <v>9</v>
      </c>
      <c r="C169" s="3" t="s">
        <v>350</v>
      </c>
      <c r="D169" s="3"/>
      <c r="E169" s="3" t="s">
        <v>351</v>
      </c>
      <c r="F169" s="4" t="n">
        <v>30.24</v>
      </c>
      <c r="G169" s="3" t="n">
        <v>2024</v>
      </c>
    </row>
    <row r="170" customFormat="false" ht="12.8" hidden="false" customHeight="false" outlineLevel="0" collapsed="false">
      <c r="A170" s="3"/>
      <c r="B170" s="3" t="s">
        <v>6</v>
      </c>
      <c r="C170" s="3" t="s">
        <v>352</v>
      </c>
      <c r="D170" s="3"/>
      <c r="E170" s="3" t="s">
        <v>353</v>
      </c>
      <c r="F170" s="4" t="n">
        <v>28.98</v>
      </c>
      <c r="G170" s="3" t="n">
        <v>2024</v>
      </c>
    </row>
    <row r="171" customFormat="false" ht="12.8" hidden="false" customHeight="false" outlineLevel="0" collapsed="false">
      <c r="A171" s="3"/>
      <c r="B171" s="3" t="s">
        <v>6</v>
      </c>
      <c r="C171" s="3" t="s">
        <v>354</v>
      </c>
      <c r="D171" s="3"/>
      <c r="E171" s="3" t="s">
        <v>355</v>
      </c>
      <c r="F171" s="4" t="n">
        <v>26</v>
      </c>
      <c r="G171" s="3" t="n">
        <v>2017</v>
      </c>
    </row>
    <row r="172" customFormat="false" ht="12.8" hidden="false" customHeight="false" outlineLevel="0" collapsed="false">
      <c r="A172" s="3"/>
      <c r="B172" s="3" t="s">
        <v>6</v>
      </c>
      <c r="C172" s="3" t="s">
        <v>356</v>
      </c>
      <c r="D172" s="3"/>
      <c r="E172" s="3" t="s">
        <v>357</v>
      </c>
      <c r="F172" s="4" t="n">
        <v>23.28</v>
      </c>
      <c r="G172" s="3" t="n">
        <v>2024</v>
      </c>
    </row>
    <row r="173" customFormat="false" ht="12.8" hidden="false" customHeight="false" outlineLevel="0" collapsed="false">
      <c r="A173" s="3"/>
      <c r="B173" s="3" t="s">
        <v>6</v>
      </c>
      <c r="C173" s="3" t="s">
        <v>358</v>
      </c>
      <c r="D173" s="3"/>
      <c r="E173" s="3" t="s">
        <v>359</v>
      </c>
      <c r="F173" s="4" t="n">
        <v>20</v>
      </c>
      <c r="G173" s="3" t="n">
        <v>2024</v>
      </c>
    </row>
    <row r="174" customFormat="false" ht="12.8" hidden="false" customHeight="false" outlineLevel="0" collapsed="false">
      <c r="A174" s="3"/>
      <c r="B174" s="3" t="s">
        <v>6</v>
      </c>
      <c r="C174" s="3" t="s">
        <v>360</v>
      </c>
      <c r="D174" s="3"/>
      <c r="E174" s="3" t="s">
        <v>361</v>
      </c>
      <c r="F174" s="4" t="n">
        <v>12</v>
      </c>
      <c r="G174" s="3" t="n">
        <v>2019</v>
      </c>
    </row>
    <row r="175" customFormat="false" ht="12.8" hidden="false" customHeight="false" outlineLevel="0" collapsed="false">
      <c r="A175" s="3"/>
      <c r="B175" s="3" t="s">
        <v>6</v>
      </c>
      <c r="C175" s="3" t="s">
        <v>362</v>
      </c>
      <c r="D175" s="3"/>
      <c r="E175" s="3" t="s">
        <v>363</v>
      </c>
      <c r="F175" s="4" t="n">
        <v>10.5</v>
      </c>
      <c r="G175" s="3" t="n">
        <v>2024</v>
      </c>
    </row>
    <row r="176" customFormat="false" ht="12.8" hidden="false" customHeight="false" outlineLevel="0" collapsed="false">
      <c r="A176" s="3"/>
      <c r="B176" s="3" t="s">
        <v>12</v>
      </c>
      <c r="C176" s="3" t="s">
        <v>364</v>
      </c>
      <c r="D176" s="3"/>
      <c r="E176" s="3" t="s">
        <v>365</v>
      </c>
      <c r="F176" s="4" t="n">
        <v>7.56</v>
      </c>
      <c r="G176" s="3" t="n">
        <v>2024</v>
      </c>
    </row>
    <row r="177" customFormat="false" ht="12.8" hidden="false" customHeight="false" outlineLevel="0" collapsed="false">
      <c r="A177" s="3"/>
      <c r="B177" s="3" t="s">
        <v>6</v>
      </c>
      <c r="C177" s="3" t="s">
        <v>366</v>
      </c>
      <c r="D177" s="3"/>
      <c r="E177" s="3" t="s">
        <v>367</v>
      </c>
      <c r="F177" s="4" t="n">
        <v>5.64</v>
      </c>
      <c r="G177" s="3" t="n">
        <v>2024</v>
      </c>
    </row>
    <row r="178" customFormat="false" ht="12.8" hidden="false" customHeight="false" outlineLevel="0" collapsed="false">
      <c r="A178" s="3"/>
      <c r="B178" s="3" t="s">
        <v>12</v>
      </c>
      <c r="C178" s="3" t="s">
        <v>368</v>
      </c>
      <c r="D178" s="3"/>
      <c r="E178" s="3" t="s">
        <v>369</v>
      </c>
      <c r="F178" s="4" t="n">
        <v>5.39</v>
      </c>
      <c r="G178" s="3" t="n">
        <v>2024</v>
      </c>
    </row>
    <row r="179" customFormat="false" ht="12.8" hidden="false" customHeight="false" outlineLevel="0" collapsed="false">
      <c r="A179" s="3"/>
      <c r="B179" s="3" t="s">
        <v>6</v>
      </c>
      <c r="C179" s="3" t="s">
        <v>370</v>
      </c>
      <c r="D179" s="3"/>
      <c r="E179" s="3" t="s">
        <v>371</v>
      </c>
      <c r="F179" s="4" t="n">
        <v>5</v>
      </c>
      <c r="G179" s="3" t="n">
        <v>2024</v>
      </c>
    </row>
    <row r="180" customFormat="false" ht="12.8" hidden="false" customHeight="false" outlineLevel="0" collapsed="false">
      <c r="A180" s="3"/>
      <c r="B180" s="3" t="s">
        <v>6</v>
      </c>
      <c r="C180" s="3" t="s">
        <v>372</v>
      </c>
      <c r="D180" s="3"/>
      <c r="E180" s="3" t="s">
        <v>373</v>
      </c>
      <c r="F180" s="4" t="n">
        <v>3</v>
      </c>
      <c r="G180" s="3" t="n">
        <v>2023</v>
      </c>
    </row>
    <row r="181" customFormat="false" ht="12.8" hidden="false" customHeight="false" outlineLevel="0" collapsed="false">
      <c r="A181" s="3"/>
      <c r="B181" s="3" t="s">
        <v>6</v>
      </c>
      <c r="C181" s="3" t="s">
        <v>374</v>
      </c>
      <c r="D181" s="3"/>
      <c r="E181" s="3" t="s">
        <v>375</v>
      </c>
      <c r="F181" s="4" t="n">
        <v>2.75</v>
      </c>
      <c r="G181" s="3" t="n">
        <v>2024</v>
      </c>
    </row>
    <row r="182" customFormat="false" ht="12.8" hidden="false" customHeight="false" outlineLevel="0" collapsed="false">
      <c r="A182" s="3"/>
      <c r="B182" s="3" t="s">
        <v>6</v>
      </c>
      <c r="C182" s="3" t="s">
        <v>376</v>
      </c>
      <c r="D182" s="3"/>
      <c r="E182" s="3" t="s">
        <v>377</v>
      </c>
      <c r="F182" s="4" t="n">
        <v>1</v>
      </c>
      <c r="G182" s="3" t="n">
        <v>2024</v>
      </c>
    </row>
    <row r="183" customFormat="false" ht="12.8" hidden="false" customHeight="false" outlineLevel="0" collapsed="false">
      <c r="A183" s="3"/>
      <c r="B183" s="3" t="s">
        <v>6</v>
      </c>
      <c r="C183" s="3" t="s">
        <v>378</v>
      </c>
      <c r="D183" s="3"/>
      <c r="E183" s="3" t="s">
        <v>379</v>
      </c>
      <c r="F183" s="4" t="n">
        <v>1</v>
      </c>
      <c r="G183" s="3" t="n">
        <v>2024</v>
      </c>
    </row>
    <row r="184" customFormat="false" ht="12.8" hidden="false" customHeight="false" outlineLevel="0" collapsed="false">
      <c r="A184" s="3"/>
      <c r="B184" s="3" t="s">
        <v>6</v>
      </c>
      <c r="C184" s="3" t="s">
        <v>380</v>
      </c>
      <c r="D184" s="3"/>
      <c r="E184" s="3" t="s">
        <v>381</v>
      </c>
      <c r="F184" s="4" t="n">
        <v>1</v>
      </c>
      <c r="G184" s="3" t="n">
        <v>2024</v>
      </c>
    </row>
    <row r="185" customFormat="false" ht="12.8" hidden="false" customHeight="false" outlineLevel="0" collapsed="false">
      <c r="A185" s="3"/>
      <c r="B185" s="3" t="s">
        <v>12</v>
      </c>
      <c r="C185" s="3" t="s">
        <v>382</v>
      </c>
      <c r="D185" s="3"/>
      <c r="E185" s="3" t="s">
        <v>383</v>
      </c>
      <c r="F185" s="4" t="n">
        <v>0.75</v>
      </c>
      <c r="G185" s="3" t="n">
        <v>2024</v>
      </c>
    </row>
    <row r="186" customFormat="false" ht="12.8" hidden="false" customHeight="false" outlineLevel="0" collapsed="false">
      <c r="A186" s="3"/>
      <c r="B186" s="3" t="s">
        <v>12</v>
      </c>
      <c r="C186" s="3" t="s">
        <v>384</v>
      </c>
      <c r="D186" s="3"/>
      <c r="E186" s="3" t="s">
        <v>385</v>
      </c>
      <c r="F186" s="4" t="n">
        <v>0.04</v>
      </c>
      <c r="G186" s="3" t="n">
        <v>2024</v>
      </c>
    </row>
    <row r="187" customFormat="false" ht="12.8" hidden="false" customHeight="false" outlineLevel="0" collapsed="false">
      <c r="A187" s="3"/>
      <c r="B187" s="3" t="s">
        <v>134</v>
      </c>
      <c r="C187" s="3" t="s">
        <v>386</v>
      </c>
      <c r="D187" s="3"/>
      <c r="E187" s="3" t="s">
        <v>387</v>
      </c>
      <c r="F187" s="4" t="n">
        <v>0</v>
      </c>
      <c r="G187" s="3" t="n">
        <v>2024</v>
      </c>
    </row>
    <row r="188" customFormat="false" ht="12.8" hidden="false" customHeight="false" outlineLevel="0" collapsed="false">
      <c r="A188" s="3"/>
      <c r="B188" s="3" t="s">
        <v>6</v>
      </c>
      <c r="C188" s="3" t="s">
        <v>388</v>
      </c>
      <c r="D188" s="3"/>
      <c r="E188" s="3" t="s">
        <v>389</v>
      </c>
      <c r="F188" s="4" t="n">
        <v>0</v>
      </c>
      <c r="G188" s="3" t="n">
        <v>2024</v>
      </c>
    </row>
    <row r="189" customFormat="false" ht="12.8" hidden="false" customHeight="false" outlineLevel="0" collapsed="false">
      <c r="A189" s="3"/>
      <c r="B189" s="3" t="s">
        <v>6</v>
      </c>
      <c r="C189" s="3" t="s">
        <v>390</v>
      </c>
      <c r="D189" s="3"/>
      <c r="E189" s="3" t="s">
        <v>391</v>
      </c>
      <c r="F189" s="4" t="n">
        <v>0</v>
      </c>
      <c r="G189" s="3" t="n">
        <v>2024</v>
      </c>
    </row>
    <row r="190" customFormat="false" ht="12.8" hidden="false" customHeight="false" outlineLevel="0" collapsed="false">
      <c r="A190" s="3"/>
      <c r="B190" s="3" t="s">
        <v>6</v>
      </c>
      <c r="C190" s="3" t="s">
        <v>392</v>
      </c>
      <c r="D190" s="3"/>
      <c r="E190" s="3" t="s">
        <v>393</v>
      </c>
      <c r="F190" s="4" t="n">
        <v>0</v>
      </c>
      <c r="G190" s="3" t="n">
        <v>2024</v>
      </c>
    </row>
    <row r="191" customFormat="false" ht="12.8" hidden="false" customHeight="false" outlineLevel="0" collapsed="false">
      <c r="A191" s="3"/>
      <c r="B191" s="3" t="s">
        <v>6</v>
      </c>
      <c r="C191" s="3" t="s">
        <v>394</v>
      </c>
      <c r="D191" s="3"/>
      <c r="E191" s="3" t="s">
        <v>395</v>
      </c>
      <c r="F191" s="4" t="n">
        <v>0</v>
      </c>
      <c r="G191" s="3" t="n">
        <v>2024</v>
      </c>
    </row>
    <row r="192" customFormat="false" ht="12.8" hidden="false" customHeight="false" outlineLevel="0" collapsed="false">
      <c r="A192" s="3"/>
      <c r="B192" s="3" t="s">
        <v>6</v>
      </c>
      <c r="C192" s="3" t="s">
        <v>396</v>
      </c>
      <c r="D192" s="3"/>
      <c r="E192" s="3" t="s">
        <v>397</v>
      </c>
      <c r="F192" s="4" t="n">
        <v>0</v>
      </c>
      <c r="G192" s="3" t="n">
        <v>2024</v>
      </c>
    </row>
    <row r="193" customFormat="false" ht="12.8" hidden="false" customHeight="false" outlineLevel="0" collapsed="false">
      <c r="A193" s="3"/>
      <c r="B193" s="3" t="s">
        <v>6</v>
      </c>
      <c r="C193" s="3" t="s">
        <v>398</v>
      </c>
      <c r="D193" s="3"/>
      <c r="E193" s="3" t="s">
        <v>399</v>
      </c>
      <c r="F193" s="4" t="n">
        <v>0</v>
      </c>
      <c r="G193" s="3" t="n">
        <v>2024</v>
      </c>
    </row>
    <row r="194" customFormat="false" ht="12.8" hidden="false" customHeight="false" outlineLevel="0" collapsed="false">
      <c r="A194" s="3"/>
      <c r="B194" s="3" t="s">
        <v>6</v>
      </c>
      <c r="C194" s="3" t="s">
        <v>400</v>
      </c>
      <c r="D194" s="3"/>
      <c r="E194" s="3" t="s">
        <v>401</v>
      </c>
      <c r="F194" s="4" t="n">
        <v>0</v>
      </c>
      <c r="G194" s="3" t="n">
        <v>2024</v>
      </c>
    </row>
    <row r="195" customFormat="false" ht="12.8" hidden="false" customHeight="false" outlineLevel="0" collapsed="false">
      <c r="A195" s="3"/>
      <c r="B195" s="3" t="s">
        <v>6</v>
      </c>
      <c r="C195" s="3" t="s">
        <v>402</v>
      </c>
      <c r="D195" s="3"/>
      <c r="E195" s="3" t="s">
        <v>403</v>
      </c>
      <c r="F195" s="4" t="n">
        <v>0</v>
      </c>
      <c r="G195" s="3" t="n">
        <v>2024</v>
      </c>
    </row>
    <row r="196" customFormat="false" ht="12.8" hidden="false" customHeight="false" outlineLevel="0" collapsed="false">
      <c r="A196" s="3"/>
      <c r="B196" s="3" t="s">
        <v>6</v>
      </c>
      <c r="C196" s="3" t="s">
        <v>404</v>
      </c>
      <c r="D196" s="3"/>
      <c r="E196" s="3" t="s">
        <v>405</v>
      </c>
      <c r="F196" s="4" t="n">
        <v>0</v>
      </c>
      <c r="G196" s="3" t="n">
        <v>2023</v>
      </c>
    </row>
    <row r="197" customFormat="false" ht="12.8" hidden="false" customHeight="false" outlineLevel="0" collapsed="false">
      <c r="A197" s="3"/>
      <c r="B197" s="3" t="s">
        <v>6</v>
      </c>
      <c r="C197" s="3" t="s">
        <v>406</v>
      </c>
      <c r="D197" s="3"/>
      <c r="E197" s="3" t="s">
        <v>407</v>
      </c>
      <c r="F197" s="4" t="n">
        <v>0</v>
      </c>
      <c r="G197" s="3" t="n">
        <v>2023</v>
      </c>
    </row>
    <row r="198" customFormat="false" ht="12.8" hidden="false" customHeight="false" outlineLevel="0" collapsed="false">
      <c r="A198" s="3"/>
      <c r="B198" s="3" t="s">
        <v>6</v>
      </c>
      <c r="C198" s="3" t="s">
        <v>408</v>
      </c>
      <c r="D198" s="3"/>
      <c r="E198" s="3" t="s">
        <v>409</v>
      </c>
      <c r="F198" s="4" t="n">
        <v>0</v>
      </c>
      <c r="G198" s="3" t="n">
        <v>2024</v>
      </c>
    </row>
    <row r="199" customFormat="false" ht="12.8" hidden="false" customHeight="false" outlineLevel="0" collapsed="false">
      <c r="A199" s="3"/>
      <c r="B199" s="3" t="s">
        <v>6</v>
      </c>
      <c r="C199" s="3" t="s">
        <v>410</v>
      </c>
      <c r="D199" s="3"/>
      <c r="E199" s="3" t="s">
        <v>411</v>
      </c>
      <c r="F199" s="4" t="n">
        <v>0</v>
      </c>
      <c r="G199" s="3" t="n">
        <v>2024</v>
      </c>
    </row>
    <row r="200" customFormat="false" ht="12.8" hidden="false" customHeight="false" outlineLevel="0" collapsed="false">
      <c r="A200" s="3"/>
      <c r="B200" s="3" t="s">
        <v>6</v>
      </c>
      <c r="C200" s="3" t="s">
        <v>412</v>
      </c>
      <c r="D200" s="3"/>
      <c r="E200" s="3" t="s">
        <v>413</v>
      </c>
      <c r="F200" s="4" t="n">
        <v>0</v>
      </c>
      <c r="G200" s="3" t="n">
        <v>2024</v>
      </c>
    </row>
    <row r="201" customFormat="false" ht="12.8" hidden="false" customHeight="false" outlineLevel="0" collapsed="false">
      <c r="A201" s="3"/>
      <c r="B201" s="3" t="s">
        <v>6</v>
      </c>
      <c r="C201" s="3" t="s">
        <v>414</v>
      </c>
      <c r="D201" s="3"/>
      <c r="E201" s="3" t="s">
        <v>415</v>
      </c>
      <c r="F201" s="4" t="n">
        <v>0</v>
      </c>
      <c r="G201" s="3" t="n">
        <v>2019</v>
      </c>
    </row>
    <row r="202" customFormat="false" ht="12.8" hidden="false" customHeight="false" outlineLevel="0" collapsed="false">
      <c r="A202" s="3"/>
      <c r="B202" s="3" t="s">
        <v>6</v>
      </c>
      <c r="C202" s="3" t="s">
        <v>416</v>
      </c>
      <c r="D202" s="3"/>
      <c r="E202" s="3" t="s">
        <v>417</v>
      </c>
      <c r="F202" s="4" t="n">
        <v>0</v>
      </c>
      <c r="G202" s="3" t="n">
        <v>2024</v>
      </c>
    </row>
    <row r="203" customFormat="false" ht="12.8" hidden="false" customHeight="false" outlineLevel="0" collapsed="false">
      <c r="A203" s="3"/>
      <c r="B203" s="3" t="s">
        <v>6</v>
      </c>
      <c r="C203" s="3" t="s">
        <v>418</v>
      </c>
      <c r="D203" s="3"/>
      <c r="E203" s="3" t="s">
        <v>419</v>
      </c>
      <c r="F203" s="4" t="n">
        <v>0</v>
      </c>
      <c r="G203" s="3" t="n">
        <v>2024</v>
      </c>
    </row>
    <row r="204" customFormat="false" ht="12.8" hidden="false" customHeight="false" outlineLevel="0" collapsed="false">
      <c r="A204" s="3"/>
      <c r="B204" s="3" t="s">
        <v>6</v>
      </c>
      <c r="C204" s="3" t="s">
        <v>420</v>
      </c>
      <c r="D204" s="3"/>
      <c r="E204" s="3" t="s">
        <v>421</v>
      </c>
      <c r="F204" s="4" t="n">
        <v>0</v>
      </c>
      <c r="G204" s="3" t="n">
        <v>2024</v>
      </c>
    </row>
    <row r="205" customFormat="false" ht="12.8" hidden="false" customHeight="false" outlineLevel="0" collapsed="false">
      <c r="A205" s="3"/>
      <c r="B205" s="3" t="s">
        <v>6</v>
      </c>
      <c r="C205" s="3" t="s">
        <v>422</v>
      </c>
      <c r="D205" s="3"/>
      <c r="E205" s="3" t="s">
        <v>423</v>
      </c>
      <c r="F205" s="4" t="n">
        <v>0</v>
      </c>
      <c r="G205" s="3" t="n">
        <v>2024</v>
      </c>
    </row>
    <row r="206" customFormat="false" ht="12.8" hidden="false" customHeight="false" outlineLevel="0" collapsed="false">
      <c r="A206" s="3"/>
      <c r="B206" s="3" t="s">
        <v>9</v>
      </c>
      <c r="C206" s="3" t="s">
        <v>424</v>
      </c>
      <c r="D206" s="3"/>
      <c r="E206" s="3" t="s">
        <v>425</v>
      </c>
      <c r="F206" s="4" t="n">
        <v>0</v>
      </c>
      <c r="G206" s="3" t="n">
        <v>2024</v>
      </c>
    </row>
    <row r="207" customFormat="false" ht="12.8" hidden="false" customHeight="false" outlineLevel="0" collapsed="false">
      <c r="A207" s="3"/>
      <c r="B207" s="3" t="s">
        <v>9</v>
      </c>
      <c r="C207" s="3" t="s">
        <v>426</v>
      </c>
      <c r="D207" s="3"/>
      <c r="E207" s="3" t="s">
        <v>427</v>
      </c>
      <c r="F207" s="4" t="n">
        <v>0</v>
      </c>
      <c r="G207" s="3" t="n">
        <v>2023</v>
      </c>
    </row>
    <row r="208" customFormat="false" ht="12.8" hidden="false" customHeight="false" outlineLevel="0" collapsed="false">
      <c r="A208" s="3"/>
      <c r="B208" s="3" t="s">
        <v>9</v>
      </c>
      <c r="C208" s="3" t="s">
        <v>428</v>
      </c>
      <c r="D208" s="3"/>
      <c r="E208" s="3" t="s">
        <v>429</v>
      </c>
      <c r="F208" s="4" t="n">
        <v>0</v>
      </c>
      <c r="G208" s="3" t="n">
        <v>2024</v>
      </c>
    </row>
    <row r="209" customFormat="false" ht="12.8" hidden="false" customHeight="false" outlineLevel="0" collapsed="false">
      <c r="A209" s="3"/>
      <c r="B209" s="3" t="s">
        <v>9</v>
      </c>
      <c r="C209" s="3" t="s">
        <v>430</v>
      </c>
      <c r="D209" s="3"/>
      <c r="E209" s="3" t="s">
        <v>431</v>
      </c>
      <c r="F209" s="4" t="n">
        <v>0</v>
      </c>
      <c r="G209" s="3" t="n">
        <v>2024</v>
      </c>
    </row>
    <row r="210" customFormat="false" ht="12.8" hidden="false" customHeight="false" outlineLevel="0" collapsed="false">
      <c r="A210" s="3"/>
      <c r="B210" s="3" t="s">
        <v>9</v>
      </c>
      <c r="C210" s="3" t="s">
        <v>432</v>
      </c>
      <c r="D210" s="3"/>
      <c r="E210" s="3" t="s">
        <v>433</v>
      </c>
      <c r="F210" s="4" t="n">
        <v>0</v>
      </c>
      <c r="G210" s="3" t="n">
        <v>2024</v>
      </c>
    </row>
    <row r="211" customFormat="false" ht="12.8" hidden="false" customHeight="false" outlineLevel="0" collapsed="false">
      <c r="A211" s="3"/>
      <c r="B211" s="3" t="s">
        <v>9</v>
      </c>
      <c r="C211" s="3" t="s">
        <v>434</v>
      </c>
      <c r="D211" s="3"/>
      <c r="E211" s="3" t="s">
        <v>435</v>
      </c>
      <c r="F211" s="4" t="n">
        <v>0</v>
      </c>
      <c r="G211" s="3" t="n">
        <v>2024</v>
      </c>
    </row>
    <row r="212" customFormat="false" ht="12.8" hidden="false" customHeight="false" outlineLevel="0" collapsed="false">
      <c r="A212" s="3"/>
      <c r="B212" s="3" t="s">
        <v>9</v>
      </c>
      <c r="C212" s="3" t="s">
        <v>436</v>
      </c>
      <c r="D212" s="3"/>
      <c r="E212" s="3" t="s">
        <v>437</v>
      </c>
      <c r="F212" s="4" t="n">
        <v>0</v>
      </c>
      <c r="G212" s="3" t="n">
        <v>2024</v>
      </c>
    </row>
    <row r="213" customFormat="false" ht="12.8" hidden="false" customHeight="false" outlineLevel="0" collapsed="false">
      <c r="A213" s="3"/>
      <c r="B213" s="3" t="s">
        <v>9</v>
      </c>
      <c r="C213" s="3" t="s">
        <v>438</v>
      </c>
      <c r="D213" s="3"/>
      <c r="E213" s="3" t="s">
        <v>439</v>
      </c>
      <c r="F213" s="4" t="n">
        <v>0</v>
      </c>
      <c r="G213" s="3" t="n">
        <v>2024</v>
      </c>
    </row>
    <row r="214" customFormat="false" ht="12.8" hidden="false" customHeight="false" outlineLevel="0" collapsed="false">
      <c r="A214" s="3"/>
      <c r="B214" s="3" t="s">
        <v>115</v>
      </c>
      <c r="C214" s="3" t="s">
        <v>116</v>
      </c>
      <c r="D214" s="3" t="s">
        <v>242</v>
      </c>
      <c r="E214" s="3" t="s">
        <v>117</v>
      </c>
      <c r="F214" s="4" t="n">
        <v>0</v>
      </c>
      <c r="G214" s="3" t="n">
        <v>2024</v>
      </c>
    </row>
    <row r="215" customFormat="false" ht="12.8" hidden="false" customHeight="false" outlineLevel="0" collapsed="false">
      <c r="A215" s="3"/>
      <c r="B215" s="3" t="s">
        <v>12</v>
      </c>
      <c r="C215" s="3" t="s">
        <v>440</v>
      </c>
      <c r="D215" s="3"/>
      <c r="E215" s="3" t="s">
        <v>441</v>
      </c>
      <c r="F215" s="4" t="n">
        <v>0</v>
      </c>
      <c r="G215" s="3" t="n">
        <v>2024</v>
      </c>
    </row>
    <row r="216" customFormat="false" ht="12.8" hidden="false" customHeight="false" outlineLevel="0" collapsed="false">
      <c r="A216" s="3"/>
      <c r="B216" s="3" t="s">
        <v>12</v>
      </c>
      <c r="C216" s="3" t="s">
        <v>442</v>
      </c>
      <c r="D216" s="3"/>
      <c r="E216" s="3" t="s">
        <v>443</v>
      </c>
      <c r="F216" s="4" t="n">
        <v>0</v>
      </c>
      <c r="G216" s="3" t="n">
        <v>2024</v>
      </c>
    </row>
    <row r="217" customFormat="false" ht="12.8" hidden="false" customHeight="false" outlineLevel="0" collapsed="false">
      <c r="A217" s="3"/>
      <c r="B217" s="3" t="s">
        <v>12</v>
      </c>
      <c r="C217" s="3" t="s">
        <v>444</v>
      </c>
      <c r="D217" s="3"/>
      <c r="E217" s="3" t="s">
        <v>445</v>
      </c>
      <c r="F217" s="4" t="n">
        <v>0</v>
      </c>
      <c r="G217" s="3" t="n">
        <v>2023</v>
      </c>
    </row>
    <row r="218" customFormat="false" ht="12.8" hidden="false" customHeight="false" outlineLevel="0" collapsed="false">
      <c r="A218" s="3"/>
      <c r="B218" s="3" t="s">
        <v>12</v>
      </c>
      <c r="C218" s="3" t="s">
        <v>446</v>
      </c>
      <c r="D218" s="3"/>
      <c r="E218" s="3" t="s">
        <v>168</v>
      </c>
      <c r="F218" s="4" t="n">
        <v>0</v>
      </c>
      <c r="G218" s="3" t="n">
        <v>2024</v>
      </c>
    </row>
    <row r="219" customFormat="false" ht="12.8" hidden="false" customHeight="false" outlineLevel="0" collapsed="false">
      <c r="A219" s="3"/>
      <c r="B219" s="3" t="s">
        <v>12</v>
      </c>
      <c r="C219" s="3" t="s">
        <v>447</v>
      </c>
      <c r="D219" s="3"/>
      <c r="E219" s="3" t="s">
        <v>448</v>
      </c>
      <c r="F219" s="4" t="n">
        <v>0</v>
      </c>
      <c r="G219" s="3" t="n">
        <v>2024</v>
      </c>
    </row>
    <row r="220" customFormat="false" ht="12.8" hidden="false" customHeight="false" outlineLevel="0" collapsed="false">
      <c r="A220" s="3"/>
      <c r="B220" s="3" t="s">
        <v>12</v>
      </c>
      <c r="C220" s="3" t="s">
        <v>449</v>
      </c>
      <c r="D220" s="3"/>
      <c r="E220" s="3" t="s">
        <v>450</v>
      </c>
      <c r="F220" s="4" t="n">
        <v>0</v>
      </c>
      <c r="G220" s="3" t="n">
        <v>2024</v>
      </c>
    </row>
    <row r="221" customFormat="false" ht="12.8" hidden="false" customHeight="false" outlineLevel="0" collapsed="false">
      <c r="A221" s="3"/>
      <c r="B221" s="3" t="s">
        <v>12</v>
      </c>
      <c r="C221" s="3" t="s">
        <v>451</v>
      </c>
      <c r="D221" s="3"/>
      <c r="E221" s="3" t="s">
        <v>452</v>
      </c>
      <c r="F221" s="4" t="n">
        <v>-8.82</v>
      </c>
      <c r="G221" s="3" t="n">
        <v>2024</v>
      </c>
    </row>
    <row r="222" customFormat="false" ht="12.8" hidden="false" customHeight="false" outlineLevel="0" collapsed="false">
      <c r="A222" s="3" t="s">
        <v>453</v>
      </c>
      <c r="F222" s="7" t="n">
        <f aca="false">SUM(F2:F221)</f>
        <v>14853766.95</v>
      </c>
    </row>
    <row r="223" customFormat="false" ht="12.8" hidden="false" customHeight="false" outlineLevel="0" collapsed="false">
      <c r="A223" s="3"/>
      <c r="B223" s="3"/>
      <c r="C223" s="3"/>
      <c r="D223" s="3"/>
      <c r="E223" s="3"/>
      <c r="F223" s="3"/>
      <c r="G223" s="3"/>
    </row>
    <row r="224" customFormat="false" ht="12.8" hidden="false" customHeight="false" outlineLevel="0" collapsed="false">
      <c r="A224" s="3"/>
      <c r="B224" s="3" t="s">
        <v>6</v>
      </c>
      <c r="C224" s="3" t="s">
        <v>454</v>
      </c>
      <c r="D224" s="3"/>
      <c r="E224" s="3" t="s">
        <v>455</v>
      </c>
      <c r="F224" s="3"/>
      <c r="G224" s="3"/>
    </row>
    <row r="225" customFormat="false" ht="12.8" hidden="false" customHeight="false" outlineLevel="0" collapsed="false">
      <c r="A225" s="3"/>
      <c r="B225" s="3" t="s">
        <v>6</v>
      </c>
      <c r="C225" s="3" t="s">
        <v>456</v>
      </c>
      <c r="D225" s="3"/>
      <c r="E225" s="3" t="s">
        <v>457</v>
      </c>
      <c r="F225" s="3"/>
      <c r="G225" s="3"/>
    </row>
    <row r="226" customFormat="false" ht="12.8" hidden="false" customHeight="false" outlineLevel="0" collapsed="false">
      <c r="A226" s="3"/>
      <c r="B226" s="3" t="s">
        <v>6</v>
      </c>
      <c r="C226" s="3" t="s">
        <v>458</v>
      </c>
      <c r="D226" s="3"/>
      <c r="E226" s="3" t="s">
        <v>459</v>
      </c>
      <c r="F226" s="3"/>
      <c r="G226" s="3"/>
    </row>
    <row r="227" customFormat="false" ht="12.8" hidden="false" customHeight="false" outlineLevel="0" collapsed="false">
      <c r="A227" s="3"/>
      <c r="B227" s="3" t="s">
        <v>6</v>
      </c>
      <c r="C227" s="3" t="s">
        <v>460</v>
      </c>
      <c r="D227" s="3"/>
      <c r="E227" s="3" t="s">
        <v>461</v>
      </c>
      <c r="F227" s="3"/>
      <c r="G227" s="3"/>
    </row>
    <row r="228" customFormat="false" ht="12.8" hidden="false" customHeight="false" outlineLevel="0" collapsed="false">
      <c r="A228" s="3"/>
      <c r="B228" s="3" t="s">
        <v>115</v>
      </c>
      <c r="C228" s="3" t="s">
        <v>462</v>
      </c>
      <c r="D228" s="3"/>
      <c r="E228" s="3" t="s">
        <v>463</v>
      </c>
      <c r="F228" s="3"/>
      <c r="G228" s="3"/>
    </row>
    <row r="229" customFormat="false" ht="12.8" hidden="false" customHeight="false" outlineLevel="0" collapsed="false">
      <c r="A229" s="3"/>
      <c r="B229" s="3" t="s">
        <v>12</v>
      </c>
      <c r="C229" s="3" t="s">
        <v>464</v>
      </c>
      <c r="D229" s="3"/>
      <c r="E229" s="3" t="s">
        <v>465</v>
      </c>
      <c r="F229" s="3"/>
      <c r="G229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LibreOffice/7.3.7.2$Linux_AARCH64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2026-04-04T18:56:51Z</dcterms:modified>
  <cp:revision>4</cp:revision>
  <dc:subject/>
  <dc:title/>
</cp:coreProperties>
</file>