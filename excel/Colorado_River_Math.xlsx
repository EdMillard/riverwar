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ct" sheetId="1" state="visible" r:id="rId1"/>
    <sheet xmlns:r="http://schemas.openxmlformats.org/officeDocument/2006/relationships" name="III(c)" sheetId="2" state="visible" r:id="rId2"/>
    <sheet xmlns:r="http://schemas.openxmlformats.org/officeDocument/2006/relationships" name="III(d)" sheetId="3" state="visible" r:id="rId3"/>
    <sheet xmlns:r="http://schemas.openxmlformats.org/officeDocument/2006/relationships" name="LB Mainstem CUL" sheetId="4" state="visible" r:id="rId4"/>
    <sheet xmlns:r="http://schemas.openxmlformats.org/officeDocument/2006/relationships" name="LB Tributary CUL" sheetId="5" state="visible" r:id="rId5"/>
    <sheet xmlns:r="http://schemas.openxmlformats.org/officeDocument/2006/relationships" name="LB Reservoirs CUL" sheetId="6" state="visible" r:id="rId6"/>
    <sheet xmlns:r="http://schemas.openxmlformats.org/officeDocument/2006/relationships" name="Reservoirs" sheetId="7" state="visible" r:id="rId7"/>
    <sheet xmlns:r="http://schemas.openxmlformats.org/officeDocument/2006/relationships" name="Imperial" sheetId="8" state="visible" r:id="rId8"/>
    <sheet xmlns:r="http://schemas.openxmlformats.org/officeDocument/2006/relationships" name="Notes" sheetId="9" state="visible" r:id="rId9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[Color1]#,##0.00;[Red]-#,##0.00"/>
    <numFmt numFmtId="165" formatCode="[Red]#,##0.00;[Color22]-#,##0.00"/>
    <numFmt numFmtId="166" formatCode="[Color22]#,##0.00;[Red]-#,##0.00"/>
    <numFmt numFmtId="167" formatCode="#,##0.00;-#,##0,00"/>
    <numFmt numFmtId="168" formatCode="#,##0;-#,##0"/>
  </numFmts>
  <fonts count="5">
    <font>
      <name val="Calibri"/>
      <family val="2"/>
      <color theme="1"/>
      <sz val="11"/>
      <scheme val="minor"/>
    </font>
    <font>
      <b val="1"/>
    </font>
    <font>
      <name val="Arial Narrow"/>
      <color rgb="00000000"/>
      <sz val="10"/>
    </font>
    <font/>
    <font>
      <name val="Arial"/>
      <charset val="1"/>
      <family val="2"/>
      <sz val="10"/>
    </font>
  </fonts>
  <fills count="24">
    <fill>
      <patternFill/>
    </fill>
    <fill>
      <patternFill patternType="gray125"/>
    </fill>
    <fill>
      <patternFill patternType="solid">
        <fgColor rgb="00e8ffe0"/>
        <bgColor rgb="00e8ffe0"/>
      </patternFill>
    </fill>
    <fill>
      <patternFill patternType="solid">
        <fgColor rgb="00fff0f0"/>
        <bgColor rgb="00fff0f0"/>
      </patternFill>
    </fill>
    <fill>
      <patternFill patternType="solid">
        <fgColor rgb="00efefd0"/>
        <bgColor rgb="00efefd0"/>
      </patternFill>
    </fill>
    <fill>
      <patternFill patternType="solid">
        <fgColor rgb="00ffff6d"/>
        <bgColor rgb="00ffff6d"/>
      </patternFill>
    </fill>
    <fill>
      <patternFill patternType="solid">
        <fgColor rgb="00b3cac7"/>
        <bgColor rgb="00b3cac7"/>
      </patternFill>
    </fill>
    <fill>
      <patternFill patternType="solid">
        <fgColor rgb="00ff6d6d"/>
        <bgColor rgb="00ff6d6d"/>
      </patternFill>
    </fill>
    <fill>
      <patternFill patternType="solid">
        <fgColor rgb="00e0f0ff"/>
        <bgColor rgb="00e0f0ff"/>
      </patternFill>
    </fill>
    <fill>
      <patternFill patternType="solid">
        <fgColor rgb="00d0ffff"/>
        <bgColor rgb="00d0ffff"/>
      </patternFill>
    </fill>
    <fill>
      <patternFill patternType="solid">
        <fgColor rgb="00ffc080"/>
        <bgColor rgb="00ffc080"/>
      </patternFill>
    </fill>
    <fill>
      <patternFill patternType="solid">
        <fgColor rgb="00ffe0ff"/>
        <bgColor rgb="00ffe0ff"/>
      </patternFill>
    </fill>
    <fill>
      <patternFill patternType="solid">
        <fgColor rgb="00ffa070"/>
        <bgColor rgb="00ffa070"/>
      </patternFill>
    </fill>
    <fill>
      <patternFill patternType="solid">
        <fgColor rgb="00ffffd0"/>
        <bgColor rgb="00ffffd0"/>
      </patternFill>
    </fill>
    <fill>
      <patternFill patternType="solid">
        <fgColor rgb="FFFFE6E6"/>
        <bgColor rgb="FFFFE0FF"/>
      </patternFill>
    </fill>
    <fill>
      <patternFill patternType="solid">
        <fgColor rgb="FFB3CAC7"/>
        <bgColor rgb="FF99CCFF"/>
      </patternFill>
    </fill>
    <fill>
      <patternFill patternType="solid">
        <fgColor rgb="FFFFD28C"/>
        <bgColor rgb="FFFFB66C"/>
      </patternFill>
    </fill>
    <fill>
      <patternFill patternType="solid">
        <fgColor rgb="FFFFB66C"/>
        <bgColor rgb="FFFFD28C"/>
      </patternFill>
    </fill>
    <fill>
      <patternFill patternType="solid">
        <fgColor rgb="FFFF6D6D"/>
        <bgColor rgb="FFFF6600"/>
      </patternFill>
    </fill>
    <fill>
      <patternFill patternType="solid">
        <fgColor rgb="FFFFFF6D"/>
        <bgColor rgb="FFFFFFD0"/>
      </patternFill>
    </fill>
    <fill>
      <patternFill patternType="solid">
        <fgColor rgb="FFE8FFE0"/>
        <bgColor rgb="FFFFFFD0"/>
      </patternFill>
    </fill>
    <fill>
      <patternFill patternType="solid">
        <fgColor rgb="FFFFFFD0"/>
        <bgColor rgb="FFE8FFE0"/>
      </patternFill>
    </fill>
    <fill>
      <patternFill patternType="solid">
        <fgColor rgb="FFE0F0FF"/>
        <bgColor rgb="FFE8FFE0"/>
      </patternFill>
    </fill>
    <fill>
      <patternFill patternType="solid">
        <fgColor rgb="FFFFE0FF"/>
        <bgColor rgb="FFFFE6E6"/>
      </patternFill>
    </fill>
  </fills>
  <borders count="2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top style="thin">
        <color rgb="00000000"/>
      </top>
    </border>
    <border/>
    <border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2" fillId="0" borderId="11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2" fillId="0" borderId="13" applyAlignment="1" pivotButton="0" quotePrefix="0" xfId="0">
      <alignment horizontal="center" vertical="top" wrapText="1"/>
    </xf>
    <xf numFmtId="0" fontId="2" fillId="0" borderId="3" pivotButton="0" quotePrefix="0" xfId="0"/>
    <xf numFmtId="2" fontId="2" fillId="0" borderId="3" pivotButton="0" quotePrefix="0" xfId="0"/>
    <xf numFmtId="164" fontId="2" fillId="0" borderId="6" pivotButton="0" quotePrefix="0" xfId="0"/>
    <xf numFmtId="2" fontId="2" fillId="4" borderId="6" pivotButton="0" quotePrefix="0" xfId="0"/>
    <xf numFmtId="2" fontId="2" fillId="5" borderId="6" pivotButton="0" quotePrefix="0" xfId="0"/>
    <xf numFmtId="2" fontId="2" fillId="2" borderId="6" pivotButton="0" quotePrefix="0" xfId="0"/>
    <xf numFmtId="2" fontId="2" fillId="6" borderId="6" pivotButton="0" quotePrefix="0" xfId="0"/>
    <xf numFmtId="2" fontId="2" fillId="0" borderId="6" pivotButton="0" quotePrefix="0" xfId="0"/>
    <xf numFmtId="2" fontId="2" fillId="3" borderId="6" pivotButton="0" quotePrefix="0" xfId="0"/>
    <xf numFmtId="2" fontId="2" fillId="7" borderId="6" pivotButton="0" quotePrefix="0" xfId="0"/>
    <xf numFmtId="165" fontId="2" fillId="0" borderId="6" pivotButton="0" quotePrefix="0" xfId="0"/>
    <xf numFmtId="166" fontId="2" fillId="8" borderId="6" pivotButton="0" quotePrefix="0" xfId="0"/>
    <xf numFmtId="2" fontId="2" fillId="8" borderId="6" pivotButton="0" quotePrefix="0" xfId="0"/>
    <xf numFmtId="2" fontId="2" fillId="4" borderId="3" pivotButton="0" quotePrefix="0" xfId="0"/>
    <xf numFmtId="2" fontId="2" fillId="9" borderId="6" pivotButton="0" quotePrefix="0" xfId="0"/>
    <xf numFmtId="2" fontId="2" fillId="10" borderId="6" pivotButton="0" quotePrefix="0" xfId="0"/>
    <xf numFmtId="2" fontId="2" fillId="11" borderId="6" pivotButton="0" quotePrefix="0" xfId="0"/>
    <xf numFmtId="2" fontId="2" fillId="11" borderId="9" pivotButton="0" quotePrefix="0" xfId="0"/>
    <xf numFmtId="0" fontId="2" fillId="0" borderId="4" pivotButton="0" quotePrefix="0" xfId="0"/>
    <xf numFmtId="2" fontId="2" fillId="4" borderId="7" pivotButton="0" quotePrefix="0" xfId="0"/>
    <xf numFmtId="166" fontId="2" fillId="8" borderId="7" pivotButton="0" quotePrefix="0" xfId="0"/>
    <xf numFmtId="2" fontId="2" fillId="8" borderId="7" pivotButton="0" quotePrefix="0" xfId="0"/>
    <xf numFmtId="2" fontId="2" fillId="9" borderId="7" pivotButton="0" quotePrefix="0" xfId="0"/>
    <xf numFmtId="2" fontId="2" fillId="2" borderId="7" pivotButton="0" quotePrefix="0" xfId="0"/>
    <xf numFmtId="2" fontId="2" fillId="10" borderId="7" pivotButton="0" quotePrefix="0" xfId="0"/>
    <xf numFmtId="2" fontId="2" fillId="11" borderId="7" pivotButton="0" quotePrefix="0" xfId="0"/>
    <xf numFmtId="2" fontId="2" fillId="11" borderId="10" pivotButton="0" quotePrefix="0" xfId="0"/>
    <xf numFmtId="0" fontId="2" fillId="0" borderId="11" pivotButton="0" quotePrefix="0" xfId="0"/>
    <xf numFmtId="167" fontId="2" fillId="0" borderId="12" pivotButton="0" quotePrefix="0" xfId="0"/>
    <xf numFmtId="164" fontId="2" fillId="0" borderId="12" pivotButton="0" quotePrefix="0" xfId="0"/>
    <xf numFmtId="167" fontId="2" fillId="4" borderId="12" pivotButton="0" quotePrefix="0" xfId="0"/>
    <xf numFmtId="167" fontId="2" fillId="5" borderId="12" pivotButton="0" quotePrefix="0" xfId="0"/>
    <xf numFmtId="167" fontId="2" fillId="3" borderId="12" pivotButton="0" quotePrefix="0" xfId="0"/>
    <xf numFmtId="167" fontId="2" fillId="6" borderId="12" pivotButton="0" quotePrefix="0" xfId="0"/>
    <xf numFmtId="167" fontId="2" fillId="7" borderId="12" pivotButton="0" quotePrefix="0" xfId="0"/>
    <xf numFmtId="165" fontId="2" fillId="0" borderId="12" pivotButton="0" quotePrefix="0" xfId="0"/>
    <xf numFmtId="166" fontId="2" fillId="8" borderId="12" pivotButton="0" quotePrefix="0" xfId="0"/>
    <xf numFmtId="167" fontId="2" fillId="8" borderId="12" pivotButton="0" quotePrefix="0" xfId="0"/>
    <xf numFmtId="167" fontId="2" fillId="9" borderId="12" pivotButton="0" quotePrefix="0" xfId="0"/>
    <xf numFmtId="167" fontId="2" fillId="2" borderId="12" pivotButton="0" quotePrefix="0" xfId="0"/>
    <xf numFmtId="167" fontId="2" fillId="10" borderId="12" pivotButton="0" quotePrefix="0" xfId="0"/>
    <xf numFmtId="167" fontId="2" fillId="11" borderId="12" pivotButton="0" quotePrefix="0" xfId="0"/>
    <xf numFmtId="167" fontId="2" fillId="11" borderId="13" pivotButton="0" quotePrefix="0" xfId="0"/>
    <xf numFmtId="0" fontId="3" fillId="0" borderId="6" pivotButton="0" quotePrefix="0" xfId="0"/>
    <xf numFmtId="0" fontId="2" fillId="0" borderId="0" pivotButton="0" quotePrefix="0" xfId="0"/>
    <xf numFmtId="164" fontId="2" fillId="0" borderId="0" pivotButton="0" quotePrefix="0" xfId="0"/>
    <xf numFmtId="2" fontId="2" fillId="0" borderId="0" applyAlignment="1" pivotButton="0" quotePrefix="0" xfId="0">
      <alignment horizontal="center" vertical="center"/>
    </xf>
    <xf numFmtId="2" fontId="2" fillId="2" borderId="0" pivotButton="0" quotePrefix="0" xfId="0"/>
    <xf numFmtId="2" fontId="2" fillId="3" borderId="0" pivotButton="0" quotePrefix="0" xfId="0"/>
    <xf numFmtId="2" fontId="2" fillId="10" borderId="0" pivotButton="0" quotePrefix="0" xfId="0"/>
    <xf numFmtId="2" fontId="2" fillId="6" borderId="0" pivotButton="0" quotePrefix="0" xfId="0"/>
    <xf numFmtId="2" fontId="2" fillId="0" borderId="0" pivotButton="0" quotePrefix="0" xfId="0"/>
    <xf numFmtId="168" fontId="2" fillId="12" borderId="6" pivotButton="0" quotePrefix="0" xfId="0"/>
    <xf numFmtId="168" fontId="2" fillId="12" borderId="9" pivotButton="0" quotePrefix="0" xfId="0"/>
    <xf numFmtId="168" fontId="2" fillId="12" borderId="7" pivotButton="0" quotePrefix="0" xfId="0"/>
    <xf numFmtId="168" fontId="2" fillId="12" borderId="10" pivotButton="0" quotePrefix="0" xfId="0"/>
    <xf numFmtId="168" fontId="2" fillId="12" borderId="12" pivotButton="0" quotePrefix="0" xfId="0"/>
    <xf numFmtId="168" fontId="2" fillId="12" borderId="13" pivotButton="0" quotePrefix="0" xfId="0"/>
    <xf numFmtId="168" fontId="2" fillId="5" borderId="6" pivotButton="0" quotePrefix="0" xfId="0"/>
    <xf numFmtId="168" fontId="2" fillId="4" borderId="6" pivotButton="0" quotePrefix="0" xfId="0"/>
    <xf numFmtId="168" fontId="2" fillId="5" borderId="9" pivotButton="0" quotePrefix="0" xfId="0"/>
    <xf numFmtId="168" fontId="2" fillId="5" borderId="7" pivotButton="0" quotePrefix="0" xfId="0"/>
    <xf numFmtId="168" fontId="2" fillId="4" borderId="7" pivotButton="0" quotePrefix="0" xfId="0"/>
    <xf numFmtId="168" fontId="2" fillId="5" borderId="10" pivotButton="0" quotePrefix="0" xfId="0"/>
    <xf numFmtId="168" fontId="2" fillId="5" borderId="12" pivotButton="0" quotePrefix="0" xfId="0"/>
    <xf numFmtId="168" fontId="2" fillId="4" borderId="12" pivotButton="0" quotePrefix="0" xfId="0"/>
    <xf numFmtId="168" fontId="2" fillId="5" borderId="13" pivotButton="0" quotePrefix="0" xfId="0"/>
    <xf numFmtId="168" fontId="2" fillId="7" borderId="6" pivotButton="0" quotePrefix="0" xfId="0"/>
    <xf numFmtId="168" fontId="2" fillId="7" borderId="9" pivotButton="0" quotePrefix="0" xfId="0"/>
    <xf numFmtId="168" fontId="2" fillId="7" borderId="7" pivotButton="0" quotePrefix="0" xfId="0"/>
    <xf numFmtId="168" fontId="2" fillId="7" borderId="10" pivotButton="0" quotePrefix="0" xfId="0"/>
    <xf numFmtId="168" fontId="2" fillId="7" borderId="12" pivotButton="0" quotePrefix="0" xfId="0"/>
    <xf numFmtId="168" fontId="2" fillId="7" borderId="13" pivotButton="0" quotePrefix="0" xfId="0"/>
    <xf numFmtId="2" fontId="2" fillId="8" borderId="0" pivotButton="0" quotePrefix="0" xfId="0"/>
    <xf numFmtId="2" fontId="2" fillId="9" borderId="0" pivotButton="0" quotePrefix="0" xfId="0"/>
    <xf numFmtId="2" fontId="2" fillId="11" borderId="0" pivotButton="0" quotePrefix="0" xfId="0"/>
    <xf numFmtId="2" fontId="2" fillId="13" borderId="0" pivotButton="0" quotePrefix="0" xfId="0"/>
    <xf numFmtId="164" fontId="2" fillId="0" borderId="6" pivotButton="0" quotePrefix="0" xfId="0"/>
    <xf numFmtId="166" fontId="2" fillId="8" borderId="6" pivotButton="0" quotePrefix="0" xfId="0"/>
    <xf numFmtId="166" fontId="2" fillId="8" borderId="7" pivotButton="0" quotePrefix="0" xfId="0"/>
    <xf numFmtId="167" fontId="2" fillId="0" borderId="12" pivotButton="0" quotePrefix="0" xfId="0"/>
    <xf numFmtId="164" fontId="2" fillId="0" borderId="12" pivotButton="0" quotePrefix="0" xfId="0"/>
    <xf numFmtId="167" fontId="2" fillId="4" borderId="12" pivotButton="0" quotePrefix="0" xfId="0"/>
    <xf numFmtId="167" fontId="2" fillId="5" borderId="12" pivotButton="0" quotePrefix="0" xfId="0"/>
    <xf numFmtId="167" fontId="2" fillId="3" borderId="12" pivotButton="0" quotePrefix="0" xfId="0"/>
    <xf numFmtId="167" fontId="2" fillId="6" borderId="12" pivotButton="0" quotePrefix="0" xfId="0"/>
    <xf numFmtId="167" fontId="2" fillId="7" borderId="12" pivotButton="0" quotePrefix="0" xfId="0"/>
    <xf numFmtId="166" fontId="2" fillId="8" borderId="12" pivotButton="0" quotePrefix="0" xfId="0"/>
    <xf numFmtId="167" fontId="2" fillId="8" borderId="12" pivotButton="0" quotePrefix="0" xfId="0"/>
    <xf numFmtId="167" fontId="2" fillId="9" borderId="12" pivotButton="0" quotePrefix="0" xfId="0"/>
    <xf numFmtId="167" fontId="2" fillId="2" borderId="12" pivotButton="0" quotePrefix="0" xfId="0"/>
    <xf numFmtId="167" fontId="2" fillId="10" borderId="12" pivotButton="0" quotePrefix="0" xfId="0"/>
    <xf numFmtId="167" fontId="2" fillId="11" borderId="12" pivotButton="0" quotePrefix="0" xfId="0"/>
    <xf numFmtId="167" fontId="2" fillId="11" borderId="13" pivotButton="0" quotePrefix="0" xfId="0"/>
    <xf numFmtId="164" fontId="2" fillId="0" borderId="0" pivotButton="0" quotePrefix="0" xfId="0"/>
    <xf numFmtId="0" fontId="4" fillId="0" borderId="14" applyAlignment="1" pivotButton="0" quotePrefix="0" xfId="0">
      <alignment horizontal="general" vertical="bottom"/>
    </xf>
    <xf numFmtId="0" fontId="4" fillId="0" borderId="15" applyAlignment="1" pivotButton="0" quotePrefix="0" xfId="0">
      <alignment horizontal="general" vertical="bottom"/>
    </xf>
    <xf numFmtId="0" fontId="4" fillId="0" borderId="16" applyAlignment="1" pivotButton="0" quotePrefix="0" xfId="0">
      <alignment horizontal="general" vertical="bottom"/>
    </xf>
    <xf numFmtId="0" fontId="4" fillId="0" borderId="17" applyAlignment="1" pivotButton="0" quotePrefix="0" xfId="0">
      <alignment horizontal="general" vertical="bottom"/>
    </xf>
    <xf numFmtId="0" fontId="4" fillId="0" borderId="18" applyAlignment="1" pivotButton="0" quotePrefix="0" xfId="0">
      <alignment horizontal="general" vertical="bottom"/>
    </xf>
    <xf numFmtId="0" fontId="4" fillId="0" borderId="18" applyAlignment="1" pivotButton="0" quotePrefix="0" xfId="0">
      <alignment horizontal="center" vertical="bottom"/>
    </xf>
    <xf numFmtId="0" fontId="4" fillId="0" borderId="19" applyAlignment="1" pivotButton="0" quotePrefix="0" xfId="0">
      <alignment horizontal="general" vertical="bottom"/>
    </xf>
    <xf numFmtId="0" fontId="4" fillId="14" borderId="2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4" fillId="0" borderId="21" applyAlignment="1" pivotButton="0" quotePrefix="0" xfId="0">
      <alignment horizontal="general" vertical="bottom"/>
    </xf>
    <xf numFmtId="0" fontId="4" fillId="15" borderId="20" applyAlignment="1" pivotButton="0" quotePrefix="0" xfId="0">
      <alignment horizontal="general" vertical="bottom"/>
    </xf>
    <xf numFmtId="0" fontId="4" fillId="16" borderId="22" applyAlignment="1" pivotButton="0" quotePrefix="0" xfId="0">
      <alignment horizontal="general" vertical="bottom"/>
    </xf>
    <xf numFmtId="0" fontId="4" fillId="17" borderId="22" applyAlignment="1" pivotButton="0" quotePrefix="0" xfId="0">
      <alignment horizontal="general" vertical="bottom"/>
    </xf>
    <xf numFmtId="0" fontId="4" fillId="18" borderId="22" applyAlignment="1" pivotButton="0" quotePrefix="0" xfId="0">
      <alignment horizontal="general" vertical="bottom"/>
    </xf>
    <xf numFmtId="0" fontId="4" fillId="19" borderId="22" applyAlignment="1" pivotButton="0" quotePrefix="0" xfId="0">
      <alignment horizontal="general" vertical="bottom"/>
    </xf>
    <xf numFmtId="0" fontId="4" fillId="20" borderId="22" applyAlignment="1" pivotButton="0" quotePrefix="0" xfId="0">
      <alignment horizontal="general" vertical="bottom"/>
    </xf>
    <xf numFmtId="0" fontId="4" fillId="21" borderId="22" applyAlignment="1" pivotButton="0" quotePrefix="0" xfId="0">
      <alignment horizontal="general" vertical="bottom"/>
    </xf>
    <xf numFmtId="0" fontId="4" fillId="22" borderId="22" applyAlignment="1" pivotButton="0" quotePrefix="0" xfId="0">
      <alignment horizontal="general" vertical="bottom"/>
    </xf>
    <xf numFmtId="0" fontId="4" fillId="23" borderId="22" applyAlignment="1" pivotButton="0" quotePrefix="0" xfId="0">
      <alignment horizontal="general" vertical="bottom"/>
    </xf>
    <xf numFmtId="0" fontId="4" fillId="0" borderId="23" applyAlignment="1" pivotButton="0" quotePrefix="0" xfId="0">
      <alignment horizontal="general" vertical="bottom"/>
    </xf>
    <xf numFmtId="0" fontId="4" fillId="0" borderId="24" applyAlignment="1" pivotButton="0" quotePrefix="0" xfId="0">
      <alignment horizontal="general" vertical="bottom"/>
    </xf>
    <xf numFmtId="0" fontId="4" fillId="0" borderId="25" applyAlignment="1" pivotButton="0" quotePrefix="0" xfId="0">
      <alignment horizontal="center" vertical="bottom"/>
    </xf>
    <xf numFmtId="0" fontId="4" fillId="0" borderId="25" applyAlignment="1" pivotButton="0" quotePrefix="0" xfId="0">
      <alignment horizontal="general" vertical="bottom"/>
    </xf>
    <xf numFmtId="0" fontId="4" fillId="0" borderId="26" applyAlignment="1" pivotButton="0" quotePrefix="0" xfId="0">
      <alignment horizontal="general" vertical="bottom"/>
    </xf>
    <xf numFmtId="0" fontId="4" fillId="0" borderId="22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</cols>
  <sheetData>
    <row r="1" ht="25" customHeight="1">
      <c r="A1" s="1" t="inlineStr">
        <is>
          <t>Year</t>
        </is>
      </c>
      <c r="B1" s="2" t="inlineStr">
        <is>
          <t>III(a)</t>
        </is>
      </c>
      <c r="C1" s="2" t="inlineStr">
        <is>
          <t>III(c)</t>
        </is>
      </c>
      <c r="D1" s="2" t="inlineStr">
        <is>
          <t>III(c) AZ</t>
        </is>
      </c>
      <c r="E1" s="2" t="inlineStr">
        <is>
          <t>NIB USGS Morelos</t>
        </is>
      </c>
      <c r="F1" s="2" t="inlineStr">
        <is>
          <t>USGS Gila Dome</t>
        </is>
      </c>
      <c r="G1" s="2" t="inlineStr">
        <is>
          <t>AZ Gila CUL</t>
        </is>
      </c>
      <c r="H1" s="2" t="inlineStr">
        <is>
          <t>Natural Imperial</t>
        </is>
      </c>
      <c r="I1" s="2" t="inlineStr">
        <is>
          <t>Mexico</t>
        </is>
      </c>
      <c r="J1" s="2" t="inlineStr">
        <is>
          <t>III(a) Lower</t>
        </is>
      </c>
      <c r="K1" s="2" t="inlineStr">
        <is>
          <t>III(b)</t>
        </is>
      </c>
      <c r="L1" s="2" t="inlineStr">
        <is>
          <t>LB CU</t>
        </is>
      </c>
      <c r="M1" s="2" t="inlineStr">
        <is>
          <t>CA CU</t>
        </is>
      </c>
      <c r="N1" s="2" t="inlineStr">
        <is>
          <t>AZ CU</t>
        </is>
      </c>
      <c r="O1" s="2" t="inlineStr">
        <is>
          <t>NV CU</t>
        </is>
      </c>
      <c r="P1" s="2" t="inlineStr">
        <is>
          <t>LC Reservoir Total CUL</t>
        </is>
      </c>
      <c r="Q1" s="2" t="inlineStr">
        <is>
          <t>Hv-Mx</t>
        </is>
      </c>
      <c r="R1" s="2" t="inlineStr">
        <is>
          <t>Diff 7.5</t>
        </is>
      </c>
      <c r="S1" s="2" t="inlineStr">
        <is>
          <t>Hoover USGS</t>
        </is>
      </c>
      <c r="T1" s="2" t="inlineStr">
        <is>
          <t>Mead Δ</t>
        </is>
      </c>
      <c r="U1" s="2" t="inlineStr">
        <is>
          <t>Mead</t>
        </is>
      </c>
      <c r="V1" s="2" t="inlineStr">
        <is>
          <t>Mead CUL</t>
        </is>
      </c>
      <c r="W1" s="2" t="inlineStr">
        <is>
          <t>Diamond Creek</t>
        </is>
      </c>
      <c r="X1" s="2" t="inlineStr">
        <is>
          <t>GC Inflow</t>
        </is>
      </c>
      <c r="Y1" s="2" t="inlineStr">
        <is>
          <t>III(d)</t>
        </is>
      </c>
      <c r="Z1" s="2" t="inlineStr">
        <is>
          <t>Lees Ferry USGS</t>
        </is>
      </c>
      <c r="AA1" s="2" t="inlineStr">
        <is>
          <t>Glen Canyon</t>
        </is>
      </c>
      <c r="AB1" s="2" t="inlineStr">
        <is>
          <t>Powell Δ</t>
        </is>
      </c>
      <c r="AC1" s="2" t="inlineStr">
        <is>
          <t>Powell</t>
        </is>
      </c>
      <c r="AD1" s="2" t="inlineStr">
        <is>
          <t>Powell Evaporation</t>
        </is>
      </c>
      <c r="AE1" s="2" t="inlineStr">
        <is>
          <t>Natural Lees Ferry</t>
        </is>
      </c>
      <c r="AF1" s="2" t="inlineStr">
        <is>
          <t>Inflow</t>
        </is>
      </c>
      <c r="AG1" s="2" t="inlineStr">
        <is>
          <t>Inflow Unregulated</t>
        </is>
      </c>
      <c r="AH1" s="2" t="inlineStr">
        <is>
          <t>III(a) Upper</t>
        </is>
      </c>
      <c r="AI1" s="2" t="inlineStr">
        <is>
          <t>CO</t>
        </is>
      </c>
      <c r="AJ1" s="2" t="inlineStr">
        <is>
          <t>UT</t>
        </is>
      </c>
      <c r="AK1" s="2" t="inlineStr">
        <is>
          <t>WY</t>
        </is>
      </c>
      <c r="AL1" s="2" t="inlineStr">
        <is>
          <t>NM</t>
        </is>
      </c>
      <c r="AM1" s="2" t="inlineStr">
        <is>
          <t>AZ_</t>
        </is>
      </c>
      <c r="AN1" s="2" t="inlineStr">
        <is>
          <t>Flaming Gorge</t>
        </is>
      </c>
      <c r="AO1" s="2" t="inlineStr">
        <is>
          <t>Mead Elevation</t>
        </is>
      </c>
      <c r="AP1" s="3" t="inlineStr">
        <is>
          <t>Powell Elevation</t>
        </is>
      </c>
      <c r="AQ1" t="inlineStr">
        <is>
          <t>03/21/2026 05:05PM</t>
        </is>
      </c>
    </row>
    <row r="2">
      <c r="A2" s="4" t="n">
        <v>1964</v>
      </c>
      <c r="B2" s="5">
        <f>J2+AH2</f>
        <v/>
      </c>
      <c r="C2" s="81">
        <f>H2 - (J2 + K2 + AH2)</f>
        <v/>
      </c>
      <c r="D2" s="81">
        <f>H2 - 16</f>
        <v/>
      </c>
      <c r="E2" s="7" t="n">
        <v>1.501736283302307</v>
      </c>
      <c r="F2" s="7" t="n">
        <v>0.0001021481366478838</v>
      </c>
      <c r="G2" s="8" t="inlineStr"/>
      <c r="H2" s="9" t="n">
        <v>10.69969</v>
      </c>
      <c r="I2" s="10" t="inlineStr"/>
      <c r="J2" s="11">
        <f>MIN(7.5, L2)</f>
        <v/>
      </c>
      <c r="K2" s="11">
        <f>MAX(0, L2 - 7.5)</f>
        <v/>
      </c>
      <c r="L2" s="12">
        <f>M2+N2+O2+P2+V2</f>
        <v/>
      </c>
      <c r="M2" s="12" t="n">
        <v>5.064733</v>
      </c>
      <c r="N2" s="12" t="n">
        <v>1.127176</v>
      </c>
      <c r="O2" s="12" t="n">
        <v>0.025297</v>
      </c>
      <c r="P2" s="13" t="inlineStr"/>
      <c r="Q2" s="11">
        <f>S2-I2</f>
        <v/>
      </c>
      <c r="R2" s="14">
        <f>Q2-7.5</f>
        <v/>
      </c>
      <c r="S2" s="7" t="n">
        <v>8.158462524414062</v>
      </c>
      <c r="T2" s="82" t="inlineStr"/>
      <c r="U2" s="16" t="n">
        <v>11.13599967956543</v>
      </c>
      <c r="V2" s="13" t="inlineStr"/>
      <c r="W2" s="7" t="inlineStr"/>
      <c r="X2" s="7" t="inlineStr"/>
      <c r="Y2" s="5" t="n">
        <v>8.96968936920166</v>
      </c>
      <c r="Z2" s="17" t="n">
        <v>3.243308544158936</v>
      </c>
      <c r="AA2" s="7" t="n">
        <v>3.243326425552368</v>
      </c>
      <c r="AB2" s="82" t="inlineStr"/>
      <c r="AC2" s="16" t="n">
        <v>4.109600067138672</v>
      </c>
      <c r="AD2" s="18" t="inlineStr"/>
      <c r="AE2" s="9" t="n">
        <v>10.414057</v>
      </c>
      <c r="AF2" s="7" t="n">
        <v>7.153512001037598</v>
      </c>
      <c r="AG2" s="7" t="n">
        <v>7.548995971679688</v>
      </c>
      <c r="AH2" s="19" t="inlineStr"/>
      <c r="AI2" s="19" t="inlineStr"/>
      <c r="AJ2" s="19" t="inlineStr"/>
      <c r="AK2" s="19" t="inlineStr"/>
      <c r="AL2" s="19" t="inlineStr"/>
      <c r="AM2" s="19" t="inlineStr"/>
      <c r="AN2" s="16" t="n">
        <v>1.097900032997131</v>
      </c>
      <c r="AO2" s="20" t="n">
        <v>1088.140014648438</v>
      </c>
      <c r="AP2" s="21" t="inlineStr"/>
    </row>
    <row r="3">
      <c r="A3" s="4" t="n">
        <v>1965</v>
      </c>
      <c r="B3" s="5">
        <f>J3+AH3</f>
        <v/>
      </c>
      <c r="C3" s="81">
        <f>H3 - (J3 + K3 + AH3)</f>
        <v/>
      </c>
      <c r="D3" s="81">
        <f>H3 - 16</f>
        <v/>
      </c>
      <c r="E3" s="7" t="n">
        <v>1.524171233177185</v>
      </c>
      <c r="F3" s="7" t="n">
        <v>0.0003233039751648903</v>
      </c>
      <c r="G3" s="8" t="inlineStr"/>
      <c r="H3" s="9" t="n">
        <v>20.840676</v>
      </c>
      <c r="I3" s="10" t="n">
        <v>1.5</v>
      </c>
      <c r="J3" s="11">
        <f>MIN(7.5, L3)</f>
        <v/>
      </c>
      <c r="K3" s="11">
        <f>MAX(0, L3 - 7.5)</f>
        <v/>
      </c>
      <c r="L3" s="12">
        <f>M3+N3+O3+P3+V3</f>
        <v/>
      </c>
      <c r="M3" s="12" t="n">
        <v>4.899987</v>
      </c>
      <c r="N3" s="12" t="n">
        <v>1.008531</v>
      </c>
      <c r="O3" s="12" t="n">
        <v>0.022688</v>
      </c>
      <c r="P3" s="13" t="inlineStr"/>
      <c r="Q3" s="11">
        <f>S3-I3</f>
        <v/>
      </c>
      <c r="R3" s="14">
        <f>Q3-7.5</f>
        <v/>
      </c>
      <c r="S3" s="7" t="n">
        <v>7.791701316833496</v>
      </c>
      <c r="T3" s="82">
        <f>U3-U2</f>
        <v/>
      </c>
      <c r="U3" s="16" t="n">
        <v>15.23299980163574</v>
      </c>
      <c r="V3" s="13" t="inlineStr"/>
      <c r="W3" s="7" t="inlineStr"/>
      <c r="X3" s="7" t="inlineStr"/>
      <c r="Y3" s="5" t="n">
        <v>9.431654930114746</v>
      </c>
      <c r="Z3" s="17" t="n">
        <v>11.58601856231689</v>
      </c>
      <c r="AA3" s="7" t="n">
        <v>11.58608818054199</v>
      </c>
      <c r="AB3" s="82">
        <f>AC3-AC2</f>
        <v/>
      </c>
      <c r="AC3" s="16" t="n">
        <v>6.551400184631348</v>
      </c>
      <c r="AD3" s="18" t="n">
        <v>0.1818643808364868</v>
      </c>
      <c r="AE3" s="9" t="n">
        <v>19.416659</v>
      </c>
      <c r="AF3" s="7" t="n">
        <v>14.75141716003418</v>
      </c>
      <c r="AG3" s="7" t="n">
        <v>16.19699478149414</v>
      </c>
      <c r="AH3" s="19" t="inlineStr"/>
      <c r="AI3" s="19" t="inlineStr"/>
      <c r="AJ3" s="19" t="inlineStr"/>
      <c r="AK3" s="19" t="inlineStr"/>
      <c r="AL3" s="19" t="inlineStr"/>
      <c r="AM3" s="19" t="inlineStr"/>
      <c r="AN3" s="16" t="n">
        <v>2.395299911499023</v>
      </c>
      <c r="AO3" s="20" t="n">
        <v>1129.739990234375</v>
      </c>
      <c r="AP3" s="21" t="n">
        <v>3534.6298828125</v>
      </c>
    </row>
    <row r="4">
      <c r="A4" s="4" t="n">
        <v>1966</v>
      </c>
      <c r="B4" s="5">
        <f>J4+AH4</f>
        <v/>
      </c>
      <c r="C4" s="81">
        <f>H4 - (J4 + K4 + AH4)</f>
        <v/>
      </c>
      <c r="D4" s="81">
        <f>H4 - 16</f>
        <v/>
      </c>
      <c r="E4" s="7" t="n">
        <v>1.42034900188446</v>
      </c>
      <c r="F4" s="7" t="n">
        <v>0.03983660414814949</v>
      </c>
      <c r="G4" s="8" t="inlineStr"/>
      <c r="H4" s="9" t="n">
        <v>11.234654</v>
      </c>
      <c r="I4" s="10" t="n">
        <v>1.5</v>
      </c>
      <c r="J4" s="11">
        <f>MIN(7.5, L4)</f>
        <v/>
      </c>
      <c r="K4" s="11">
        <f>MAX(0, L4 - 7.5)</f>
        <v/>
      </c>
      <c r="L4" s="12">
        <f>M4+N4+O4+P4+V4</f>
        <v/>
      </c>
      <c r="M4" s="12" t="n">
        <v>5.096912</v>
      </c>
      <c r="N4" s="12" t="n">
        <v>1.073055</v>
      </c>
      <c r="O4" s="12" t="n">
        <v>0.026626</v>
      </c>
      <c r="P4" s="13" t="inlineStr"/>
      <c r="Q4" s="11">
        <f>S4-I4</f>
        <v/>
      </c>
      <c r="R4" s="14">
        <f>Q4-7.5</f>
        <v/>
      </c>
      <c r="S4" s="7" t="n">
        <v>7.780911445617676</v>
      </c>
      <c r="T4" s="82">
        <f>U4-U3</f>
        <v/>
      </c>
      <c r="U4" s="16" t="n">
        <v>15.48099994659424</v>
      </c>
      <c r="V4" s="13" t="inlineStr"/>
      <c r="W4" s="7" t="inlineStr"/>
      <c r="X4" s="7" t="inlineStr"/>
      <c r="Y4" s="5" t="n">
        <v>9.339696884155273</v>
      </c>
      <c r="Z4" s="17" t="n">
        <v>7.738644123077393</v>
      </c>
      <c r="AA4" s="7" t="n">
        <v>7.738697052001953</v>
      </c>
      <c r="AB4" s="82">
        <f>AC4-AC3</f>
        <v/>
      </c>
      <c r="AC4" s="16" t="n">
        <v>5.725900173187256</v>
      </c>
      <c r="AD4" s="18" t="n">
        <v>0.2139052301645279</v>
      </c>
      <c r="AE4" s="9" t="n">
        <v>10.162126</v>
      </c>
      <c r="AF4" s="7" t="n">
        <v>7.54060697555542</v>
      </c>
      <c r="AG4" s="7" t="n">
        <v>7.713955879211426</v>
      </c>
      <c r="AH4" s="19" t="inlineStr"/>
      <c r="AI4" s="19" t="inlineStr"/>
      <c r="AJ4" s="19" t="inlineStr"/>
      <c r="AK4" s="19" t="inlineStr"/>
      <c r="AL4" s="19" t="inlineStr"/>
      <c r="AM4" s="19" t="inlineStr"/>
      <c r="AN4" s="16" t="n">
        <v>2.243299961090088</v>
      </c>
      <c r="AO4" s="20" t="n">
        <v>1132.050048828125</v>
      </c>
      <c r="AP4" s="21" t="n">
        <v>3521.449951171875</v>
      </c>
    </row>
    <row r="5">
      <c r="A5" s="4" t="n">
        <v>1967</v>
      </c>
      <c r="B5" s="5">
        <f>J5+AH5</f>
        <v/>
      </c>
      <c r="C5" s="81">
        <f>H5 - (J5 + K5 + AH5)</f>
        <v/>
      </c>
      <c r="D5" s="81">
        <f>H5 - 16</f>
        <v/>
      </c>
      <c r="E5" s="7" t="n">
        <v>1.322564482688904</v>
      </c>
      <c r="F5" s="7" t="n">
        <v>0.0005262116901576519</v>
      </c>
      <c r="G5" s="8" t="inlineStr"/>
      <c r="H5" s="9" t="n">
        <v>12.290233</v>
      </c>
      <c r="I5" s="10" t="n">
        <v>1.5</v>
      </c>
      <c r="J5" s="11">
        <f>MIN(7.5, L5)</f>
        <v/>
      </c>
      <c r="K5" s="11">
        <f>MAX(0, L5 - 7.5)</f>
        <v/>
      </c>
      <c r="L5" s="12">
        <f>M5+N5+O5+P5+V5</f>
        <v/>
      </c>
      <c r="M5" s="12" t="n">
        <v>4.886734</v>
      </c>
      <c r="N5" s="12" t="n">
        <v>1.042437</v>
      </c>
      <c r="O5" s="12" t="n">
        <v>0.027134</v>
      </c>
      <c r="P5" s="13" t="inlineStr"/>
      <c r="Q5" s="11">
        <f>S5-I5</f>
        <v/>
      </c>
      <c r="R5" s="14">
        <f>Q5-7.5</f>
        <v/>
      </c>
      <c r="S5" s="7" t="n">
        <v>7.932051181793213</v>
      </c>
      <c r="T5" s="82">
        <f>U5-U4</f>
        <v/>
      </c>
      <c r="U5" s="16" t="n">
        <v>14.33800029754639</v>
      </c>
      <c r="V5" s="13" t="inlineStr"/>
      <c r="W5" s="7" t="inlineStr"/>
      <c r="X5" s="7" t="inlineStr"/>
      <c r="Y5" s="5" t="n">
        <v>8.225492477416992</v>
      </c>
      <c r="Z5" s="17" t="n">
        <v>7.559974193572998</v>
      </c>
      <c r="AA5" s="7" t="n">
        <v>7.560020446777344</v>
      </c>
      <c r="AB5" s="82">
        <f>AC5-AC4</f>
        <v/>
      </c>
      <c r="AC5" s="16" t="n">
        <v>6.068099975585938</v>
      </c>
      <c r="AD5" s="18" t="n">
        <v>0.192960187792778</v>
      </c>
      <c r="AE5" s="9" t="n">
        <v>11.505464</v>
      </c>
      <c r="AF5" s="7" t="n">
        <v>8.395038604736328</v>
      </c>
      <c r="AG5" s="7" t="n">
        <v>8.837491035461426</v>
      </c>
      <c r="AH5" s="19" t="inlineStr"/>
      <c r="AI5" s="19" t="inlineStr"/>
      <c r="AJ5" s="19" t="inlineStr"/>
      <c r="AK5" s="19" t="inlineStr"/>
      <c r="AL5" s="19" t="inlineStr"/>
      <c r="AM5" s="19" t="inlineStr"/>
      <c r="AN5" s="16" t="n">
        <v>2.288300037384033</v>
      </c>
      <c r="AO5" s="20" t="n">
        <v>1129.839965820312</v>
      </c>
      <c r="AP5" s="21" t="n">
        <v>3527.06005859375</v>
      </c>
    </row>
    <row r="6">
      <c r="A6" s="4" t="n">
        <v>1968</v>
      </c>
      <c r="B6" s="5">
        <f>J6+AH6</f>
        <v/>
      </c>
      <c r="C6" s="81">
        <f>H6 - (J6 + K6 + AH6)</f>
        <v/>
      </c>
      <c r="D6" s="81">
        <f>H6 - 16</f>
        <v/>
      </c>
      <c r="E6" s="7" t="n">
        <v>1.326547265052795</v>
      </c>
      <c r="F6" s="7" t="n">
        <v>0.0007970734150148928</v>
      </c>
      <c r="G6" s="8" t="inlineStr"/>
      <c r="H6" s="9" t="n">
        <v>14.389854</v>
      </c>
      <c r="I6" s="10" t="n">
        <v>1.5</v>
      </c>
      <c r="J6" s="11">
        <f>MIN(7.5, L6)</f>
        <v/>
      </c>
      <c r="K6" s="11">
        <f>MAX(0, L6 - 7.5)</f>
        <v/>
      </c>
      <c r="L6" s="12">
        <f>M6+N6+O6+P6+V6</f>
        <v/>
      </c>
      <c r="M6" s="12" t="n">
        <v>5.072533</v>
      </c>
      <c r="N6" s="12" t="n">
        <v>1.097398</v>
      </c>
      <c r="O6" s="12" t="n">
        <v>0.03356</v>
      </c>
      <c r="P6" s="13" t="inlineStr"/>
      <c r="Q6" s="11">
        <f>S6-I6</f>
        <v/>
      </c>
      <c r="R6" s="14">
        <f>Q6-7.5</f>
        <v/>
      </c>
      <c r="S6" s="7" t="n">
        <v>7.838133811950684</v>
      </c>
      <c r="T6" s="82">
        <f>U6-U5</f>
        <v/>
      </c>
      <c r="U6" s="16" t="n">
        <v>15.35499954223633</v>
      </c>
      <c r="V6" s="13" t="inlineStr"/>
      <c r="W6" s="7" t="inlineStr"/>
      <c r="X6" s="7" t="inlineStr"/>
      <c r="Y6" s="5" t="n">
        <v>7.791869163513184</v>
      </c>
      <c r="Z6" s="17" t="n">
        <v>8.803603172302246</v>
      </c>
      <c r="AA6" s="7" t="n">
        <v>8.803651809692383</v>
      </c>
      <c r="AB6" s="82">
        <f>AC6-AC5</f>
        <v/>
      </c>
      <c r="AC6" s="16" t="n">
        <v>6.85699987411499</v>
      </c>
      <c r="AD6" s="18" t="n">
        <v>0.2200408279895782</v>
      </c>
      <c r="AE6" s="9" t="n">
        <v>13.6545</v>
      </c>
      <c r="AF6" s="7" t="n">
        <v>10.10126399993896</v>
      </c>
      <c r="AG6" s="7" t="n">
        <v>10.59501934051514</v>
      </c>
      <c r="AH6" s="19" t="inlineStr"/>
      <c r="AI6" s="19" t="inlineStr"/>
      <c r="AJ6" s="19" t="inlineStr"/>
      <c r="AK6" s="19" t="inlineStr"/>
      <c r="AL6" s="19" t="inlineStr"/>
      <c r="AM6" s="19" t="inlineStr"/>
      <c r="AN6" s="16" t="n">
        <v>1.91509997844696</v>
      </c>
      <c r="AO6" s="20" t="n">
        <v>1139.650024414062</v>
      </c>
      <c r="AP6" s="21" t="n">
        <v>3539.2900390625</v>
      </c>
    </row>
    <row r="7">
      <c r="A7" s="4" t="n">
        <v>1969</v>
      </c>
      <c r="B7" s="5">
        <f>J7+AH7</f>
        <v/>
      </c>
      <c r="C7" s="81">
        <f>H7 - (J7 + K7 + AH7)</f>
        <v/>
      </c>
      <c r="D7" s="81">
        <f>H7 - 16</f>
        <v/>
      </c>
      <c r="E7" s="7" t="n">
        <v>1.319847106933594</v>
      </c>
      <c r="F7" s="7" t="n">
        <v>0.001198664307594299</v>
      </c>
      <c r="G7" s="8" t="inlineStr"/>
      <c r="H7" s="9" t="n">
        <v>15.891007</v>
      </c>
      <c r="I7" s="10" t="n">
        <v>1.5</v>
      </c>
      <c r="J7" s="11">
        <f>MIN(7.5, L7)</f>
        <v/>
      </c>
      <c r="K7" s="11">
        <f>MAX(0, L7 - 7.5)</f>
        <v/>
      </c>
      <c r="L7" s="12">
        <f>M7+N7+O7+P7+V7</f>
        <v/>
      </c>
      <c r="M7" s="12" t="n">
        <v>4.896527</v>
      </c>
      <c r="N7" s="12" t="n">
        <v>1.138085</v>
      </c>
      <c r="O7" s="12" t="n">
        <v>0.037392</v>
      </c>
      <c r="P7" s="13" t="inlineStr"/>
      <c r="Q7" s="11">
        <f>S7-I7</f>
        <v/>
      </c>
      <c r="R7" s="14">
        <f>Q7-7.5</f>
        <v/>
      </c>
      <c r="S7" s="7" t="n">
        <v>7.89192533493042</v>
      </c>
      <c r="T7" s="82">
        <f>U7-U6</f>
        <v/>
      </c>
      <c r="U7" s="16" t="n">
        <v>16.76000022888184</v>
      </c>
      <c r="V7" s="13" t="inlineStr"/>
      <c r="W7" s="7" t="inlineStr"/>
      <c r="X7" s="7" t="inlineStr"/>
      <c r="Y7" s="5" t="n">
        <v>7.993605136871338</v>
      </c>
      <c r="Z7" s="17" t="n">
        <v>9.077577590942383</v>
      </c>
      <c r="AA7" s="7" t="n">
        <v>9.077632904052734</v>
      </c>
      <c r="AB7" s="82">
        <f>AC7-AC6</f>
        <v/>
      </c>
      <c r="AC7" s="16" t="n">
        <v>9.291500091552734</v>
      </c>
      <c r="AD7" s="18" t="n">
        <v>0.287304013967514</v>
      </c>
      <c r="AE7" s="9" t="n">
        <v>14.915964</v>
      </c>
      <c r="AF7" s="7" t="n">
        <v>12.09382629394531</v>
      </c>
      <c r="AG7" s="7" t="n">
        <v>12.09856986999512</v>
      </c>
      <c r="AH7" s="19" t="inlineStr"/>
      <c r="AI7" s="19" t="inlineStr"/>
      <c r="AJ7" s="19" t="inlineStr"/>
      <c r="AK7" s="19" t="inlineStr"/>
      <c r="AL7" s="19" t="inlineStr"/>
      <c r="AM7" s="19" t="inlineStr"/>
      <c r="AN7" s="16" t="n">
        <v>1.566709995269775</v>
      </c>
      <c r="AO7" s="20" t="n">
        <v>1152.5</v>
      </c>
      <c r="AP7" s="21" t="n">
        <v>3572.110107421875</v>
      </c>
    </row>
    <row r="8">
      <c r="A8" s="4" t="n">
        <v>1970</v>
      </c>
      <c r="B8" s="5">
        <f>J8+AH8</f>
        <v/>
      </c>
      <c r="C8" s="81">
        <f>H8 - (J8 + K8 + AH8)</f>
        <v/>
      </c>
      <c r="D8" s="81">
        <f>H8 - 16</f>
        <v/>
      </c>
      <c r="E8" s="7" t="n">
        <v>1.312720656394958</v>
      </c>
      <c r="F8" s="7" t="n">
        <v>0.002657954348251224</v>
      </c>
      <c r="G8" s="8" t="inlineStr"/>
      <c r="H8" s="9" t="n">
        <v>15.626758</v>
      </c>
      <c r="I8" s="10" t="n">
        <v>1.5</v>
      </c>
      <c r="J8" s="11">
        <f>MIN(7.5, L8)</f>
        <v/>
      </c>
      <c r="K8" s="11">
        <f>MAX(0, L8 - 7.5)</f>
        <v/>
      </c>
      <c r="L8" s="12">
        <f>M8+N8+O8+P8+V8</f>
        <v/>
      </c>
      <c r="M8" s="12" t="n">
        <v>5.015018</v>
      </c>
      <c r="N8" s="12" t="n">
        <v>1.201441</v>
      </c>
      <c r="O8" s="12" t="n">
        <v>0.038308</v>
      </c>
      <c r="P8" s="13" t="inlineStr"/>
      <c r="Q8" s="11">
        <f>S8-I8</f>
        <v/>
      </c>
      <c r="R8" s="14">
        <f>Q8-7.5</f>
        <v/>
      </c>
      <c r="S8" s="7" t="n">
        <v>8.022377967834473</v>
      </c>
      <c r="T8" s="82">
        <f>U8-U7</f>
        <v/>
      </c>
      <c r="U8" s="16" t="n">
        <v>16.81100082397461</v>
      </c>
      <c r="V8" s="13" t="inlineStr"/>
      <c r="W8" s="7" t="inlineStr"/>
      <c r="X8" s="7" t="inlineStr"/>
      <c r="Y8" s="5" t="n">
        <v>7.928507804870605</v>
      </c>
      <c r="Z8" s="17" t="n">
        <v>8.13902473449707</v>
      </c>
      <c r="AA8" s="7" t="n">
        <v>8.139078140258789</v>
      </c>
      <c r="AB8" s="82">
        <f>AC8-AC7</f>
        <v/>
      </c>
      <c r="AC8" s="16" t="n">
        <v>11.74120044708252</v>
      </c>
      <c r="AD8" s="18" t="n">
        <v>0.3380661904811859</v>
      </c>
      <c r="AE8" s="9" t="n">
        <v>14.947995</v>
      </c>
      <c r="AF8" s="7" t="n">
        <v>11.51319599151611</v>
      </c>
      <c r="AG8" s="7" t="n">
        <v>11.78570747375488</v>
      </c>
      <c r="AH8" s="19" t="inlineStr"/>
      <c r="AI8" s="19" t="inlineStr"/>
      <c r="AJ8" s="19" t="inlineStr"/>
      <c r="AK8" s="19" t="inlineStr"/>
      <c r="AL8" s="19" t="inlineStr"/>
      <c r="AM8" s="19" t="inlineStr"/>
      <c r="AN8" s="16" t="n">
        <v>1.763450026512146</v>
      </c>
      <c r="AO8" s="20" t="n">
        <v>1152.949951171875</v>
      </c>
      <c r="AP8" s="21" t="n">
        <v>3599.780029296875</v>
      </c>
    </row>
    <row r="9">
      <c r="A9" s="4" t="n">
        <v>1971</v>
      </c>
      <c r="B9" s="5">
        <f>J9+AH9</f>
        <v/>
      </c>
      <c r="C9" s="81">
        <f>H9 - (J9 + K9 + AH9)</f>
        <v/>
      </c>
      <c r="D9" s="81">
        <f>H9 - 16</f>
        <v/>
      </c>
      <c r="E9" s="7" t="n">
        <v>1.316183805465698</v>
      </c>
      <c r="F9" s="7" t="n">
        <v>0.003759684273973107</v>
      </c>
      <c r="G9" s="8" t="n">
        <v>2.78139</v>
      </c>
      <c r="H9" s="9" t="n">
        <v>15.348401</v>
      </c>
      <c r="I9" s="10" t="n">
        <v>1.5</v>
      </c>
      <c r="J9" s="11">
        <f>MIN(7.5, L9)</f>
        <v/>
      </c>
      <c r="K9" s="11">
        <f>MAX(0, L9 - 7.5)</f>
        <v/>
      </c>
      <c r="L9" s="12">
        <f>M9+N9+O9+P9+V9</f>
        <v/>
      </c>
      <c r="M9" s="12" t="n">
        <v>5.174268</v>
      </c>
      <c r="N9" s="12" t="n">
        <v>1.29693</v>
      </c>
      <c r="O9" s="12" t="n">
        <v>0.050586</v>
      </c>
      <c r="P9" s="13" t="n">
        <v>0.304269</v>
      </c>
      <c r="Q9" s="11">
        <f>S9-I9</f>
        <v/>
      </c>
      <c r="R9" s="14">
        <f>Q9-7.5</f>
        <v/>
      </c>
      <c r="S9" s="7" t="n">
        <v>8.146621704101562</v>
      </c>
      <c r="T9" s="82">
        <f>U9-U8</f>
        <v/>
      </c>
      <c r="U9" s="16" t="n">
        <v>17.64500045776367</v>
      </c>
      <c r="V9" s="13" t="n">
        <v>0.669055</v>
      </c>
      <c r="W9" s="7" t="inlineStr"/>
      <c r="X9" s="7" t="inlineStr"/>
      <c r="Y9" s="5" t="n">
        <v>8.122849464416504</v>
      </c>
      <c r="Z9" s="17" t="n">
        <v>9.25831127166748</v>
      </c>
      <c r="AA9" s="7" t="n">
        <v>9.258365631103516</v>
      </c>
      <c r="AB9" s="82">
        <f>AC9-AC8</f>
        <v/>
      </c>
      <c r="AC9" s="16" t="n">
        <v>12.69750022888184</v>
      </c>
      <c r="AD9" s="18" t="n">
        <v>0.3916507363319397</v>
      </c>
      <c r="AE9" s="9" t="n">
        <v>14.898633</v>
      </c>
      <c r="AF9" s="7" t="n">
        <v>11.04895210266113</v>
      </c>
      <c r="AG9" s="7" t="n">
        <v>11.85812759399414</v>
      </c>
      <c r="AH9" s="19" t="n">
        <v>3.658567</v>
      </c>
      <c r="AI9" s="19" t="n">
        <v>1.849613</v>
      </c>
      <c r="AJ9" s="19" t="n">
        <v>0.768433</v>
      </c>
      <c r="AK9" s="19" t="n">
        <v>0.368477</v>
      </c>
      <c r="AL9" s="19" t="n">
        <v>0.192626</v>
      </c>
      <c r="AM9" s="19" t="n">
        <v>0.0111</v>
      </c>
      <c r="AN9" s="16" t="n">
        <v>2.706870079040527</v>
      </c>
      <c r="AO9" s="20" t="n">
        <v>1160.130004882812</v>
      </c>
      <c r="AP9" s="21" t="n">
        <v>3609.56005859375</v>
      </c>
    </row>
    <row r="10">
      <c r="A10" s="4" t="n">
        <v>1972</v>
      </c>
      <c r="B10" s="5">
        <f>J10+AH10</f>
        <v/>
      </c>
      <c r="C10" s="81">
        <f>H10 - (J10 + K10 + AH10)</f>
        <v/>
      </c>
      <c r="D10" s="81">
        <f>H10 - 16</f>
        <v/>
      </c>
      <c r="E10" s="7" t="n">
        <v>1.325039863586426</v>
      </c>
      <c r="F10" s="7" t="n">
        <v>0.003362357849255204</v>
      </c>
      <c r="G10" s="8" t="n">
        <v>3.020368</v>
      </c>
      <c r="H10" s="9" t="n">
        <v>13.590672</v>
      </c>
      <c r="I10" s="10" t="n">
        <v>1.5</v>
      </c>
      <c r="J10" s="11">
        <f>MIN(7.5, L10)</f>
        <v/>
      </c>
      <c r="K10" s="11">
        <f>MAX(0, L10 - 7.5)</f>
        <v/>
      </c>
      <c r="L10" s="12">
        <f>M10+N10+O10+P10+V10</f>
        <v/>
      </c>
      <c r="M10" s="12" t="n">
        <v>5.230635</v>
      </c>
      <c r="N10" s="12" t="n">
        <v>1.203043</v>
      </c>
      <c r="O10" s="12" t="n">
        <v>0.081051</v>
      </c>
      <c r="P10" s="13" t="n">
        <v>0.295672</v>
      </c>
      <c r="Q10" s="11">
        <f>S10-I10</f>
        <v/>
      </c>
      <c r="R10" s="14">
        <f>Q10-7.5</f>
        <v/>
      </c>
      <c r="S10" s="7" t="n">
        <v>8.099772453308105</v>
      </c>
      <c r="T10" s="82">
        <f>U10-U9</f>
        <v/>
      </c>
      <c r="U10" s="16" t="n">
        <v>18.64500045776367</v>
      </c>
      <c r="V10" s="13" t="n">
        <v>0.6863</v>
      </c>
      <c r="W10" s="7" t="inlineStr"/>
      <c r="X10" s="7" t="inlineStr"/>
      <c r="Y10" s="5" t="n">
        <v>7.613493919372559</v>
      </c>
      <c r="Z10" s="17" t="n">
        <v>9.344828605651855</v>
      </c>
      <c r="AA10" s="7" t="n">
        <v>9.344884872436523</v>
      </c>
      <c r="AB10" s="82">
        <f>AC10-AC9</f>
        <v/>
      </c>
      <c r="AC10" s="16" t="n">
        <v>12.36229991912842</v>
      </c>
      <c r="AD10" s="18" t="n">
        <v>0.386411726474762</v>
      </c>
      <c r="AE10" s="9" t="n">
        <v>13.114747</v>
      </c>
      <c r="AF10" s="7" t="n">
        <v>9.442545890808105</v>
      </c>
      <c r="AG10" s="7" t="n">
        <v>9.95040225982666</v>
      </c>
      <c r="AH10" s="19" t="n">
        <v>3.7397</v>
      </c>
      <c r="AI10" s="19" t="n">
        <v>1.906067</v>
      </c>
      <c r="AJ10" s="19" t="n">
        <v>0.788636</v>
      </c>
      <c r="AK10" s="19" t="n">
        <v>0.355571</v>
      </c>
      <c r="AL10" s="19" t="n">
        <v>0.203724</v>
      </c>
      <c r="AM10" s="19" t="n">
        <v>0.0122</v>
      </c>
      <c r="AN10" s="16" t="n">
        <v>3.089509963989258</v>
      </c>
      <c r="AO10" s="20" t="n">
        <v>1168.349975585938</v>
      </c>
      <c r="AP10" s="21" t="n">
        <v>3606.199951171875</v>
      </c>
    </row>
    <row r="11">
      <c r="A11" s="4" t="n">
        <v>1973</v>
      </c>
      <c r="B11" s="5">
        <f>J11+AH11</f>
        <v/>
      </c>
      <c r="C11" s="81">
        <f>H11 - (J11 + K11 + AH11)</f>
        <v/>
      </c>
      <c r="D11" s="81">
        <f>H11 - 16</f>
        <v/>
      </c>
      <c r="E11" s="7" t="n">
        <v>1.281056642532349</v>
      </c>
      <c r="F11" s="7" t="n">
        <v>0.104580856859684</v>
      </c>
      <c r="G11" s="8" t="n">
        <v>3.184411</v>
      </c>
      <c r="H11" s="9" t="n">
        <v>19.182018</v>
      </c>
      <c r="I11" s="10" t="n">
        <v>1.5</v>
      </c>
      <c r="J11" s="11">
        <f>MIN(7.5, L11)</f>
        <v/>
      </c>
      <c r="K11" s="11">
        <f>MAX(0, L11 - 7.5)</f>
        <v/>
      </c>
      <c r="L11" s="12">
        <f>M11+N11+O11+P11+V11</f>
        <v/>
      </c>
      <c r="M11" s="12" t="n">
        <v>5.317547</v>
      </c>
      <c r="N11" s="12" t="n">
        <v>1.271933</v>
      </c>
      <c r="O11" s="12" t="n">
        <v>0.092649</v>
      </c>
      <c r="P11" s="13" t="n">
        <v>0.29455</v>
      </c>
      <c r="Q11" s="11">
        <f>S11-I11</f>
        <v/>
      </c>
      <c r="R11" s="14">
        <f>Q11-7.5</f>
        <v/>
      </c>
      <c r="S11" s="7" t="n">
        <v>8.300161361694336</v>
      </c>
      <c r="T11" s="82">
        <f>U11-U10</f>
        <v/>
      </c>
      <c r="U11" s="16" t="n">
        <v>19.73699951171875</v>
      </c>
      <c r="V11" s="13" t="n">
        <v>0.777382</v>
      </c>
      <c r="W11" s="7" t="inlineStr"/>
      <c r="X11" s="7" t="inlineStr"/>
      <c r="Y11" s="5" t="n">
        <v>8.379537582397461</v>
      </c>
      <c r="Z11" s="17" t="n">
        <v>9.044096946716309</v>
      </c>
      <c r="AA11" s="7" t="n">
        <v>9.04415225982666</v>
      </c>
      <c r="AB11" s="82">
        <f>AC11-AC10</f>
        <v/>
      </c>
      <c r="AC11" s="16" t="n">
        <v>17.08180046081543</v>
      </c>
      <c r="AD11" s="18" t="n">
        <v>0.4485256671905518</v>
      </c>
      <c r="AE11" s="9" t="n">
        <v>18.042449</v>
      </c>
      <c r="AF11" s="7" t="n">
        <v>14.70173358917236</v>
      </c>
      <c r="AG11" s="7" t="n">
        <v>15.0285005569458</v>
      </c>
      <c r="AH11" s="19" t="n">
        <v>3.636568</v>
      </c>
      <c r="AI11" s="19" t="n">
        <v>1.661791</v>
      </c>
      <c r="AJ11" s="19" t="n">
        <v>0.767516</v>
      </c>
      <c r="AK11" s="19" t="n">
        <v>0.348701</v>
      </c>
      <c r="AL11" s="19" t="n">
        <v>0.311832</v>
      </c>
      <c r="AM11" s="19" t="n">
        <v>0.0114</v>
      </c>
      <c r="AN11" s="16" t="n">
        <v>2.940579891204834</v>
      </c>
      <c r="AO11" s="20" t="n">
        <v>1176.920043945312</v>
      </c>
      <c r="AP11" s="21" t="n">
        <v>3648.840087890625</v>
      </c>
    </row>
    <row r="12">
      <c r="A12" s="4" t="n">
        <v>1974</v>
      </c>
      <c r="B12" s="5">
        <f>J12+AH12</f>
        <v/>
      </c>
      <c r="C12" s="81">
        <f>H12 - (J12 + K12 + AH12)</f>
        <v/>
      </c>
      <c r="D12" s="81">
        <f>H12 - 16</f>
        <v/>
      </c>
      <c r="E12" s="7" t="n">
        <v>1.336347579956055</v>
      </c>
      <c r="F12" s="7" t="n">
        <v>0.001360533991828561</v>
      </c>
      <c r="G12" s="8" t="n">
        <v>3.275182</v>
      </c>
      <c r="H12" s="9" t="n">
        <v>13.219729</v>
      </c>
      <c r="I12" s="10" t="n">
        <v>1.5</v>
      </c>
      <c r="J12" s="11">
        <f>MIN(7.5, L12)</f>
        <v/>
      </c>
      <c r="K12" s="11">
        <f>MAX(0, L12 - 7.5)</f>
        <v/>
      </c>
      <c r="L12" s="12">
        <f>M12+N12+O12+P12+V12</f>
        <v/>
      </c>
      <c r="M12" s="12" t="n">
        <v>5.41404</v>
      </c>
      <c r="N12" s="12" t="n">
        <v>1.325631</v>
      </c>
      <c r="O12" s="12" t="n">
        <v>0.094889</v>
      </c>
      <c r="P12" s="13" t="n">
        <v>0.297869</v>
      </c>
      <c r="Q12" s="11">
        <f>S12-I12</f>
        <v/>
      </c>
      <c r="R12" s="14">
        <f>Q12-7.5</f>
        <v/>
      </c>
      <c r="S12" s="7" t="n">
        <v>8.730035781860352</v>
      </c>
      <c r="T12" s="82">
        <f>U12-U11</f>
        <v/>
      </c>
      <c r="U12" s="16" t="n">
        <v>19.72100067138672</v>
      </c>
      <c r="V12" s="13" t="n">
        <v>0.744248</v>
      </c>
      <c r="W12" s="7" t="inlineStr"/>
      <c r="X12" s="7" t="inlineStr"/>
      <c r="Y12" s="5" t="n">
        <v>8.943949699401855</v>
      </c>
      <c r="Z12" s="17" t="n">
        <v>8.887424468994141</v>
      </c>
      <c r="AA12" s="7" t="n">
        <v>8.887476921081543</v>
      </c>
      <c r="AB12" s="82">
        <f>AC12-AC11</f>
        <v/>
      </c>
      <c r="AC12" s="16" t="n">
        <v>17.01070022583008</v>
      </c>
      <c r="AD12" s="18" t="n">
        <v>0.5234674215316772</v>
      </c>
      <c r="AE12" s="9" t="n">
        <v>12.909536</v>
      </c>
      <c r="AF12" s="7" t="n">
        <v>9.715993881225586</v>
      </c>
      <c r="AG12" s="7" t="n">
        <v>9.820659637451172</v>
      </c>
      <c r="AH12" s="19" t="n">
        <v>4.061138</v>
      </c>
      <c r="AI12" s="19" t="n">
        <v>2.001006</v>
      </c>
      <c r="AJ12" s="19" t="n">
        <v>0.806646</v>
      </c>
      <c r="AK12" s="19" t="n">
        <v>0.41628</v>
      </c>
      <c r="AL12" s="19" t="n">
        <v>0.202714</v>
      </c>
      <c r="AM12" s="19" t="n">
        <v>0.019125</v>
      </c>
      <c r="AN12" s="16" t="n">
        <v>3.264909982681274</v>
      </c>
      <c r="AO12" s="20" t="n">
        <v>1176.800048828125</v>
      </c>
      <c r="AP12" s="21" t="n">
        <v>3648.27001953125</v>
      </c>
    </row>
    <row r="13">
      <c r="A13" s="4" t="n">
        <v>1975</v>
      </c>
      <c r="B13" s="5">
        <f>J13+AH13</f>
        <v/>
      </c>
      <c r="C13" s="81">
        <f>H13 - (J13 + K13 + AH13)</f>
        <v/>
      </c>
      <c r="D13" s="81">
        <f>H13 - 16</f>
        <v/>
      </c>
      <c r="E13" s="7" t="n">
        <v>1.395890951156616</v>
      </c>
      <c r="F13" s="7" t="n">
        <v>0.001158597529865801</v>
      </c>
      <c r="G13" s="8" t="n">
        <v>3.507102</v>
      </c>
      <c r="H13" s="9" t="n">
        <v>16.79327</v>
      </c>
      <c r="I13" s="10" t="n">
        <v>1.5</v>
      </c>
      <c r="J13" s="11">
        <f>MIN(7.5, L13)</f>
        <v/>
      </c>
      <c r="K13" s="11">
        <f>MAX(0, L13 - 7.5)</f>
        <v/>
      </c>
      <c r="L13" s="12">
        <f>M13+N13+O13+P13+V13</f>
        <v/>
      </c>
      <c r="M13" s="12" t="n">
        <v>4.983705</v>
      </c>
      <c r="N13" s="12" t="n">
        <v>1.358003</v>
      </c>
      <c r="O13" s="12" t="n">
        <v>0.07214</v>
      </c>
      <c r="P13" s="13" t="n">
        <v>0.304416</v>
      </c>
      <c r="Q13" s="11">
        <f>S13-I13</f>
        <v/>
      </c>
      <c r="R13" s="14">
        <f>Q13-7.5</f>
        <v/>
      </c>
      <c r="S13" s="7" t="n">
        <v>8.367380142211914</v>
      </c>
      <c r="T13" s="82">
        <f>U13-U12</f>
        <v/>
      </c>
      <c r="U13" s="16" t="n">
        <v>20.09199905395508</v>
      </c>
      <c r="V13" s="13" t="n">
        <v>0.770827</v>
      </c>
      <c r="W13" s="7" t="inlineStr"/>
      <c r="X13" s="7" t="inlineStr"/>
      <c r="Y13" s="5" t="n">
        <v>8.681382179260254</v>
      </c>
      <c r="Z13" s="17" t="n">
        <v>8.960335731506348</v>
      </c>
      <c r="AA13" s="7" t="n">
        <v>8.960392951965332</v>
      </c>
      <c r="AB13" s="82">
        <f>AC13-AC12</f>
        <v/>
      </c>
      <c r="AC13" s="16" t="n">
        <v>19.55570030212402</v>
      </c>
      <c r="AD13" s="18" t="n">
        <v>0.5509838461875916</v>
      </c>
      <c r="AE13" s="9" t="n">
        <v>16.494364</v>
      </c>
      <c r="AF13" s="7" t="n">
        <v>12.53610706329346</v>
      </c>
      <c r="AG13" s="7" t="n">
        <v>13.16663455963135</v>
      </c>
      <c r="AH13" s="19" t="n">
        <v>3.887173</v>
      </c>
      <c r="AI13" s="19" t="n">
        <v>1.926749</v>
      </c>
      <c r="AJ13" s="19" t="n">
        <v>0.670246</v>
      </c>
      <c r="AK13" s="19" t="n">
        <v>0.329916</v>
      </c>
      <c r="AL13" s="19" t="n">
        <v>0.293751</v>
      </c>
      <c r="AM13" s="19" t="n">
        <v>0.023674</v>
      </c>
      <c r="AN13" s="16" t="n">
        <v>3.433520078659058</v>
      </c>
      <c r="AO13" s="20" t="n">
        <v>1179.630004882812</v>
      </c>
      <c r="AP13" s="21" t="n">
        <v>3667.8798828125</v>
      </c>
    </row>
    <row r="14">
      <c r="A14" s="4" t="n">
        <v>1976</v>
      </c>
      <c r="B14" s="5">
        <f>J14+AH14</f>
        <v/>
      </c>
      <c r="C14" s="81">
        <f>H14 - (J14 + K14 + AH14)</f>
        <v/>
      </c>
      <c r="D14" s="81">
        <f>H14 - 16</f>
        <v/>
      </c>
      <c r="E14" s="7" t="n">
        <v>1.449505925178528</v>
      </c>
      <c r="F14" s="7" t="n">
        <v>0.001251820591278374</v>
      </c>
      <c r="G14" s="8" t="n">
        <v>3.278065</v>
      </c>
      <c r="H14" s="9" t="n">
        <v>11.603972</v>
      </c>
      <c r="I14" s="10" t="n">
        <v>1.50006</v>
      </c>
      <c r="J14" s="11">
        <f>MIN(7.5, L14)</f>
        <v/>
      </c>
      <c r="K14" s="11">
        <f>MAX(0, L14 - 7.5)</f>
        <v/>
      </c>
      <c r="L14" s="12">
        <f>M14+N14+O14+P14+V14</f>
        <v/>
      </c>
      <c r="M14" s="12" t="n">
        <v>4.706594</v>
      </c>
      <c r="N14" s="12" t="n">
        <v>1.248</v>
      </c>
      <c r="O14" s="12" t="n">
        <v>0.07319199999999999</v>
      </c>
      <c r="P14" s="13" t="n">
        <v>0.288645</v>
      </c>
      <c r="Q14" s="11">
        <f>S14-I14</f>
        <v/>
      </c>
      <c r="R14" s="14">
        <f>Q14-7.5</f>
        <v/>
      </c>
      <c r="S14" s="7" t="n">
        <v>7.926377773284912</v>
      </c>
      <c r="T14" s="82">
        <f>U14-U13</f>
        <v/>
      </c>
      <c r="U14" s="16" t="n">
        <v>21.25799942016602</v>
      </c>
      <c r="V14" s="13" t="n">
        <v>0.756702</v>
      </c>
      <c r="W14" s="7" t="inlineStr"/>
      <c r="X14" s="7" t="inlineStr"/>
      <c r="Y14" s="5" t="n">
        <v>8.847476005554199</v>
      </c>
      <c r="Z14" s="17" t="n">
        <v>9.399592399597168</v>
      </c>
      <c r="AA14" s="7" t="n">
        <v>9.399650573730469</v>
      </c>
      <c r="AB14" s="82">
        <f>AC14-AC13</f>
        <v/>
      </c>
      <c r="AC14" s="16" t="n">
        <v>17.89380073547363</v>
      </c>
      <c r="AD14" s="18" t="n">
        <v>0.557325541973114</v>
      </c>
      <c r="AE14" s="9" t="n">
        <v>11.070775</v>
      </c>
      <c r="AF14" s="7" t="n">
        <v>8.480151176452637</v>
      </c>
      <c r="AG14" s="7" t="n">
        <v>8.252042770385742</v>
      </c>
      <c r="AH14" s="19" t="n">
        <v>3.75317</v>
      </c>
      <c r="AI14" s="19" t="n">
        <v>1.792738</v>
      </c>
      <c r="AJ14" s="19" t="n">
        <v>0.663932</v>
      </c>
      <c r="AK14" s="19" t="n">
        <v>0.324538</v>
      </c>
      <c r="AL14" s="19" t="n">
        <v>0.291666</v>
      </c>
      <c r="AM14" s="19" t="n">
        <v>0.030507</v>
      </c>
      <c r="AN14" s="16" t="n">
        <v>3.131850004196167</v>
      </c>
      <c r="AO14" s="20" t="n">
        <v>1187.869995117188</v>
      </c>
      <c r="AP14" s="21" t="n">
        <v>3655.31005859375</v>
      </c>
    </row>
    <row r="15">
      <c r="A15" s="4" t="n">
        <v>1977</v>
      </c>
      <c r="B15" s="5">
        <f>J15+AH15</f>
        <v/>
      </c>
      <c r="C15" s="81">
        <f>H15 - (J15 + K15 + AH15)</f>
        <v/>
      </c>
      <c r="D15" s="81">
        <f>H15 - 16</f>
        <v/>
      </c>
      <c r="E15" s="7" t="n">
        <v>1.468993425369263</v>
      </c>
      <c r="F15" s="7" t="n">
        <v>0.003077792702242732</v>
      </c>
      <c r="G15" s="8" t="n">
        <v>3.294186</v>
      </c>
      <c r="H15" s="9" t="n">
        <v>5.941876</v>
      </c>
      <c r="I15" s="10" t="n">
        <v>1.5</v>
      </c>
      <c r="J15" s="11">
        <f>MIN(7.5, L15)</f>
        <v/>
      </c>
      <c r="K15" s="11">
        <f>MAX(0, L15 - 7.5)</f>
        <v/>
      </c>
      <c r="L15" s="12">
        <f>M15+N15+O15+P15+V15</f>
        <v/>
      </c>
      <c r="M15" s="12" t="n">
        <v>5.097343</v>
      </c>
      <c r="N15" s="12" t="n">
        <v>1.231274</v>
      </c>
      <c r="O15" s="12" t="n">
        <v>0.073174</v>
      </c>
      <c r="P15" s="13" t="n">
        <v>0.29887</v>
      </c>
      <c r="Q15" s="11">
        <f>S15-I15</f>
        <v/>
      </c>
      <c r="R15" s="14">
        <f>Q15-7.5</f>
        <v/>
      </c>
      <c r="S15" s="7" t="n">
        <v>7.871872425079346</v>
      </c>
      <c r="T15" s="82">
        <f>U15-U14</f>
        <v/>
      </c>
      <c r="U15" s="16" t="n">
        <v>20.25</v>
      </c>
      <c r="V15" s="13" t="n">
        <v>0.7699009999999999</v>
      </c>
      <c r="W15" s="7" t="inlineStr"/>
      <c r="X15" s="7" t="inlineStr"/>
      <c r="Y15" s="5" t="n">
        <v>8.826805114746094</v>
      </c>
      <c r="Z15" s="17" t="n">
        <v>7.353257656097412</v>
      </c>
      <c r="AA15" s="7" t="n">
        <v>7.3533034324646</v>
      </c>
      <c r="AB15" s="82">
        <f>AC15-AC14</f>
        <v/>
      </c>
      <c r="AC15" s="16" t="n">
        <v>14.86579990386963</v>
      </c>
      <c r="AD15" s="18" t="n">
        <v>0.48857781291008</v>
      </c>
      <c r="AE15" s="9" t="n">
        <v>5.456316</v>
      </c>
      <c r="AF15" s="7" t="n">
        <v>4.881950855255127</v>
      </c>
      <c r="AG15" s="7" t="n">
        <v>3.339635610580444</v>
      </c>
      <c r="AH15" s="19" t="n">
        <v>3.120955</v>
      </c>
      <c r="AI15" s="19" t="n">
        <v>1.667944</v>
      </c>
      <c r="AJ15" s="19" t="n">
        <v>0.410466</v>
      </c>
      <c r="AK15" s="19" t="n">
        <v>0.231497</v>
      </c>
      <c r="AL15" s="19" t="n">
        <v>0.219156</v>
      </c>
      <c r="AM15" s="19" t="n">
        <v>0.033871</v>
      </c>
      <c r="AN15" s="16" t="n">
        <v>1.992310047149658</v>
      </c>
      <c r="AO15" s="20" t="n">
        <v>1180.819946289062</v>
      </c>
      <c r="AP15" s="21" t="n">
        <v>3630.050048828125</v>
      </c>
    </row>
    <row r="16">
      <c r="A16" s="4" t="n">
        <v>1978</v>
      </c>
      <c r="B16" s="5">
        <f>J16+AH16</f>
        <v/>
      </c>
      <c r="C16" s="81">
        <f>H16 - (J16 + K16 + AH16)</f>
        <v/>
      </c>
      <c r="D16" s="81">
        <f>H16 - 16</f>
        <v/>
      </c>
      <c r="E16" s="7" t="n">
        <v>1.457501292228699</v>
      </c>
      <c r="F16" s="7" t="n">
        <v>0.0007738068816252053</v>
      </c>
      <c r="G16" s="8" t="n">
        <v>3.091635</v>
      </c>
      <c r="H16" s="9" t="n">
        <v>16.315687</v>
      </c>
      <c r="I16" s="10" t="n">
        <v>1.5</v>
      </c>
      <c r="J16" s="11">
        <f>MIN(7.5, L16)</f>
        <v/>
      </c>
      <c r="K16" s="11">
        <f>MAX(0, L16 - 7.5)</f>
        <v/>
      </c>
      <c r="L16" s="12">
        <f>M16+N16+O16+P16+V16</f>
        <v/>
      </c>
      <c r="M16" s="12" t="n">
        <v>4.50334</v>
      </c>
      <c r="N16" s="12" t="n">
        <v>1.234942</v>
      </c>
      <c r="O16" s="12" t="n">
        <v>0.071293</v>
      </c>
      <c r="P16" s="13" t="n">
        <v>0.267684</v>
      </c>
      <c r="Q16" s="11">
        <f>S16-I16</f>
        <v/>
      </c>
      <c r="R16" s="14">
        <f>Q16-7.5</f>
        <v/>
      </c>
      <c r="S16" s="7" t="n">
        <v>7.476311683654785</v>
      </c>
      <c r="T16" s="82">
        <f>U16-U15</f>
        <v/>
      </c>
      <c r="U16" s="16" t="n">
        <v>21.95999908447266</v>
      </c>
      <c r="V16" s="13" t="n">
        <v>0.726839</v>
      </c>
      <c r="W16" s="7" t="inlineStr"/>
      <c r="X16" s="7" t="inlineStr"/>
      <c r="Y16" s="5" t="n">
        <v>8.847024917602539</v>
      </c>
      <c r="Z16" s="17" t="n">
        <v>9.005796432495117</v>
      </c>
      <c r="AA16" s="7" t="n">
        <v>9.005849838256836</v>
      </c>
      <c r="AB16" s="82">
        <f>AC16-AC15</f>
        <v/>
      </c>
      <c r="AC16" s="16" t="n">
        <v>15.17889976501465</v>
      </c>
      <c r="AD16" s="18" t="n">
        <v>0.4695392251014709</v>
      </c>
      <c r="AE16" s="9" t="n">
        <v>15.12154</v>
      </c>
      <c r="AF16" s="7" t="n">
        <v>9.999149322509766</v>
      </c>
      <c r="AG16" s="7" t="n">
        <v>11.41741466522217</v>
      </c>
      <c r="AH16" s="19" t="n">
        <v>4.001077</v>
      </c>
      <c r="AI16" s="19" t="n">
        <v>2.038995</v>
      </c>
      <c r="AJ16" s="19" t="n">
        <v>0.70205</v>
      </c>
      <c r="AK16" s="19" t="n">
        <v>0.357695</v>
      </c>
      <c r="AL16" s="19" t="n">
        <v>0.324496</v>
      </c>
      <c r="AM16" s="19" t="n">
        <v>0.032875</v>
      </c>
      <c r="AN16" s="16" t="n">
        <v>2.676009893417358</v>
      </c>
      <c r="AO16" s="20" t="n">
        <v>1193.31005859375</v>
      </c>
      <c r="AP16" s="21" t="n">
        <v>3632.830078125</v>
      </c>
    </row>
    <row r="17">
      <c r="A17" s="4" t="n">
        <v>1979</v>
      </c>
      <c r="B17" s="5">
        <f>J17+AH17</f>
        <v/>
      </c>
      <c r="C17" s="81">
        <f>H17 - (J17 + K17 + AH17)</f>
        <v/>
      </c>
      <c r="D17" s="81">
        <f>H17 - 16</f>
        <v/>
      </c>
      <c r="E17" s="7" t="n">
        <v>3.078605890274048</v>
      </c>
      <c r="F17" s="7" t="n">
        <v>1.442992806434631</v>
      </c>
      <c r="G17" s="8" t="n">
        <v>3.481764</v>
      </c>
      <c r="H17" s="9" t="n">
        <v>18.921647</v>
      </c>
      <c r="I17" s="10" t="n">
        <v>1.7</v>
      </c>
      <c r="J17" s="11">
        <f>MIN(7.5, L17)</f>
        <v/>
      </c>
      <c r="K17" s="11">
        <f>MAX(0, L17 - 7.5)</f>
        <v/>
      </c>
      <c r="L17" s="12">
        <f>M17+N17+O17+P17+V17</f>
        <v/>
      </c>
      <c r="M17" s="12" t="n">
        <v>4.788423</v>
      </c>
      <c r="N17" s="12" t="n">
        <v>1.150853</v>
      </c>
      <c r="O17" s="12" t="n">
        <v>0.060074</v>
      </c>
      <c r="P17" s="13" t="n">
        <v>0.286171</v>
      </c>
      <c r="Q17" s="11">
        <f>S17-I17</f>
        <v/>
      </c>
      <c r="R17" s="14">
        <f>Q17-7.5</f>
        <v/>
      </c>
      <c r="S17" s="7" t="n">
        <v>7.721070289611816</v>
      </c>
      <c r="T17" s="82">
        <f>U17-U16</f>
        <v/>
      </c>
      <c r="U17" s="16" t="n">
        <v>22.62299919128418</v>
      </c>
      <c r="V17" s="13" t="n">
        <v>0.820204</v>
      </c>
      <c r="W17" s="7" t="inlineStr"/>
      <c r="X17" s="7" t="inlineStr"/>
      <c r="Y17" s="5" t="n">
        <v>8.750148773193359</v>
      </c>
      <c r="Z17" s="17" t="n">
        <v>8.108816146850586</v>
      </c>
      <c r="AA17" s="7" t="n">
        <v>8.108865737915039</v>
      </c>
      <c r="AB17" s="82">
        <f>AC17-AC16</f>
        <v/>
      </c>
      <c r="AC17" s="16" t="n">
        <v>20.21759986877441</v>
      </c>
      <c r="AD17" s="18" t="n">
        <v>0.5727777481079102</v>
      </c>
      <c r="AE17" s="9" t="n">
        <v>17.384185</v>
      </c>
      <c r="AF17" s="7" t="n">
        <v>14.19367599487305</v>
      </c>
      <c r="AG17" s="7" t="n">
        <v>14.03426456451416</v>
      </c>
      <c r="AH17" s="19" t="n">
        <v>4.070013</v>
      </c>
      <c r="AI17" s="19" t="n">
        <v>1.866412</v>
      </c>
      <c r="AJ17" s="19" t="n">
        <v>0.745729</v>
      </c>
      <c r="AK17" s="19" t="n">
        <v>0.359358</v>
      </c>
      <c r="AL17" s="19" t="n">
        <v>0.415824</v>
      </c>
      <c r="AM17" s="19" t="n">
        <v>0.033913</v>
      </c>
      <c r="AN17" s="16" t="n">
        <v>2.399189949035645</v>
      </c>
      <c r="AO17" s="20" t="n">
        <v>1197.969970703125</v>
      </c>
      <c r="AP17" s="21" t="n">
        <v>3672.679931640625</v>
      </c>
    </row>
    <row r="18">
      <c r="A18" s="4" t="n">
        <v>1980</v>
      </c>
      <c r="B18" s="5">
        <f>J18+AH18</f>
        <v/>
      </c>
      <c r="C18" s="81">
        <f>H18 - (J18 + K18 + AH18)</f>
        <v/>
      </c>
      <c r="D18" s="81">
        <f>H18 - 16</f>
        <v/>
      </c>
      <c r="E18" s="7" t="n">
        <v>6.933815479278564</v>
      </c>
      <c r="F18" s="7" t="n">
        <v>1.844579100608826</v>
      </c>
      <c r="G18" s="8" t="n">
        <v>3.589613</v>
      </c>
      <c r="H18" s="9" t="n">
        <v>19.145522</v>
      </c>
      <c r="I18" s="10" t="n">
        <v>1.7</v>
      </c>
      <c r="J18" s="11">
        <f>MIN(7.5, L18)</f>
        <v/>
      </c>
      <c r="K18" s="11">
        <f>MAX(0, L18 - 7.5)</f>
        <v/>
      </c>
      <c r="L18" s="12">
        <f>M18+N18+O18+P18+V18</f>
        <v/>
      </c>
      <c r="M18" s="12" t="n">
        <v>4.725496</v>
      </c>
      <c r="N18" s="12" t="n">
        <v>1.221563</v>
      </c>
      <c r="O18" s="12" t="n">
        <v>0.092737</v>
      </c>
      <c r="P18" s="13" t="n">
        <v>0.278012</v>
      </c>
      <c r="Q18" s="11">
        <f>S18-I18</f>
        <v/>
      </c>
      <c r="R18" s="14">
        <f>Q18-7.5</f>
        <v/>
      </c>
      <c r="S18" s="7" t="n">
        <v>11.08793163299561</v>
      </c>
      <c r="T18" s="82">
        <f>U18-U17</f>
        <v/>
      </c>
      <c r="U18" s="16" t="n">
        <v>23.33600044250488</v>
      </c>
      <c r="V18" s="13" t="n">
        <v>0.820107</v>
      </c>
      <c r="W18" s="7" t="inlineStr"/>
      <c r="X18" s="7" t="inlineStr"/>
      <c r="Y18" s="5" t="n">
        <v>9.069104194641113</v>
      </c>
      <c r="Z18" s="17" t="n">
        <v>11.32858562469482</v>
      </c>
      <c r="AA18" s="7" t="n">
        <v>11.32865238189697</v>
      </c>
      <c r="AB18" s="82">
        <f>AC18-AC17</f>
        <v/>
      </c>
      <c r="AC18" s="16" t="n">
        <v>21.45039939880371</v>
      </c>
      <c r="AD18" s="18" t="n">
        <v>0.6406543850898743</v>
      </c>
      <c r="AE18" s="9" t="n">
        <v>17.395909</v>
      </c>
      <c r="AF18" s="7" t="n">
        <v>12.93176460266113</v>
      </c>
      <c r="AG18" s="7" t="n">
        <v>13.77628612518311</v>
      </c>
      <c r="AH18" s="19" t="n">
        <v>4.097732</v>
      </c>
      <c r="AI18" s="19" t="n">
        <v>1.850654</v>
      </c>
      <c r="AJ18" s="19" t="n">
        <v>0.706734</v>
      </c>
      <c r="AK18" s="19" t="n">
        <v>0.357551</v>
      </c>
      <c r="AL18" s="19" t="n">
        <v>0.423805</v>
      </c>
      <c r="AM18" s="19" t="n">
        <v>0.036872</v>
      </c>
      <c r="AN18" s="16" t="n">
        <v>3.016119956970215</v>
      </c>
      <c r="AO18" s="20" t="n">
        <v>1202.880004882812</v>
      </c>
      <c r="AP18" s="21" t="n">
        <v>3681.280029296875</v>
      </c>
    </row>
    <row r="19">
      <c r="A19" s="4" t="n">
        <v>1981</v>
      </c>
      <c r="B19" s="5">
        <f>J19+AH19</f>
        <v/>
      </c>
      <c r="C19" s="81">
        <f>H19 - (J19 + K19 + AH19)</f>
        <v/>
      </c>
      <c r="D19" s="81">
        <f>H19 - 16</f>
        <v/>
      </c>
      <c r="E19" s="7" t="n">
        <v>1.925720453262329</v>
      </c>
      <c r="F19" s="7" t="n">
        <v>0.02860543690621853</v>
      </c>
      <c r="G19" s="8" t="n">
        <v>3.638134</v>
      </c>
      <c r="H19" s="9" t="n">
        <v>9.643241</v>
      </c>
      <c r="I19" s="10" t="n">
        <v>1.7</v>
      </c>
      <c r="J19" s="11">
        <f>MIN(7.5, L19)</f>
        <v/>
      </c>
      <c r="K19" s="11">
        <f>MAX(0, L19 - 7.5)</f>
        <v/>
      </c>
      <c r="L19" s="12">
        <f>M19+N19+O19+P19+V19</f>
        <v/>
      </c>
      <c r="M19" s="12" t="n">
        <v>4.795949</v>
      </c>
      <c r="N19" s="12" t="n">
        <v>1.41585</v>
      </c>
      <c r="O19" s="12" t="n">
        <v>0.110017</v>
      </c>
      <c r="P19" s="13" t="n">
        <v>0.295383</v>
      </c>
      <c r="Q19" s="11">
        <f>S19-I19</f>
        <v/>
      </c>
      <c r="R19" s="14">
        <f>Q19-7.5</f>
        <v/>
      </c>
      <c r="S19" s="7" t="n">
        <v>8.283479690551758</v>
      </c>
      <c r="T19" s="82">
        <f>U19-U18</f>
        <v/>
      </c>
      <c r="U19" s="16" t="n">
        <v>22.66799926757812</v>
      </c>
      <c r="V19" s="13" t="n">
        <v>0.823862</v>
      </c>
      <c r="W19" s="7" t="inlineStr"/>
      <c r="X19" s="7" t="inlineStr"/>
      <c r="Y19" s="5" t="n">
        <v>8.928084373474121</v>
      </c>
      <c r="Z19" s="17" t="n">
        <v>7.848111152648926</v>
      </c>
      <c r="AA19" s="7" t="n">
        <v>7.848159790039062</v>
      </c>
      <c r="AB19" s="82">
        <f>AC19-AC18</f>
        <v/>
      </c>
      <c r="AC19" s="16" t="n">
        <v>19.4955997467041</v>
      </c>
      <c r="AD19" s="18" t="n">
        <v>0.593180775642395</v>
      </c>
      <c r="AE19" s="9" t="n">
        <v>8.956329</v>
      </c>
      <c r="AF19" s="7" t="n">
        <v>6.330153465270996</v>
      </c>
      <c r="AG19" s="7" t="n">
        <v>5.824253559112549</v>
      </c>
      <c r="AH19" s="19" t="n">
        <v>4.115152</v>
      </c>
      <c r="AI19" s="19" t="n">
        <v>2.119645</v>
      </c>
      <c r="AJ19" s="19" t="n">
        <v>0.6549199999999999</v>
      </c>
      <c r="AK19" s="19" t="n">
        <v>0.345548</v>
      </c>
      <c r="AL19" s="19" t="n">
        <v>0.278861</v>
      </c>
      <c r="AM19" s="19" t="n">
        <v>0.041393</v>
      </c>
      <c r="AN19" s="16" t="n">
        <v>2.78548002243042</v>
      </c>
      <c r="AO19" s="20" t="n">
        <v>1198.280029296875</v>
      </c>
      <c r="AP19" s="21" t="n">
        <v>3667.469970703125</v>
      </c>
    </row>
    <row r="20">
      <c r="A20" s="4" t="n">
        <v>1982</v>
      </c>
      <c r="B20" s="5">
        <f>J20+AH20</f>
        <v/>
      </c>
      <c r="C20" s="81">
        <f>H20 - (J20 + K20 + AH20)</f>
        <v/>
      </c>
      <c r="D20" s="81">
        <f>H20 - 16</f>
        <v/>
      </c>
      <c r="E20" s="7" t="n">
        <v>1.440917491912842</v>
      </c>
      <c r="F20" s="7" t="n">
        <v>0.004773588851094246</v>
      </c>
      <c r="G20" s="8" t="n">
        <v>3.162957</v>
      </c>
      <c r="H20" s="9" t="n">
        <v>18.117501</v>
      </c>
      <c r="I20" s="10" t="n">
        <v>1.5</v>
      </c>
      <c r="J20" s="11">
        <f>MIN(7.5, L20)</f>
        <v/>
      </c>
      <c r="K20" s="11">
        <f>MAX(0, L20 - 7.5)</f>
        <v/>
      </c>
      <c r="L20" s="12">
        <f>M20+N20+O20+P20+V20</f>
        <v/>
      </c>
      <c r="M20" s="12" t="n">
        <v>4.299799</v>
      </c>
      <c r="N20" s="12" t="n">
        <v>1.240384</v>
      </c>
      <c r="O20" s="12" t="n">
        <v>0.102326</v>
      </c>
      <c r="P20" s="13" t="n">
        <v>0.285631</v>
      </c>
      <c r="Q20" s="11">
        <f>S20-I20</f>
        <v/>
      </c>
      <c r="R20" s="14">
        <f>Q20-7.5</f>
        <v/>
      </c>
      <c r="S20" s="7" t="n">
        <v>7.458460330963135</v>
      </c>
      <c r="T20" s="82">
        <f>U20-U19</f>
        <v/>
      </c>
      <c r="U20" s="16" t="n">
        <v>24.15099906921387</v>
      </c>
      <c r="V20" s="13" t="n">
        <v>0.828337</v>
      </c>
      <c r="W20" s="7" t="inlineStr"/>
      <c r="X20" s="7" t="inlineStr"/>
      <c r="Y20" s="5" t="n">
        <v>8.895256996154785</v>
      </c>
      <c r="Z20" s="17" t="n">
        <v>9.016547203063965</v>
      </c>
      <c r="AA20" s="7" t="n">
        <v>9.016598701477051</v>
      </c>
      <c r="AB20" s="82">
        <f>AC20-AC19</f>
        <v/>
      </c>
      <c r="AC20" s="16" t="n">
        <v>21.96080017089844</v>
      </c>
      <c r="AD20" s="18" t="n">
        <v>0.6137268543243408</v>
      </c>
      <c r="AE20" s="9" t="n">
        <v>17.266265</v>
      </c>
      <c r="AF20" s="7" t="n">
        <v>12.2927360534668</v>
      </c>
      <c r="AG20" s="7" t="n">
        <v>13.52937126159668</v>
      </c>
      <c r="AH20" s="19" t="n">
        <v>4.161712</v>
      </c>
      <c r="AI20" s="19" t="n">
        <v>2.056138</v>
      </c>
      <c r="AJ20" s="19" t="n">
        <v>0.622436</v>
      </c>
      <c r="AK20" s="19" t="n">
        <v>0.335795</v>
      </c>
      <c r="AL20" s="19" t="n">
        <v>0.407577</v>
      </c>
      <c r="AM20" s="19" t="n">
        <v>0.039334</v>
      </c>
      <c r="AN20" s="16" t="n">
        <v>3.309819936752319</v>
      </c>
      <c r="AO20" s="20" t="n">
        <v>1208.369995117188</v>
      </c>
      <c r="AP20" s="21" t="n">
        <v>3684.739990234375</v>
      </c>
    </row>
    <row r="21">
      <c r="A21" s="4" t="n">
        <v>1983</v>
      </c>
      <c r="B21" s="5">
        <f>J21+AH21</f>
        <v/>
      </c>
      <c r="C21" s="81">
        <f>H21 - (J21 + K21 + AH21)</f>
        <v/>
      </c>
      <c r="D21" s="81">
        <f>H21 - 16</f>
        <v/>
      </c>
      <c r="E21" s="7" t="n">
        <v>14.09102821350098</v>
      </c>
      <c r="F21" s="7" t="n">
        <v>0.9283800721168518</v>
      </c>
      <c r="G21" s="8" t="n">
        <v>3.425072</v>
      </c>
      <c r="H21" s="9" t="n">
        <v>24.835705</v>
      </c>
      <c r="I21" s="10" t="n">
        <v>1.7</v>
      </c>
      <c r="J21" s="11">
        <f>MIN(7.5, L21)</f>
        <v/>
      </c>
      <c r="K21" s="11">
        <f>MAX(0, L21 - 7.5)</f>
        <v/>
      </c>
      <c r="L21" s="12">
        <f>M21+N21+O21+P21+V21</f>
        <v/>
      </c>
      <c r="M21" s="12" t="n">
        <v>4.245045</v>
      </c>
      <c r="N21" s="12" t="n">
        <v>1.062169</v>
      </c>
      <c r="O21" s="12" t="n">
        <v>0.08659600000000001</v>
      </c>
      <c r="P21" s="13" t="n">
        <v>0.274877</v>
      </c>
      <c r="Q21" s="11">
        <f>S21-I21</f>
        <v/>
      </c>
      <c r="R21" s="14">
        <f>Q21-7.5</f>
        <v/>
      </c>
      <c r="S21" s="7" t="n">
        <v>19.06568145751953</v>
      </c>
      <c r="T21" s="82">
        <f>U21-U20</f>
        <v/>
      </c>
      <c r="U21" s="16" t="n">
        <v>24.75099945068359</v>
      </c>
      <c r="V21" s="13" t="n">
        <v>0.863695</v>
      </c>
      <c r="W21" s="7" t="inlineStr"/>
      <c r="X21" s="7" t="inlineStr"/>
      <c r="Y21" s="5" t="n">
        <v>9.909139633178711</v>
      </c>
      <c r="Z21" s="17" t="n">
        <v>19.18292427062988</v>
      </c>
      <c r="AA21" s="7" t="n">
        <v>19.18305015563965</v>
      </c>
      <c r="AB21" s="82">
        <f>AC21-AC20</f>
        <v/>
      </c>
      <c r="AC21" s="16" t="n">
        <v>22.0349006652832</v>
      </c>
      <c r="AD21" s="18" t="n">
        <v>0.6759202480316162</v>
      </c>
      <c r="AE21" s="9" t="n">
        <v>23.570803</v>
      </c>
      <c r="AF21" s="7" t="n">
        <v>19.93899154663086</v>
      </c>
      <c r="AG21" s="7" t="n">
        <v>20.16579055786133</v>
      </c>
      <c r="AH21" s="19" t="n">
        <v>4.086068</v>
      </c>
      <c r="AI21" s="19" t="n">
        <v>1.921089</v>
      </c>
      <c r="AJ21" s="19" t="n">
        <v>0.588305</v>
      </c>
      <c r="AK21" s="19" t="n">
        <v>0.351752</v>
      </c>
      <c r="AL21" s="19" t="n">
        <v>0.41272</v>
      </c>
      <c r="AM21" s="19" t="n">
        <v>0.041203</v>
      </c>
      <c r="AN21" s="16" t="n">
        <v>3.454410076141357</v>
      </c>
      <c r="AO21" s="20" t="n">
        <v>1212.329956054688</v>
      </c>
      <c r="AP21" s="21" t="n">
        <v>3685.239990234375</v>
      </c>
    </row>
    <row r="22">
      <c r="A22" s="4" t="n">
        <v>1984</v>
      </c>
      <c r="B22" s="5">
        <f>J22+AH22</f>
        <v/>
      </c>
      <c r="C22" s="81">
        <f>H22 - (J22 + K22 + AH22)</f>
        <v/>
      </c>
      <c r="D22" s="81">
        <f>H22 - 16</f>
        <v/>
      </c>
      <c r="E22" s="7" t="n">
        <v>15.43031883239746</v>
      </c>
      <c r="F22" s="7" t="n">
        <v>0.2660118341445923</v>
      </c>
      <c r="G22" s="8" t="n">
        <v>3.094634</v>
      </c>
      <c r="H22" s="9" t="n">
        <v>25.464507</v>
      </c>
      <c r="I22" s="10" t="n">
        <v>1.7</v>
      </c>
      <c r="J22" s="11">
        <f>MIN(7.5, L22)</f>
        <v/>
      </c>
      <c r="K22" s="11">
        <f>MAX(0, L22 - 7.5)</f>
        <v/>
      </c>
      <c r="L22" s="12">
        <f>M22+N22+O22+P22+V22</f>
        <v/>
      </c>
      <c r="M22" s="12" t="n">
        <v>4.677103</v>
      </c>
      <c r="N22" s="12" t="n">
        <v>1.116116</v>
      </c>
      <c r="O22" s="12" t="n">
        <v>0.101492</v>
      </c>
      <c r="P22" s="13" t="n">
        <v>0.283433</v>
      </c>
      <c r="Q22" s="11">
        <f>S22-I22</f>
        <v/>
      </c>
      <c r="R22" s="14">
        <f>Q22-7.5</f>
        <v/>
      </c>
      <c r="S22" s="7" t="n">
        <v>21.41104316711426</v>
      </c>
      <c r="T22" s="82">
        <f>U22-U21</f>
        <v/>
      </c>
      <c r="U22" s="16" t="n">
        <v>24.08099937438965</v>
      </c>
      <c r="V22" s="13" t="n">
        <v>0.825948</v>
      </c>
      <c r="W22" s="7" t="inlineStr"/>
      <c r="X22" s="7" t="inlineStr"/>
      <c r="Y22" s="5" t="n">
        <v>11.05778789520264</v>
      </c>
      <c r="Z22" s="17" t="n">
        <v>20.3739128112793</v>
      </c>
      <c r="AA22" s="7" t="n">
        <v>20.37408828735352</v>
      </c>
      <c r="AB22" s="82">
        <f>AC22-AC21</f>
        <v/>
      </c>
      <c r="AC22" s="16" t="n">
        <v>21.96249961853027</v>
      </c>
      <c r="AD22" s="18" t="n">
        <v>0.6560078263282776</v>
      </c>
      <c r="AE22" s="9" t="n">
        <v>24.352649</v>
      </c>
      <c r="AF22" s="7" t="n">
        <v>20.95188522338867</v>
      </c>
      <c r="AG22" s="7" t="n">
        <v>21.10655975341797</v>
      </c>
      <c r="AH22" s="19" t="n">
        <v>3.987616</v>
      </c>
      <c r="AI22" s="19" t="n">
        <v>1.869335</v>
      </c>
      <c r="AJ22" s="19" t="n">
        <v>0.629481</v>
      </c>
      <c r="AK22" s="19" t="n">
        <v>0.317922</v>
      </c>
      <c r="AL22" s="19" t="n">
        <v>0.378113</v>
      </c>
      <c r="AM22" s="19" t="n">
        <v>0.0436</v>
      </c>
      <c r="AN22" s="16" t="n">
        <v>3.382299900054932</v>
      </c>
      <c r="AO22" s="20" t="n">
        <v>1207.900024414062</v>
      </c>
      <c r="AP22" s="21" t="n">
        <v>3684.760009765625</v>
      </c>
    </row>
    <row r="23">
      <c r="A23" s="4" t="n">
        <v>1985</v>
      </c>
      <c r="B23" s="5">
        <f>J23+AH23</f>
        <v/>
      </c>
      <c r="C23" s="81">
        <f>H23 - (J23 + K23 + AH23)</f>
        <v/>
      </c>
      <c r="D23" s="81">
        <f>H23 - 16</f>
        <v/>
      </c>
      <c r="E23" s="7" t="n">
        <v>11.69943332672119</v>
      </c>
      <c r="F23" s="7" t="n">
        <v>0.7851879596710205</v>
      </c>
      <c r="G23" s="8" t="n">
        <v>3.499646</v>
      </c>
      <c r="H23" s="9" t="n">
        <v>21.977364</v>
      </c>
      <c r="I23" s="10" t="n">
        <v>1.7</v>
      </c>
      <c r="J23" s="11">
        <f>MIN(7.5, L23)</f>
        <v/>
      </c>
      <c r="K23" s="11">
        <f>MAX(0, L23 - 7.5)</f>
        <v/>
      </c>
      <c r="L23" s="12">
        <f>M23+N23+O23+P23+V23</f>
        <v/>
      </c>
      <c r="M23" s="12" t="n">
        <v>4.778749</v>
      </c>
      <c r="N23" s="12" t="n">
        <v>1.194208</v>
      </c>
      <c r="O23" s="12" t="n">
        <v>0.101709</v>
      </c>
      <c r="P23" s="13" t="n">
        <v>0.298965</v>
      </c>
      <c r="Q23" s="11">
        <f>S23-I23</f>
        <v/>
      </c>
      <c r="R23" s="14">
        <f>Q23-7.5</f>
        <v/>
      </c>
      <c r="S23" s="7" t="n">
        <v>17.22733306884766</v>
      </c>
      <c r="T23" s="82">
        <f>U23-U22</f>
        <v/>
      </c>
      <c r="U23" s="16" t="n">
        <v>23.72100067138672</v>
      </c>
      <c r="V23" s="13" t="n">
        <v>0.905146</v>
      </c>
      <c r="W23" s="7" t="inlineStr"/>
      <c r="X23" s="7" t="inlineStr"/>
      <c r="Y23" s="5" t="n">
        <v>11.85049247741699</v>
      </c>
      <c r="Z23" s="17" t="n">
        <v>16.88738822937012</v>
      </c>
      <c r="AA23" s="7" t="n">
        <v>16.88748741149902</v>
      </c>
      <c r="AB23" s="82">
        <f>AC23-AC22</f>
        <v/>
      </c>
      <c r="AC23" s="16" t="n">
        <v>22.32670021057129</v>
      </c>
      <c r="AD23" s="18" t="n">
        <v>0.6472430825233459</v>
      </c>
      <c r="AE23" s="9" t="n">
        <v>21.039546</v>
      </c>
      <c r="AF23" s="7" t="n">
        <v>17.92806053161621</v>
      </c>
      <c r="AG23" s="7" t="n">
        <v>17.41978645324707</v>
      </c>
      <c r="AH23" s="19" t="n">
        <v>4.264431</v>
      </c>
      <c r="AI23" s="19" t="n">
        <v>2.001026</v>
      </c>
      <c r="AJ23" s="19" t="n">
        <v>0.752414</v>
      </c>
      <c r="AK23" s="19" t="n">
        <v>0.345159</v>
      </c>
      <c r="AL23" s="19" t="n">
        <v>0.383345</v>
      </c>
      <c r="AM23" s="19" t="n">
        <v>0.045671</v>
      </c>
      <c r="AN23" s="16" t="n">
        <v>3.119029998779297</v>
      </c>
      <c r="AO23" s="20" t="n">
        <v>1205.489990234375</v>
      </c>
      <c r="AP23" s="21" t="n">
        <v>3687.18994140625</v>
      </c>
    </row>
    <row r="24">
      <c r="A24" s="4" t="n">
        <v>1986</v>
      </c>
      <c r="B24" s="5">
        <f>J24+AH24</f>
        <v/>
      </c>
      <c r="C24" s="81">
        <f>H24 - (J24 + K24 + AH24)</f>
        <v/>
      </c>
      <c r="D24" s="81">
        <f>H24 - 16</f>
        <v/>
      </c>
      <c r="E24" s="7" t="n">
        <v>10.68780899047852</v>
      </c>
      <c r="F24" s="7" t="n">
        <v>0.01568836532533169</v>
      </c>
      <c r="G24" s="8" t="n">
        <v>3.341719</v>
      </c>
      <c r="H24" s="9" t="n">
        <v>23.357818</v>
      </c>
      <c r="I24" s="10" t="n">
        <v>1.7</v>
      </c>
      <c r="J24" s="11">
        <f>MIN(7.5, L24)</f>
        <v/>
      </c>
      <c r="K24" s="11">
        <f>MAX(0, L24 - 7.5)</f>
        <v/>
      </c>
      <c r="L24" s="12">
        <f>M24+N24+O24+P24+V24</f>
        <v/>
      </c>
      <c r="M24" s="12" t="n">
        <v>4.803676</v>
      </c>
      <c r="N24" s="12" t="n">
        <v>1.35693</v>
      </c>
      <c r="O24" s="12" t="n">
        <v>0.112217</v>
      </c>
      <c r="P24" s="13" t="n">
        <v>0.288677</v>
      </c>
      <c r="Q24" s="11">
        <f>S24-I24</f>
        <v/>
      </c>
      <c r="R24" s="14">
        <f>Q24-7.5</f>
        <v/>
      </c>
      <c r="S24" s="7" t="n">
        <v>17.54746437072754</v>
      </c>
      <c r="T24" s="82">
        <f>U24-U23</f>
        <v/>
      </c>
      <c r="U24" s="16" t="n">
        <v>24.45599937438965</v>
      </c>
      <c r="V24" s="13" t="n">
        <v>0.88386</v>
      </c>
      <c r="W24" s="7" t="inlineStr"/>
      <c r="X24" s="7" t="inlineStr"/>
      <c r="Y24" s="5" t="n">
        <v>12.77974891662598</v>
      </c>
      <c r="Z24" s="17" t="n">
        <v>18.692138671875</v>
      </c>
      <c r="AA24" s="7" t="n">
        <v>18.69224548339844</v>
      </c>
      <c r="AB24" s="82">
        <f>AC24-AC23</f>
        <v/>
      </c>
      <c r="AC24" s="16" t="n">
        <v>21.9015007019043</v>
      </c>
      <c r="AD24" s="18" t="n">
        <v>0.6492236256599426</v>
      </c>
      <c r="AE24" s="9" t="n">
        <v>22.982503</v>
      </c>
      <c r="AF24" s="7" t="n">
        <v>18.88225555419922</v>
      </c>
      <c r="AG24" s="7" t="n">
        <v>19.21248435974121</v>
      </c>
      <c r="AH24" s="19" t="n">
        <v>4.226619</v>
      </c>
      <c r="AI24" s="19" t="n">
        <v>1.808612</v>
      </c>
      <c r="AJ24" s="19" t="n">
        <v>0.729463</v>
      </c>
      <c r="AK24" s="19" t="n">
        <v>0.470188</v>
      </c>
      <c r="AL24" s="19" t="n">
        <v>0.441607</v>
      </c>
      <c r="AM24" s="19" t="n">
        <v>0.037141</v>
      </c>
      <c r="AN24" s="16" t="n">
        <v>3.259609937667847</v>
      </c>
      <c r="AO24" s="20" t="n">
        <v>1210.390014648438</v>
      </c>
      <c r="AP24" s="21" t="n">
        <v>3684.360107421875</v>
      </c>
    </row>
    <row r="25">
      <c r="A25" s="4" t="n">
        <v>1987</v>
      </c>
      <c r="B25" s="5">
        <f>J25+AH25</f>
        <v/>
      </c>
      <c r="C25" s="81">
        <f>H25 - (J25 + K25 + AH25)</f>
        <v/>
      </c>
      <c r="D25" s="81">
        <f>H25 - 16</f>
        <v/>
      </c>
      <c r="E25" s="7" t="n">
        <v>4.530042171478271</v>
      </c>
      <c r="F25" s="7" t="n">
        <v>0.008253965526819229</v>
      </c>
      <c r="G25" s="8" t="n">
        <v>2.895791</v>
      </c>
      <c r="H25" s="9" t="n">
        <v>16.367952</v>
      </c>
      <c r="I25" s="10" t="n">
        <v>1.7</v>
      </c>
      <c r="J25" s="11">
        <f>MIN(7.5, L25)</f>
        <v/>
      </c>
      <c r="K25" s="11">
        <f>MAX(0, L25 - 7.5)</f>
        <v/>
      </c>
      <c r="L25" s="12">
        <f>M25+N25+O25+P25+V25</f>
        <v/>
      </c>
      <c r="M25" s="12" t="n">
        <v>4.891961</v>
      </c>
      <c r="N25" s="12" t="n">
        <v>1.734172</v>
      </c>
      <c r="O25" s="12" t="n">
        <v>0.108863</v>
      </c>
      <c r="P25" s="13" t="n">
        <v>0.297516</v>
      </c>
      <c r="Q25" s="11">
        <f>S25-I25</f>
        <v/>
      </c>
      <c r="R25" s="14">
        <f>Q25-7.5</f>
        <v/>
      </c>
      <c r="S25" s="7" t="n">
        <v>11.33780860900879</v>
      </c>
      <c r="T25" s="82">
        <f>U25-U24</f>
        <v/>
      </c>
      <c r="U25" s="16" t="n">
        <v>24.55299949645996</v>
      </c>
      <c r="V25" s="13" t="n">
        <v>0.854146</v>
      </c>
      <c r="W25" s="7" t="inlineStr"/>
      <c r="X25" s="7" t="inlineStr"/>
      <c r="Y25" s="5" t="n">
        <v>13.19587707519531</v>
      </c>
      <c r="Z25" s="17" t="n">
        <v>11.51453495025635</v>
      </c>
      <c r="AA25" s="7" t="n">
        <v>11.51460742950439</v>
      </c>
      <c r="AB25" s="82">
        <f>AC25-AC24</f>
        <v/>
      </c>
      <c r="AC25" s="16" t="n">
        <v>22.04109954833984</v>
      </c>
      <c r="AD25" s="18" t="n">
        <v>0.6482013463973999</v>
      </c>
      <c r="AE25" s="9" t="n">
        <v>15.343159</v>
      </c>
      <c r="AF25" s="7" t="n">
        <v>12.31357288360596</v>
      </c>
      <c r="AG25" s="7" t="n">
        <v>12.03280735015869</v>
      </c>
      <c r="AH25" s="19" t="n">
        <v>4.293844</v>
      </c>
      <c r="AI25" s="19" t="n">
        <v>1.89446</v>
      </c>
      <c r="AJ25" s="19" t="n">
        <v>0.7691519999999999</v>
      </c>
      <c r="AK25" s="19" t="n">
        <v>0.474601</v>
      </c>
      <c r="AL25" s="19" t="n">
        <v>0.378328</v>
      </c>
      <c r="AM25" s="19" t="n">
        <v>0.038088</v>
      </c>
      <c r="AN25" s="16" t="n">
        <v>3.219340085983276</v>
      </c>
      <c r="AO25" s="20" t="n">
        <v>1211.030029296875</v>
      </c>
      <c r="AP25" s="21" t="n">
        <v>3685.300048828125</v>
      </c>
    </row>
    <row r="26">
      <c r="A26" s="4" t="n">
        <v>1988</v>
      </c>
      <c r="B26" s="5">
        <f>J26+AH26</f>
        <v/>
      </c>
      <c r="C26" s="81">
        <f>H26 - (J26 + K26 + AH26)</f>
        <v/>
      </c>
      <c r="D26" s="81">
        <f>H26 - 16</f>
        <v/>
      </c>
      <c r="E26" s="7" t="n">
        <v>2.217134237289429</v>
      </c>
      <c r="F26" s="7" t="n">
        <v>0.004722416400909424</v>
      </c>
      <c r="G26" s="8" t="n">
        <v>2.815286</v>
      </c>
      <c r="H26" s="9" t="n">
        <v>12.164188</v>
      </c>
      <c r="I26" s="10" t="n">
        <v>1.7</v>
      </c>
      <c r="J26" s="11">
        <f>MIN(7.5, L26)</f>
        <v/>
      </c>
      <c r="K26" s="11">
        <f>MAX(0, L26 - 7.5)</f>
        <v/>
      </c>
      <c r="L26" s="12">
        <f>M26+N26+O26+P26+V26</f>
        <v/>
      </c>
      <c r="M26" s="12" t="n">
        <v>5.039679</v>
      </c>
      <c r="N26" s="12" t="n">
        <v>1.922737</v>
      </c>
      <c r="O26" s="12" t="n">
        <v>0.12942</v>
      </c>
      <c r="P26" s="13" t="n">
        <v>0.293256</v>
      </c>
      <c r="Q26" s="11">
        <f>S26-I26</f>
        <v/>
      </c>
      <c r="R26" s="14">
        <f>Q26-7.5</f>
        <v/>
      </c>
      <c r="S26" s="7" t="n">
        <v>9.425655364990234</v>
      </c>
      <c r="T26" s="82">
        <f>U26-U25</f>
        <v/>
      </c>
      <c r="U26" s="16" t="n">
        <v>22.8799991607666</v>
      </c>
      <c r="V26" s="13" t="n">
        <v>0.8654269999999999</v>
      </c>
      <c r="W26" s="7" t="inlineStr"/>
      <c r="X26" s="7" t="inlineStr"/>
      <c r="Y26" s="5" t="n">
        <v>13.08012390136719</v>
      </c>
      <c r="Z26" s="17" t="n">
        <v>7.848269462585449</v>
      </c>
      <c r="AA26" s="7" t="n">
        <v>7.848314762115479</v>
      </c>
      <c r="AB26" s="82">
        <f>AC26-AC25</f>
        <v/>
      </c>
      <c r="AC26" s="16" t="n">
        <v>21.22310066223145</v>
      </c>
      <c r="AD26" s="18" t="n">
        <v>0.6350654363632202</v>
      </c>
      <c r="AE26" s="9" t="n">
        <v>11.210331</v>
      </c>
      <c r="AF26" s="7" t="n">
        <v>7.599969863891602</v>
      </c>
      <c r="AG26" s="7" t="n">
        <v>7.428119659423828</v>
      </c>
      <c r="AH26" s="19" t="n">
        <v>4.697624</v>
      </c>
      <c r="AI26" s="19" t="n">
        <v>2.277486</v>
      </c>
      <c r="AJ26" s="19" t="n">
        <v>0.751153</v>
      </c>
      <c r="AK26" s="19" t="n">
        <v>0.557014</v>
      </c>
      <c r="AL26" s="19" t="n">
        <v>0.350331</v>
      </c>
      <c r="AM26" s="19" t="n">
        <v>0.041341</v>
      </c>
      <c r="AN26" s="16" t="n">
        <v>2.960920095443726</v>
      </c>
      <c r="AO26" s="20" t="n">
        <v>1199.75</v>
      </c>
      <c r="AP26" s="21" t="n">
        <v>3679.760009765625</v>
      </c>
    </row>
    <row r="27">
      <c r="A27" s="4" t="n">
        <v>1989</v>
      </c>
      <c r="B27" s="5">
        <f>J27+AH27</f>
        <v/>
      </c>
      <c r="C27" s="81">
        <f>H27 - (J27 + K27 + AH27)</f>
        <v/>
      </c>
      <c r="D27" s="81">
        <f>H27 - 16</f>
        <v/>
      </c>
      <c r="E27" s="7" t="n">
        <v>1.452183485031128</v>
      </c>
      <c r="F27" s="7" t="n">
        <v>0.01145504973828793</v>
      </c>
      <c r="G27" s="8" t="n">
        <v>2.484238</v>
      </c>
      <c r="H27" s="9" t="n">
        <v>10.198378</v>
      </c>
      <c r="I27" s="10" t="n">
        <v>1.5</v>
      </c>
      <c r="J27" s="11">
        <f>MIN(7.5, L27)</f>
        <v/>
      </c>
      <c r="K27" s="11">
        <f>MAX(0, L27 - 7.5)</f>
        <v/>
      </c>
      <c r="L27" s="12">
        <f>M27+N27+O27+P27+V27</f>
        <v/>
      </c>
      <c r="M27" s="12" t="n">
        <v>5.144417</v>
      </c>
      <c r="N27" s="12" t="n">
        <v>2.229697</v>
      </c>
      <c r="O27" s="12" t="n">
        <v>0.156213</v>
      </c>
      <c r="P27" s="13" t="n">
        <v>0.30995</v>
      </c>
      <c r="Q27" s="11">
        <f>S27-I27</f>
        <v/>
      </c>
      <c r="R27" s="14">
        <f>Q27-7.5</f>
        <v/>
      </c>
      <c r="S27" s="7" t="n">
        <v>9.164651870727539</v>
      </c>
      <c r="T27" s="82">
        <f>U27-U26</f>
        <v/>
      </c>
      <c r="U27" s="16" t="n">
        <v>21.4689998626709</v>
      </c>
      <c r="V27" s="13" t="n">
        <v>0.847688</v>
      </c>
      <c r="W27" s="7" t="inlineStr"/>
      <c r="X27" s="7" t="inlineStr"/>
      <c r="Y27" s="5" t="n">
        <v>13.07095336914062</v>
      </c>
      <c r="Z27" s="17" t="n">
        <v>8.017121315002441</v>
      </c>
      <c r="AA27" s="7" t="n">
        <v>8.044069290161133</v>
      </c>
      <c r="AB27" s="82">
        <f>AC27-AC26</f>
        <v/>
      </c>
      <c r="AC27" s="16" t="n">
        <v>18.29179954528809</v>
      </c>
      <c r="AD27" s="18" t="n">
        <v>0.5762922167778015</v>
      </c>
      <c r="AE27" s="9" t="n">
        <v>9.511025999999999</v>
      </c>
      <c r="AF27" s="7" t="n">
        <v>5.454493045806885</v>
      </c>
      <c r="AG27" s="7" t="n">
        <v>5.933972835540771</v>
      </c>
      <c r="AH27" s="19" t="n">
        <v>4.712412</v>
      </c>
      <c r="AI27" s="19" t="n">
        <v>2.402282</v>
      </c>
      <c r="AJ27" s="19" t="n">
        <v>0.755018</v>
      </c>
      <c r="AK27" s="19" t="n">
        <v>0.47445</v>
      </c>
      <c r="AL27" s="19" t="n">
        <v>0.382273</v>
      </c>
      <c r="AM27" s="19" t="n">
        <v>0.039532</v>
      </c>
      <c r="AN27" s="16" t="n">
        <v>2.945849895477295</v>
      </c>
      <c r="AO27" s="20" t="n">
        <v>1189.800048828125</v>
      </c>
      <c r="AP27" s="21" t="n">
        <v>3658.4599609375</v>
      </c>
    </row>
    <row r="28">
      <c r="A28" s="4" t="n">
        <v>1990</v>
      </c>
      <c r="B28" s="5">
        <f>J28+AH28</f>
        <v/>
      </c>
      <c r="C28" s="81">
        <f>H28 - (J28 + K28 + AH28)</f>
        <v/>
      </c>
      <c r="D28" s="81">
        <f>H28 - 16</f>
        <v/>
      </c>
      <c r="E28" s="7" t="n">
        <v>1.406847596168518</v>
      </c>
      <c r="F28" s="7" t="n">
        <v>0.006030685734003782</v>
      </c>
      <c r="G28" s="8" t="n">
        <v>2.381</v>
      </c>
      <c r="H28" s="9" t="n">
        <v>9.973037</v>
      </c>
      <c r="I28" s="10" t="n">
        <v>1.5</v>
      </c>
      <c r="J28" s="11">
        <f>MIN(7.5, L28)</f>
        <v/>
      </c>
      <c r="K28" s="11">
        <f>MAX(0, L28 - 7.5)</f>
        <v/>
      </c>
      <c r="L28" s="12">
        <f>M28+N28+O28+P28+V28</f>
        <v/>
      </c>
      <c r="M28" s="12" t="n">
        <v>5.219457</v>
      </c>
      <c r="N28" s="12" t="n">
        <v>2.260272</v>
      </c>
      <c r="O28" s="12" t="n">
        <v>0.178111</v>
      </c>
      <c r="P28" s="13" t="n">
        <v>0.297349</v>
      </c>
      <c r="Q28" s="11">
        <f>S28-I28</f>
        <v/>
      </c>
      <c r="R28" s="14">
        <f>Q28-7.5</f>
        <v/>
      </c>
      <c r="S28" s="7" t="n">
        <v>9.203865051269531</v>
      </c>
      <c r="T28" s="82">
        <f>U28-U27</f>
        <v/>
      </c>
      <c r="U28" s="16" t="n">
        <v>19.86400032043457</v>
      </c>
      <c r="V28" s="13" t="n">
        <v>0.775899</v>
      </c>
      <c r="W28" s="7" t="inlineStr"/>
      <c r="X28" s="7" t="inlineStr"/>
      <c r="Y28" s="5" t="n">
        <v>12.72821521759033</v>
      </c>
      <c r="Z28" s="17" t="n">
        <v>7.90120792388916</v>
      </c>
      <c r="AA28" s="7" t="n">
        <v>7.901257038116455</v>
      </c>
      <c r="AB28" s="82">
        <f>AC28-AC27</f>
        <v/>
      </c>
      <c r="AC28" s="16" t="n">
        <v>15.24619960784912</v>
      </c>
      <c r="AD28" s="18" t="n">
        <v>0.4853485524654388</v>
      </c>
      <c r="AE28" s="9" t="n">
        <v>9.373480000000001</v>
      </c>
      <c r="AF28" s="7" t="n">
        <v>5.097431659698486</v>
      </c>
      <c r="AG28" s="7" t="n">
        <v>5.654347896575928</v>
      </c>
      <c r="AH28" s="19" t="n">
        <v>4.409088</v>
      </c>
      <c r="AI28" s="19" t="n">
        <v>2.100657</v>
      </c>
      <c r="AJ28" s="19" t="n">
        <v>0.796997</v>
      </c>
      <c r="AK28" s="19" t="n">
        <v>0.515588</v>
      </c>
      <c r="AL28" s="19" t="n">
        <v>0.39007</v>
      </c>
      <c r="AM28" s="19" t="n">
        <v>0.03588</v>
      </c>
      <c r="AN28" s="16" t="n">
        <v>3.051929950714111</v>
      </c>
      <c r="AO28" s="20" t="n">
        <v>1177.890014648438</v>
      </c>
      <c r="AP28" s="21" t="n">
        <v>3633.47998046875</v>
      </c>
    </row>
    <row r="29">
      <c r="A29" s="4" t="n">
        <v>1991</v>
      </c>
      <c r="B29" s="5">
        <f>J29+AH29</f>
        <v/>
      </c>
      <c r="C29" s="81">
        <f>H29 - (J29 + K29 + AH29)</f>
        <v/>
      </c>
      <c r="D29" s="81">
        <f>H29 - 16</f>
        <v/>
      </c>
      <c r="E29" s="7" t="n">
        <v>1.384819388389587</v>
      </c>
      <c r="F29" s="7" t="n">
        <v>0.00234095798805356</v>
      </c>
      <c r="G29" s="8" t="n">
        <v>2.843793</v>
      </c>
      <c r="H29" s="9" t="n">
        <v>13.088763</v>
      </c>
      <c r="I29" s="10" t="n">
        <v>1.5</v>
      </c>
      <c r="J29" s="11">
        <f>MIN(7.5, L29)</f>
        <v/>
      </c>
      <c r="K29" s="11">
        <f>MAX(0, L29 - 7.5)</f>
        <v/>
      </c>
      <c r="L29" s="12">
        <f>M29+N29+O29+P29+V29</f>
        <v/>
      </c>
      <c r="M29" s="12" t="n">
        <v>5.005595</v>
      </c>
      <c r="N29" s="12" t="n">
        <v>1.86436</v>
      </c>
      <c r="O29" s="12" t="n">
        <v>0.180224</v>
      </c>
      <c r="P29" s="13" t="n">
        <v>0.291115</v>
      </c>
      <c r="Q29" s="11">
        <f>S29-I29</f>
        <v/>
      </c>
      <c r="R29" s="14">
        <f>Q29-7.5</f>
        <v/>
      </c>
      <c r="S29" s="7" t="n">
        <v>8.954544067382812</v>
      </c>
      <c r="T29" s="82">
        <f>U29-U28</f>
        <v/>
      </c>
      <c r="U29" s="16" t="n">
        <v>19.28800010681152</v>
      </c>
      <c r="V29" s="13" t="n">
        <v>0.740702</v>
      </c>
      <c r="W29" s="7" t="inlineStr"/>
      <c r="X29" s="7" t="inlineStr"/>
      <c r="Y29" s="5" t="n">
        <v>12.78181743621826</v>
      </c>
      <c r="Z29" s="17" t="n">
        <v>8.384140968322754</v>
      </c>
      <c r="AA29" s="7" t="n">
        <v>8.384188652038574</v>
      </c>
      <c r="AB29" s="82">
        <f>AC29-AC28</f>
        <v/>
      </c>
      <c r="AC29" s="16" t="n">
        <v>14.25150012969971</v>
      </c>
      <c r="AD29" s="18" t="n">
        <v>0.4432906806468964</v>
      </c>
      <c r="AE29" s="9" t="n">
        <v>12.330508</v>
      </c>
      <c r="AF29" s="7" t="n">
        <v>7.753158092498779</v>
      </c>
      <c r="AG29" s="7" t="n">
        <v>8.847016334533691</v>
      </c>
      <c r="AH29" s="19" t="n">
        <v>4.171588</v>
      </c>
      <c r="AI29" s="19" t="n">
        <v>1.867946</v>
      </c>
      <c r="AJ29" s="19" t="n">
        <v>0.856616</v>
      </c>
      <c r="AK29" s="19" t="n">
        <v>0.550433</v>
      </c>
      <c r="AL29" s="19" t="n">
        <v>0.328658</v>
      </c>
      <c r="AM29" s="19" t="n">
        <v>0.034499</v>
      </c>
      <c r="AN29" s="16" t="n">
        <v>3.330899953842163</v>
      </c>
      <c r="AO29" s="20" t="n">
        <v>1173.43994140625</v>
      </c>
      <c r="AP29" s="21" t="n">
        <v>3624.550048828125</v>
      </c>
    </row>
    <row r="30">
      <c r="A30" s="4" t="n">
        <v>1992</v>
      </c>
      <c r="B30" s="5">
        <f>J30+AH30</f>
        <v/>
      </c>
      <c r="C30" s="81">
        <f>H30 - (J30 + K30 + AH30)</f>
        <v/>
      </c>
      <c r="D30" s="81">
        <f>H30 - 16</f>
        <v/>
      </c>
      <c r="E30" s="7" t="n">
        <v>1.451653957366943</v>
      </c>
      <c r="F30" s="7" t="n">
        <v>0.1841496080160141</v>
      </c>
      <c r="G30" s="8" t="n">
        <v>3.027252</v>
      </c>
      <c r="H30" s="9" t="n">
        <v>12.229797</v>
      </c>
      <c r="I30" s="10" t="n">
        <v>1.5</v>
      </c>
      <c r="J30" s="11">
        <f>MIN(7.5, L30)</f>
        <v/>
      </c>
      <c r="K30" s="11">
        <f>MAX(0, L30 - 7.5)</f>
        <v/>
      </c>
      <c r="L30" s="12">
        <f>M30+N30+O30+P30+V30</f>
        <v/>
      </c>
      <c r="M30" s="12" t="n">
        <v>4.546192</v>
      </c>
      <c r="N30" s="12" t="n">
        <v>1.906071</v>
      </c>
      <c r="O30" s="12" t="n">
        <v>0.177551</v>
      </c>
      <c r="P30" s="13" t="n">
        <v>0.270272</v>
      </c>
      <c r="Q30" s="11">
        <f>S30-I30</f>
        <v/>
      </c>
      <c r="R30" s="14">
        <f>Q30-7.5</f>
        <v/>
      </c>
      <c r="S30" s="7" t="n">
        <v>7.826848030090332</v>
      </c>
      <c r="T30" s="82">
        <f>U30-U29</f>
        <v/>
      </c>
      <c r="U30" s="16" t="n">
        <v>19.72900009155273</v>
      </c>
      <c r="V30" s="13" t="n">
        <v>0.694778</v>
      </c>
      <c r="W30" s="7" t="inlineStr"/>
      <c r="X30" s="7" t="inlineStr"/>
      <c r="Y30" s="5" t="n">
        <v>12.68053913116455</v>
      </c>
      <c r="Z30" s="17" t="n">
        <v>8.003752708435059</v>
      </c>
      <c r="AA30" s="7" t="n">
        <v>8.003804206848145</v>
      </c>
      <c r="AB30" s="82">
        <f>AC30-AC29</f>
        <v/>
      </c>
      <c r="AC30" s="16" t="n">
        <v>13.33440017700195</v>
      </c>
      <c r="AD30" s="18" t="n">
        <v>0.426063597202301</v>
      </c>
      <c r="AE30" s="9" t="n">
        <v>10.956884</v>
      </c>
      <c r="AF30" s="7" t="n">
        <v>7.439388275146484</v>
      </c>
      <c r="AG30" s="7" t="n">
        <v>7.097124576568604</v>
      </c>
      <c r="AH30" s="19" t="n">
        <v>3.860521</v>
      </c>
      <c r="AI30" s="19" t="n">
        <v>1.661152</v>
      </c>
      <c r="AJ30" s="19" t="n">
        <v>0.816299</v>
      </c>
      <c r="AK30" s="19" t="n">
        <v>0.54289</v>
      </c>
      <c r="AL30" s="19" t="n">
        <v>0.289518</v>
      </c>
      <c r="AM30" s="19" t="n">
        <v>0.036943</v>
      </c>
      <c r="AN30" s="16" t="n">
        <v>3.016839981079102</v>
      </c>
      <c r="AO30" s="20" t="n">
        <v>1176.859985351562</v>
      </c>
      <c r="AP30" s="21" t="n">
        <v>3615.909912109375</v>
      </c>
    </row>
    <row r="31">
      <c r="A31" s="4" t="n">
        <v>1993</v>
      </c>
      <c r="B31" s="5">
        <f>J31+AH31</f>
        <v/>
      </c>
      <c r="C31" s="81">
        <f>H31 - (J31 + K31 + AH31)</f>
        <v/>
      </c>
      <c r="D31" s="81">
        <f>H31 - 16</f>
        <v/>
      </c>
      <c r="E31" s="7" t="n">
        <v>5.075512886047363</v>
      </c>
      <c r="F31" s="7" t="n">
        <v>4.73173189163208</v>
      </c>
      <c r="G31" s="8" t="n">
        <v>2.721953</v>
      </c>
      <c r="H31" s="9" t="n">
        <v>21.35594</v>
      </c>
      <c r="I31" s="10" t="n">
        <v>1.5</v>
      </c>
      <c r="J31" s="11">
        <f>MIN(7.5, L31)</f>
        <v/>
      </c>
      <c r="K31" s="11">
        <f>MAX(0, L31 - 7.5)</f>
        <v/>
      </c>
      <c r="L31" s="12">
        <f>M31+N31+O31+P31+V31</f>
        <v/>
      </c>
      <c r="M31" s="12" t="n">
        <v>4.742028</v>
      </c>
      <c r="N31" s="12" t="n">
        <v>2.246695</v>
      </c>
      <c r="O31" s="12" t="n">
        <v>0.204402</v>
      </c>
      <c r="P31" s="13" t="n">
        <v>0.277611</v>
      </c>
      <c r="Q31" s="11">
        <f>S31-I31</f>
        <v/>
      </c>
      <c r="R31" s="14">
        <f>Q31-7.5</f>
        <v/>
      </c>
      <c r="S31" s="7" t="n">
        <v>7.439994335174561</v>
      </c>
      <c r="T31" s="82">
        <f>U31-U30</f>
        <v/>
      </c>
      <c r="U31" s="16" t="n">
        <v>21.32399940490723</v>
      </c>
      <c r="V31" s="13" t="n">
        <v>0.783355</v>
      </c>
      <c r="W31" s="7" t="inlineStr"/>
      <c r="X31" s="7" t="inlineStr"/>
      <c r="Y31" s="5" t="n">
        <v>11.58687877655029</v>
      </c>
      <c r="Z31" s="17" t="n">
        <v>8.246330261230469</v>
      </c>
      <c r="AA31" s="7" t="n">
        <v>8.246379852294922</v>
      </c>
      <c r="AB31" s="82">
        <f>AC31-AC30</f>
        <v/>
      </c>
      <c r="AC31" s="16" t="n">
        <v>18.40239906311035</v>
      </c>
      <c r="AD31" s="18" t="n">
        <v>0.5164245963096619</v>
      </c>
      <c r="AE31" s="9" t="n">
        <v>18.824576</v>
      </c>
      <c r="AF31" s="7" t="n">
        <v>14.23629856109619</v>
      </c>
      <c r="AG31" s="7" t="n">
        <v>14.72839546203613</v>
      </c>
      <c r="AH31" s="19" t="n">
        <v>4.120825</v>
      </c>
      <c r="AI31" s="19" t="n">
        <v>1.7861</v>
      </c>
      <c r="AJ31" s="19" t="n">
        <v>0.859468</v>
      </c>
      <c r="AK31" s="19" t="n">
        <v>0.499625</v>
      </c>
      <c r="AL31" s="19" t="n">
        <v>0.333378</v>
      </c>
      <c r="AM31" s="19" t="n">
        <v>0.035991</v>
      </c>
      <c r="AN31" s="16" t="n">
        <v>3.320159912109375</v>
      </c>
      <c r="AO31" s="20" t="n">
        <v>1188.75</v>
      </c>
      <c r="AP31" s="21" t="n">
        <v>3659.31005859375</v>
      </c>
    </row>
    <row r="32">
      <c r="A32" s="4" t="n">
        <v>1994</v>
      </c>
      <c r="B32" s="5">
        <f>J32+AH32</f>
        <v/>
      </c>
      <c r="C32" s="81">
        <f>H32 - (J32 + K32 + AH32)</f>
        <v/>
      </c>
      <c r="D32" s="81">
        <f>H32 - 16</f>
        <v/>
      </c>
      <c r="E32" s="7" t="n">
        <v>1.398003339767456</v>
      </c>
      <c r="F32" s="7" t="n">
        <v>0.06431644409894943</v>
      </c>
      <c r="G32" s="8" t="n">
        <v>2.910038</v>
      </c>
      <c r="H32" s="9" t="n">
        <v>11.055286</v>
      </c>
      <c r="I32" s="10" t="n">
        <v>1.5</v>
      </c>
      <c r="J32" s="11">
        <f>MIN(7.5, L32)</f>
        <v/>
      </c>
      <c r="K32" s="11">
        <f>MAX(0, L32 - 7.5)</f>
        <v/>
      </c>
      <c r="L32" s="12">
        <f>M32+N32+O32+P32+V32</f>
        <v/>
      </c>
      <c r="M32" s="12" t="n">
        <v>5.1694</v>
      </c>
      <c r="N32" s="12" t="n">
        <v>2.15241</v>
      </c>
      <c r="O32" s="12" t="n">
        <v>0.227542</v>
      </c>
      <c r="P32" s="13" t="n">
        <v>0.298677</v>
      </c>
      <c r="Q32" s="11">
        <f>S32-I32</f>
        <v/>
      </c>
      <c r="R32" s="14">
        <f>Q32-7.5</f>
        <v/>
      </c>
      <c r="S32" s="7" t="n">
        <v>9.353298187255859</v>
      </c>
      <c r="T32" s="82">
        <f>U32-U31</f>
        <v/>
      </c>
      <c r="U32" s="16" t="n">
        <v>19.68460083007812</v>
      </c>
      <c r="V32" s="13" t="n">
        <v>0.78986</v>
      </c>
      <c r="W32" s="7" t="inlineStr"/>
      <c r="X32" s="7" t="inlineStr"/>
      <c r="Y32" s="5" t="n">
        <v>10.35268974304199</v>
      </c>
      <c r="Z32" s="17" t="n">
        <v>8.032016754150391</v>
      </c>
      <c r="AA32" s="7" t="n">
        <v>8.032065391540527</v>
      </c>
      <c r="AB32" s="82">
        <f>AC32-AC31</f>
        <v/>
      </c>
      <c r="AC32" s="16" t="n">
        <v>17.22069931030273</v>
      </c>
      <c r="AD32" s="18" t="n">
        <v>0.5274332165718079</v>
      </c>
      <c r="AE32" s="9" t="n">
        <v>10.616817</v>
      </c>
      <c r="AF32" s="7" t="n">
        <v>7.283224582672119</v>
      </c>
      <c r="AG32" s="7" t="n">
        <v>6.659084320068359</v>
      </c>
      <c r="AH32" s="19" t="n">
        <v>4.446529</v>
      </c>
      <c r="AI32" s="19" t="n">
        <v>1.999189</v>
      </c>
      <c r="AJ32" s="19" t="n">
        <v>0.8709789999999999</v>
      </c>
      <c r="AK32" s="19" t="n">
        <v>0.613003</v>
      </c>
      <c r="AL32" s="19" t="n">
        <v>0.314722</v>
      </c>
      <c r="AM32" s="19" t="n">
        <v>0.036387</v>
      </c>
      <c r="AN32" s="16" t="n">
        <v>2.838000059127808</v>
      </c>
      <c r="AO32" s="20" t="n">
        <v>1176.52001953125</v>
      </c>
      <c r="AP32" s="21" t="n">
        <v>3650.0400390625</v>
      </c>
    </row>
    <row r="33">
      <c r="A33" s="4" t="n">
        <v>1995</v>
      </c>
      <c r="B33" s="5">
        <f>J33+AH33</f>
        <v/>
      </c>
      <c r="C33" s="81">
        <f>H33 - (J33 + K33 + AH33)</f>
        <v/>
      </c>
      <c r="D33" s="81">
        <f>H33 - 16</f>
        <v/>
      </c>
      <c r="E33" s="7" t="n">
        <v>1.593669652938843</v>
      </c>
      <c r="F33" s="7" t="n">
        <v>0.5278450846672058</v>
      </c>
      <c r="G33" s="8" t="n">
        <v>3.389124</v>
      </c>
      <c r="H33" s="9" t="n">
        <v>21.332581</v>
      </c>
      <c r="I33" s="10" t="n">
        <v>1.500001</v>
      </c>
      <c r="J33" s="11">
        <f>MIN(7.5, L33)</f>
        <v/>
      </c>
      <c r="K33" s="11">
        <f>MAX(0, L33 - 7.5)</f>
        <v/>
      </c>
      <c r="L33" s="12">
        <f>M33+N33+O33+P33+V33</f>
        <v/>
      </c>
      <c r="M33" s="12" t="n">
        <v>4.92548</v>
      </c>
      <c r="N33" s="12" t="n">
        <v>2.221346</v>
      </c>
      <c r="O33" s="12" t="n">
        <v>0.217439</v>
      </c>
      <c r="P33" s="13" t="n">
        <v>0.297328</v>
      </c>
      <c r="Q33" s="11">
        <f>S33-I33</f>
        <v/>
      </c>
      <c r="R33" s="14">
        <f>Q33-7.5</f>
        <v/>
      </c>
      <c r="S33" s="7" t="n">
        <v>8.546882629394531</v>
      </c>
      <c r="T33" s="82">
        <f>U33-U32</f>
        <v/>
      </c>
      <c r="U33" s="16" t="n">
        <v>21.62490081787109</v>
      </c>
      <c r="V33" s="13" t="n">
        <v>0.783408</v>
      </c>
      <c r="W33" s="7" t="inlineStr"/>
      <c r="X33" s="7" t="inlineStr"/>
      <c r="Y33" s="5" t="n">
        <v>9.684470176696777</v>
      </c>
      <c r="Z33" s="17" t="n">
        <v>10.2051944732666</v>
      </c>
      <c r="AA33" s="7" t="n">
        <v>10.2052583694458</v>
      </c>
      <c r="AB33" s="82">
        <f>AC33-AC32</f>
        <v/>
      </c>
      <c r="AC33" s="16" t="n">
        <v>21.39240074157715</v>
      </c>
      <c r="AD33" s="18" t="n">
        <v>0.5969233512878418</v>
      </c>
      <c r="AE33" s="9" t="n">
        <v>19.92173</v>
      </c>
      <c r="AF33" s="7" t="n">
        <v>15.30757331848145</v>
      </c>
      <c r="AG33" s="7" t="n">
        <v>16.13508415222168</v>
      </c>
      <c r="AH33" s="19" t="n">
        <v>3.96224</v>
      </c>
      <c r="AI33" s="19" t="n">
        <v>1.645011</v>
      </c>
      <c r="AJ33" s="19" t="n">
        <v>0.840934</v>
      </c>
      <c r="AK33" s="19" t="n">
        <v>0.426754</v>
      </c>
      <c r="AL33" s="19" t="n">
        <v>0.327633</v>
      </c>
      <c r="AM33" s="19" t="n">
        <v>0.036272</v>
      </c>
      <c r="AN33" s="16" t="n">
        <v>3.285789966583252</v>
      </c>
      <c r="AO33" s="20" t="n">
        <v>1190.920043945312</v>
      </c>
      <c r="AP33" s="21" t="n">
        <v>3680.919921875</v>
      </c>
    </row>
    <row r="34">
      <c r="A34" s="4" t="n">
        <v>1996</v>
      </c>
      <c r="B34" s="5">
        <f>J34+AH34</f>
        <v/>
      </c>
      <c r="C34" s="81">
        <f>H34 - (J34 + K34 + AH34)</f>
        <v/>
      </c>
      <c r="D34" s="81">
        <f>H34 - 16</f>
        <v/>
      </c>
      <c r="E34" s="7" t="n">
        <v>1.385928153991699</v>
      </c>
      <c r="F34" s="7" t="n">
        <v>0.009411074221134186</v>
      </c>
      <c r="G34" s="8" t="n">
        <v>2.722888</v>
      </c>
      <c r="H34" s="9" t="n">
        <v>14.554965</v>
      </c>
      <c r="I34" s="10" t="n">
        <v>1.500002</v>
      </c>
      <c r="J34" s="11">
        <f>MIN(7.5, L34)</f>
        <v/>
      </c>
      <c r="K34" s="11">
        <f>MAX(0, L34 - 7.5)</f>
        <v/>
      </c>
      <c r="L34" s="12">
        <f>M34+N34+O34+P34+V34</f>
        <v/>
      </c>
      <c r="M34" s="12" t="n">
        <v>5.322652</v>
      </c>
      <c r="N34" s="12" t="n">
        <v>2.714754</v>
      </c>
      <c r="O34" s="12" t="n">
        <v>0.249248</v>
      </c>
      <c r="P34" s="13" t="n">
        <v>0.312289</v>
      </c>
      <c r="Q34" s="11">
        <f>S34-I34</f>
        <v/>
      </c>
      <c r="R34" s="14">
        <f>Q34-7.5</f>
        <v/>
      </c>
      <c r="S34" s="7" t="n">
        <v>9.965632438659668</v>
      </c>
      <c r="T34" s="82">
        <f>U34-U33</f>
        <v/>
      </c>
      <c r="U34" s="16" t="n">
        <v>22.11160087585449</v>
      </c>
      <c r="V34" s="13" t="n">
        <v>0.840286</v>
      </c>
      <c r="W34" s="7" t="inlineStr"/>
      <c r="X34" s="7" t="inlineStr"/>
      <c r="Y34" s="5" t="n">
        <v>8.921266555786133</v>
      </c>
      <c r="Z34" s="17" t="n">
        <v>11.0601053237915</v>
      </c>
      <c r="AA34" s="7" t="n">
        <v>11.06037330627441</v>
      </c>
      <c r="AB34" s="82">
        <f>AC34-AC33</f>
        <v/>
      </c>
      <c r="AC34" s="16" t="n">
        <v>20.49790000915527</v>
      </c>
      <c r="AD34" s="18" t="n">
        <v>0.6112616658210754</v>
      </c>
      <c r="AE34" s="9" t="n">
        <v>14.228045</v>
      </c>
      <c r="AF34" s="7" t="n">
        <v>10.70560169219971</v>
      </c>
      <c r="AG34" s="7" t="n">
        <v>10.46499824523926</v>
      </c>
      <c r="AH34" s="19" t="n">
        <v>4.480418</v>
      </c>
      <c r="AI34" s="19" t="n">
        <v>1.865031</v>
      </c>
      <c r="AJ34" s="19" t="n">
        <v>0.918787</v>
      </c>
      <c r="AK34" s="19" t="n">
        <v>0.650609</v>
      </c>
      <c r="AL34" s="19" t="n">
        <v>0.311144</v>
      </c>
      <c r="AM34" s="19" t="n">
        <v>0.034192</v>
      </c>
      <c r="AN34" s="16" t="n">
        <v>3.248290061950684</v>
      </c>
      <c r="AO34" s="20" t="n">
        <v>1194.380004882812</v>
      </c>
      <c r="AP34" s="21" t="n">
        <v>3674.7099609375</v>
      </c>
    </row>
    <row r="35">
      <c r="A35" s="4" t="n">
        <v>1997</v>
      </c>
      <c r="B35" s="5">
        <f>J35+AH35</f>
        <v/>
      </c>
      <c r="C35" s="81">
        <f>H35 - (J35 + K35 + AH35)</f>
        <v/>
      </c>
      <c r="D35" s="81">
        <f>H35 - 16</f>
        <v/>
      </c>
      <c r="E35" s="7" t="n">
        <v>2.755639553070068</v>
      </c>
      <c r="F35" s="7" t="n">
        <v>0.01682376116514206</v>
      </c>
      <c r="G35" s="8" t="n">
        <v>2.119522</v>
      </c>
      <c r="H35" s="9" t="n">
        <v>22.038502</v>
      </c>
      <c r="I35" s="10" t="n">
        <v>1.7</v>
      </c>
      <c r="J35" s="11">
        <f>MIN(7.5, L35)</f>
        <v/>
      </c>
      <c r="K35" s="11">
        <f>MAX(0, L35 - 7.5)</f>
        <v/>
      </c>
      <c r="L35" s="12">
        <f>M35+N35+O35+P35+V35</f>
        <v/>
      </c>
      <c r="M35" s="12" t="n">
        <v>5.250119</v>
      </c>
      <c r="N35" s="12" t="n">
        <v>2.853886</v>
      </c>
      <c r="O35" s="12" t="n">
        <v>0.242777</v>
      </c>
      <c r="P35" s="13" t="n">
        <v>0.297027</v>
      </c>
      <c r="Q35" s="11">
        <f>S35-I35</f>
        <v/>
      </c>
      <c r="R35" s="14">
        <f>Q35-7.5</f>
        <v/>
      </c>
      <c r="S35" s="7" t="n">
        <v>11.68265342712402</v>
      </c>
      <c r="T35" s="82">
        <f>U35-U34</f>
        <v/>
      </c>
      <c r="U35" s="16" t="n">
        <v>25.10460090637207</v>
      </c>
      <c r="V35" s="13" t="n">
        <v>0.8670600000000001</v>
      </c>
      <c r="W35" s="7" t="inlineStr"/>
      <c r="X35" s="7" t="inlineStr"/>
      <c r="Y35" s="5" t="n">
        <v>9.297266960144043</v>
      </c>
      <c r="Z35" s="17" t="n">
        <v>15.27453804016113</v>
      </c>
      <c r="AA35" s="7" t="n">
        <v>15.28939533233643</v>
      </c>
      <c r="AB35" s="82">
        <f>AC35-AC34</f>
        <v/>
      </c>
      <c r="AC35" s="16" t="n">
        <v>21.59510040283203</v>
      </c>
      <c r="AD35" s="18" t="n">
        <v>0.6274906992912292</v>
      </c>
      <c r="AE35" s="9" t="n">
        <v>21.655579</v>
      </c>
      <c r="AF35" s="7" t="n">
        <v>17.10187530517578</v>
      </c>
      <c r="AG35" s="7" t="n">
        <v>17.72168350219727</v>
      </c>
      <c r="AH35" s="19" t="n">
        <v>4.045901</v>
      </c>
      <c r="AI35" s="19" t="n">
        <v>1.596736</v>
      </c>
      <c r="AJ35" s="19" t="n">
        <v>0.781203</v>
      </c>
      <c r="AK35" s="19" t="n">
        <v>0.546134</v>
      </c>
      <c r="AL35" s="19" t="n">
        <v>0.368195</v>
      </c>
      <c r="AM35" s="19" t="n">
        <v>0.034319</v>
      </c>
      <c r="AN35" s="16" t="n">
        <v>3.323230028152466</v>
      </c>
      <c r="AO35" s="20" t="n">
        <v>1214.640014648438</v>
      </c>
      <c r="AP35" s="21" t="n">
        <v>3682.300048828125</v>
      </c>
    </row>
    <row r="36">
      <c r="A36" s="4" t="n">
        <v>1998</v>
      </c>
      <c r="B36" s="5">
        <f>J36+AH36</f>
        <v/>
      </c>
      <c r="C36" s="81">
        <f>H36 - (J36 + K36 + AH36)</f>
        <v/>
      </c>
      <c r="D36" s="81">
        <f>H36 - 16</f>
        <v/>
      </c>
      <c r="E36" s="7" t="n">
        <v>4.587462902069092</v>
      </c>
      <c r="F36" s="7" t="n">
        <v>0.007995008490979671</v>
      </c>
      <c r="G36" s="8" t="n">
        <v>2.445918</v>
      </c>
      <c r="H36" s="9" t="n">
        <v>17.414778</v>
      </c>
      <c r="I36" s="10" t="n">
        <v>1.7</v>
      </c>
      <c r="J36" s="11">
        <f>MIN(7.5, L36)</f>
        <v/>
      </c>
      <c r="K36" s="11">
        <f>MAX(0, L36 - 7.5)</f>
        <v/>
      </c>
      <c r="L36" s="12">
        <f>M36+N36+O36+P36+V36</f>
        <v/>
      </c>
      <c r="M36" s="12" t="n">
        <v>5.045228</v>
      </c>
      <c r="N36" s="12" t="n">
        <v>2.566707</v>
      </c>
      <c r="O36" s="12" t="n">
        <v>0.245303</v>
      </c>
      <c r="P36" s="13" t="n">
        <v>0.284743</v>
      </c>
      <c r="Q36" s="11">
        <f>S36-I36</f>
        <v/>
      </c>
      <c r="R36" s="14">
        <f>Q36-7.5</f>
        <v/>
      </c>
      <c r="S36" s="7" t="n">
        <v>12.78097343444824</v>
      </c>
      <c r="T36" s="82">
        <f>U36-U35</f>
        <v/>
      </c>
      <c r="U36" s="16" t="n">
        <v>24.78109931945801</v>
      </c>
      <c r="V36" s="13" t="n">
        <v>0.858954</v>
      </c>
      <c r="W36" s="7" t="inlineStr"/>
      <c r="X36" s="7" t="inlineStr"/>
      <c r="Y36" s="5" t="n">
        <v>9.757685661315918</v>
      </c>
      <c r="Z36" s="17" t="n">
        <v>12.45245265960693</v>
      </c>
      <c r="AA36" s="7" t="n">
        <v>12.45445823669434</v>
      </c>
      <c r="AB36" s="82">
        <f>AC36-AC35</f>
        <v/>
      </c>
      <c r="AC36" s="16" t="n">
        <v>21.65410041809082</v>
      </c>
      <c r="AD36" s="18" t="n">
        <v>0.6392131447792053</v>
      </c>
      <c r="AE36" s="9" t="n">
        <v>16.694927</v>
      </c>
      <c r="AF36" s="7" t="n">
        <v>13.15734958648682</v>
      </c>
      <c r="AG36" s="7" t="n">
        <v>13.19668865203857</v>
      </c>
      <c r="AH36" s="19" t="n">
        <v>4.214217</v>
      </c>
      <c r="AI36" s="19" t="n">
        <v>1.769526</v>
      </c>
      <c r="AJ36" s="19" t="n">
        <v>0.82216</v>
      </c>
      <c r="AK36" s="19" t="n">
        <v>0.498078</v>
      </c>
      <c r="AL36" s="19" t="n">
        <v>0.356141</v>
      </c>
      <c r="AM36" s="19" t="n">
        <v>0.037106</v>
      </c>
      <c r="AN36" s="16" t="n">
        <v>3.399840116500854</v>
      </c>
      <c r="AO36" s="20" t="n">
        <v>1212.530029296875</v>
      </c>
      <c r="AP36" s="21" t="n">
        <v>3682.699951171875</v>
      </c>
    </row>
    <row r="37">
      <c r="A37" s="4" t="n">
        <v>1999</v>
      </c>
      <c r="B37" s="5">
        <f>J37+AH37</f>
        <v/>
      </c>
      <c r="C37" s="81">
        <f>H37 - (J37 + K37 + AH37)</f>
        <v/>
      </c>
      <c r="D37" s="81">
        <f>H37 - 16</f>
        <v/>
      </c>
      <c r="E37" s="7" t="n">
        <v>2.759507179260254</v>
      </c>
      <c r="F37" s="7" t="n">
        <v>0.007014504168182611</v>
      </c>
      <c r="G37" s="8" t="n">
        <v>2.057892</v>
      </c>
      <c r="H37" s="9" t="n">
        <v>16.377268</v>
      </c>
      <c r="I37" s="10" t="n">
        <v>1.7</v>
      </c>
      <c r="J37" s="11">
        <f>MIN(7.5, L37)</f>
        <v/>
      </c>
      <c r="K37" s="11">
        <f>MAX(0, L37 - 7.5)</f>
        <v/>
      </c>
      <c r="L37" s="12">
        <f>M37+N37+O37+P37+V37</f>
        <v/>
      </c>
      <c r="M37" s="12" t="n">
        <v>5.19438</v>
      </c>
      <c r="N37" s="12" t="n">
        <v>2.72796</v>
      </c>
      <c r="O37" s="12" t="n">
        <v>0.29113</v>
      </c>
      <c r="P37" s="13" t="n">
        <v>0.306928</v>
      </c>
      <c r="Q37" s="11">
        <f>S37-I37</f>
        <v/>
      </c>
      <c r="R37" s="14">
        <f>Q37-7.5</f>
        <v/>
      </c>
      <c r="S37" s="7" t="n">
        <v>11.02852821350098</v>
      </c>
      <c r="T37" s="82">
        <f>U37-U36</f>
        <v/>
      </c>
      <c r="U37" s="16" t="n">
        <v>24.99679946899414</v>
      </c>
      <c r="V37" s="13" t="n">
        <v>0.893112</v>
      </c>
      <c r="W37" s="7" t="inlineStr"/>
      <c r="X37" s="7" t="inlineStr"/>
      <c r="Y37" s="5" t="n">
        <v>10.14341163635254</v>
      </c>
      <c r="Z37" s="17" t="n">
        <v>11.87437438964844</v>
      </c>
      <c r="AA37" s="7" t="n">
        <v>11.70988178253174</v>
      </c>
      <c r="AB37" s="82">
        <f>AC37-AC36</f>
        <v/>
      </c>
      <c r="AC37" s="16" t="n">
        <v>21.44359970092773</v>
      </c>
      <c r="AD37" s="18" t="n">
        <v>0.6393141746520996</v>
      </c>
      <c r="AE37" s="9" t="n">
        <v>15.865208</v>
      </c>
      <c r="AF37" s="7" t="n">
        <v>12.12195110321045</v>
      </c>
      <c r="AG37" s="7" t="n">
        <v>12.22724723815918</v>
      </c>
      <c r="AH37" s="19" t="n">
        <v>4.49286</v>
      </c>
      <c r="AI37" s="19" t="n">
        <v>1.787598</v>
      </c>
      <c r="AJ37" s="19" t="n">
        <v>0.925522</v>
      </c>
      <c r="AK37" s="19" t="n">
        <v>0.6493100000000001</v>
      </c>
      <c r="AL37" s="19" t="n">
        <v>0.361949</v>
      </c>
      <c r="AM37" s="19" t="n">
        <v>0.038357</v>
      </c>
      <c r="AN37" s="16" t="n">
        <v>3.269089937210083</v>
      </c>
      <c r="AO37" s="20" t="n">
        <v>1213.93994140625</v>
      </c>
      <c r="AP37" s="21" t="n">
        <v>3681.27001953125</v>
      </c>
    </row>
    <row r="38">
      <c r="A38" s="4" t="n">
        <v>2000</v>
      </c>
      <c r="B38" s="5">
        <f>J38+AH38</f>
        <v/>
      </c>
      <c r="C38" s="81">
        <f>H38 - (J38 + K38 + AH38)</f>
        <v/>
      </c>
      <c r="D38" s="81">
        <f>H38 - 16</f>
        <v/>
      </c>
      <c r="E38" s="7" t="n">
        <v>1.89878511428833</v>
      </c>
      <c r="F38" s="7" t="n">
        <v>0.006582802627235651</v>
      </c>
      <c r="G38" s="8" t="n">
        <v>1.867955</v>
      </c>
      <c r="H38" s="9" t="n">
        <v>10.811978</v>
      </c>
      <c r="I38" s="10" t="n">
        <v>1.7</v>
      </c>
      <c r="J38" s="11">
        <f>MIN(7.5, L38)</f>
        <v/>
      </c>
      <c r="K38" s="11">
        <f>MAX(0, L38 - 7.5)</f>
        <v/>
      </c>
      <c r="L38" s="12">
        <f>M38+N38+O38+P38+V38</f>
        <v/>
      </c>
      <c r="M38" s="12" t="n">
        <v>5.162211</v>
      </c>
      <c r="N38" s="12" t="n">
        <v>2.802758</v>
      </c>
      <c r="O38" s="12" t="n">
        <v>0.321984</v>
      </c>
      <c r="P38" s="13" t="n">
        <v>0.308391</v>
      </c>
      <c r="Q38" s="11">
        <f>S38-I38</f>
        <v/>
      </c>
      <c r="R38" s="14">
        <f>Q38-7.5</f>
        <v/>
      </c>
      <c r="S38" s="7" t="n">
        <v>10.67525386810303</v>
      </c>
      <c r="T38" s="82">
        <f>U38-U37</f>
        <v/>
      </c>
      <c r="U38" s="16" t="n">
        <v>22.35820007324219</v>
      </c>
      <c r="V38" s="13" t="n">
        <v>0.876306</v>
      </c>
      <c r="W38" s="7" t="inlineStr"/>
      <c r="X38" s="7" t="inlineStr"/>
      <c r="Y38" s="5" t="n">
        <v>10.21885204315186</v>
      </c>
      <c r="Z38" s="17" t="n">
        <v>8.655616760253906</v>
      </c>
      <c r="AA38" s="7" t="n">
        <v>8.493088722229004</v>
      </c>
      <c r="AB38" s="82">
        <f>AC38-AC37</f>
        <v/>
      </c>
      <c r="AC38" s="16" t="n">
        <v>19.82320022583008</v>
      </c>
      <c r="AD38" s="18" t="n">
        <v>0.6044212579727173</v>
      </c>
      <c r="AE38" s="9" t="n">
        <v>10.551961</v>
      </c>
      <c r="AF38" s="7" t="n">
        <v>7.347455501556396</v>
      </c>
      <c r="AG38" s="7" t="n">
        <v>6.786290168762207</v>
      </c>
      <c r="AH38" s="19" t="n">
        <v>4.779726</v>
      </c>
      <c r="AI38" s="19" t="n">
        <v>2.182388</v>
      </c>
      <c r="AJ38" s="19" t="n">
        <v>0.965054</v>
      </c>
      <c r="AK38" s="19" t="n">
        <v>0.600009</v>
      </c>
      <c r="AL38" s="19" t="n">
        <v>0.302588</v>
      </c>
      <c r="AM38" s="19" t="n">
        <v>0.039865</v>
      </c>
      <c r="AN38" s="16" t="n">
        <v>2.991270065307617</v>
      </c>
      <c r="AO38" s="20" t="n">
        <v>1196.119995117188</v>
      </c>
      <c r="AP38" s="21" t="n">
        <v>3669.889892578125</v>
      </c>
    </row>
    <row r="39">
      <c r="A39" s="4" t="n">
        <v>2001</v>
      </c>
      <c r="B39" s="5">
        <f>J39+AH39</f>
        <v/>
      </c>
      <c r="C39" s="81">
        <f>H39 - (J39 + K39 + AH39)</f>
        <v/>
      </c>
      <c r="D39" s="81">
        <f>H39 - 16</f>
        <v/>
      </c>
      <c r="E39" s="7" t="n">
        <v>1.566369295120239</v>
      </c>
      <c r="F39" s="7" t="n">
        <v>0.006959183607250452</v>
      </c>
      <c r="G39" s="8" t="n">
        <v>1.962025</v>
      </c>
      <c r="H39" s="9" t="n">
        <v>11.168315</v>
      </c>
      <c r="I39" s="10" t="n">
        <v>1.5</v>
      </c>
      <c r="J39" s="11">
        <f>MIN(7.5, L39)</f>
        <v/>
      </c>
      <c r="K39" s="11">
        <f>MAX(0, L39 - 7.5)</f>
        <v/>
      </c>
      <c r="L39" s="12">
        <f>M39+N39+O39+P39+V39</f>
        <v/>
      </c>
      <c r="M39" s="12" t="n">
        <v>5.254718</v>
      </c>
      <c r="N39" s="12" t="n">
        <v>2.841028</v>
      </c>
      <c r="O39" s="12" t="n">
        <v>0.315429</v>
      </c>
      <c r="P39" s="13" t="n">
        <v>0.300628</v>
      </c>
      <c r="Q39" s="11">
        <f>S39-I39</f>
        <v/>
      </c>
      <c r="R39" s="14">
        <f>Q39-7.5</f>
        <v/>
      </c>
      <c r="S39" s="7" t="n">
        <v>10.20652294158936</v>
      </c>
      <c r="T39" s="82">
        <f>U39-U38</f>
        <v/>
      </c>
      <c r="U39" s="16" t="n">
        <v>19.79549980163574</v>
      </c>
      <c r="V39" s="13" t="n">
        <v>0.784565</v>
      </c>
      <c r="W39" s="7" t="inlineStr"/>
      <c r="X39" s="7" t="inlineStr"/>
      <c r="Y39" s="5" t="n">
        <v>10.18950748443604</v>
      </c>
      <c r="Z39" s="17" t="n">
        <v>8.09068775177002</v>
      </c>
      <c r="AA39" s="7" t="n">
        <v>8.010958671569824</v>
      </c>
      <c r="AB39" s="82">
        <f>AC39-AC38</f>
        <v/>
      </c>
      <c r="AC39" s="16" t="n">
        <v>17.99600028991699</v>
      </c>
      <c r="AD39" s="18" t="n">
        <v>0.557401180267334</v>
      </c>
      <c r="AE39" s="9" t="n">
        <v>10.736502</v>
      </c>
      <c r="AF39" s="7" t="n">
        <v>6.593844413757324</v>
      </c>
      <c r="AG39" s="7" t="n">
        <v>6.687098979949951</v>
      </c>
      <c r="AH39" s="19" t="n">
        <v>4.940381</v>
      </c>
      <c r="AI39" s="19" t="n">
        <v>2.207688</v>
      </c>
      <c r="AJ39" s="19" t="n">
        <v>1.037871</v>
      </c>
      <c r="AK39" s="19" t="n">
        <v>0.647765</v>
      </c>
      <c r="AL39" s="19" t="n">
        <v>0.367808</v>
      </c>
      <c r="AM39" s="19" t="n">
        <v>0.038478</v>
      </c>
      <c r="AN39" s="16" t="n">
        <v>2.876389980316162</v>
      </c>
      <c r="AO39" s="20" t="n">
        <v>1177.369995117188</v>
      </c>
      <c r="AP39" s="21" t="n">
        <v>3656.169921875</v>
      </c>
    </row>
    <row r="40">
      <c r="A40" s="4" t="n">
        <v>2002</v>
      </c>
      <c r="B40" s="5">
        <f>J40+AH40</f>
        <v/>
      </c>
      <c r="C40" s="81">
        <f>H40 - (J40 + K40 + AH40)</f>
        <v/>
      </c>
      <c r="D40" s="81">
        <f>H40 - 16</f>
        <v/>
      </c>
      <c r="E40" s="7" t="n">
        <v>1.485305428504944</v>
      </c>
      <c r="F40" s="7" t="n">
        <v>0.01318089663982391</v>
      </c>
      <c r="G40" s="8" t="n">
        <v>1.749142</v>
      </c>
      <c r="H40" s="9" t="n">
        <v>6.211186</v>
      </c>
      <c r="I40" s="10" t="n">
        <v>1.5</v>
      </c>
      <c r="J40" s="11">
        <f>MIN(7.5, L40)</f>
        <v/>
      </c>
      <c r="K40" s="11">
        <f>MAX(0, L40 - 7.5)</f>
        <v/>
      </c>
      <c r="L40" s="12">
        <f>M40+N40+O40+P40+V40</f>
        <v/>
      </c>
      <c r="M40" s="12" t="n">
        <v>5.365609</v>
      </c>
      <c r="N40" s="12" t="n">
        <v>2.96923</v>
      </c>
      <c r="O40" s="12" t="n">
        <v>0.326718</v>
      </c>
      <c r="P40" s="13" t="n">
        <v>0.313444</v>
      </c>
      <c r="Q40" s="11">
        <f>S40-I40</f>
        <v/>
      </c>
      <c r="R40" s="14">
        <f>Q40-7.5</f>
        <v/>
      </c>
      <c r="S40" s="7" t="n">
        <v>10.44249534606934</v>
      </c>
      <c r="T40" s="82">
        <f>U40-U39</f>
        <v/>
      </c>
      <c r="U40" s="16" t="n">
        <v>16.71769905090332</v>
      </c>
      <c r="V40" s="13" t="n">
        <v>0.73132</v>
      </c>
      <c r="W40" s="7" t="inlineStr"/>
      <c r="X40" s="7" t="inlineStr"/>
      <c r="Y40" s="5" t="n">
        <v>10.18031406402588</v>
      </c>
      <c r="Z40" s="17" t="n">
        <v>7.911819458007812</v>
      </c>
      <c r="AA40" s="7" t="n">
        <v>7.795279502868652</v>
      </c>
      <c r="AB40" s="82">
        <f>AC40-AC39</f>
        <v/>
      </c>
      <c r="AC40" s="16" t="n">
        <v>13.77379989624023</v>
      </c>
      <c r="AD40" s="18" t="n">
        <v>0.4553134739398956</v>
      </c>
      <c r="AE40" s="9" t="n">
        <v>6.088144</v>
      </c>
      <c r="AF40" s="7" t="n">
        <v>3.69136381149292</v>
      </c>
      <c r="AG40" s="7" t="n">
        <v>2.799714326858521</v>
      </c>
      <c r="AH40" s="19" t="n">
        <v>3.991405</v>
      </c>
      <c r="AI40" s="19" t="n">
        <v>1.816053</v>
      </c>
      <c r="AJ40" s="19" t="n">
        <v>0.799007</v>
      </c>
      <c r="AK40" s="19" t="n">
        <v>0.524979</v>
      </c>
      <c r="AL40" s="19" t="n">
        <v>0.280791</v>
      </c>
      <c r="AM40" s="19" t="n">
        <v>0.038172</v>
      </c>
      <c r="AN40" s="16" t="n">
        <v>2.6318199634552</v>
      </c>
      <c r="AO40" s="20" t="n">
        <v>1152.130004882812</v>
      </c>
      <c r="AP40" s="21" t="n">
        <v>3620.10009765625</v>
      </c>
    </row>
    <row r="41">
      <c r="A41" s="4" t="n">
        <v>2003</v>
      </c>
      <c r="B41" s="5">
        <f>J41+AH41</f>
        <v/>
      </c>
      <c r="C41" s="81">
        <f>H41 - (J41 + K41 + AH41)</f>
        <v/>
      </c>
      <c r="D41" s="81">
        <f>H41 - 16</f>
        <v/>
      </c>
      <c r="E41" s="7" t="n">
        <v>1.417649507522583</v>
      </c>
      <c r="F41" s="7" t="n">
        <v>0.009388687089085579</v>
      </c>
      <c r="G41" s="8" t="n">
        <v>1.721778</v>
      </c>
      <c r="H41" s="9" t="n">
        <v>10.898889</v>
      </c>
      <c r="I41" s="10" t="n">
        <v>1.5</v>
      </c>
      <c r="J41" s="11">
        <f>MIN(7.5, L41)</f>
        <v/>
      </c>
      <c r="K41" s="11">
        <f>MAX(0, L41 - 7.5)</f>
        <v/>
      </c>
      <c r="L41" s="12">
        <f>M41+N41+O41+P41+V41</f>
        <v/>
      </c>
      <c r="M41" s="12" t="n">
        <v>4.408746</v>
      </c>
      <c r="N41" s="12" t="n">
        <v>2.830599</v>
      </c>
      <c r="O41" s="12" t="n">
        <v>0.298392</v>
      </c>
      <c r="P41" s="13" t="n">
        <v>0.298105</v>
      </c>
      <c r="Q41" s="11">
        <f>S41-I41</f>
        <v/>
      </c>
      <c r="R41" s="14">
        <f>Q41-7.5</f>
        <v/>
      </c>
      <c r="S41" s="7" t="n">
        <v>9.365615844726562</v>
      </c>
      <c r="T41" s="82">
        <f>U41-U40</f>
        <v/>
      </c>
      <c r="U41" s="16" t="n">
        <v>15.29959964752197</v>
      </c>
      <c r="V41" s="13" t="n">
        <v>0.628134</v>
      </c>
      <c r="W41" s="7" t="inlineStr"/>
      <c r="X41" s="7" t="inlineStr"/>
      <c r="Y41" s="5" t="n">
        <v>10.1922025680542</v>
      </c>
      <c r="Z41" s="17" t="n">
        <v>8.365218162536621</v>
      </c>
      <c r="AA41" s="7" t="n">
        <v>8.222030639648438</v>
      </c>
      <c r="AB41" s="82">
        <f>AC41-AC40</f>
        <v/>
      </c>
      <c r="AC41" s="16" t="n">
        <v>11.48680019378662</v>
      </c>
      <c r="AD41" s="18" t="n">
        <v>0.3766491711139679</v>
      </c>
      <c r="AE41" s="9" t="n">
        <v>10.631983</v>
      </c>
      <c r="AF41" s="7" t="n">
        <v>6.12863826751709</v>
      </c>
      <c r="AG41" s="7" t="n">
        <v>6.215583324432373</v>
      </c>
      <c r="AH41" s="19" t="n">
        <v>4.267451</v>
      </c>
      <c r="AI41" s="19" t="n">
        <v>1.96602</v>
      </c>
      <c r="AJ41" s="19" t="n">
        <v>0.888203</v>
      </c>
      <c r="AK41" s="19" t="n">
        <v>0.570006</v>
      </c>
      <c r="AL41" s="19" t="n">
        <v>0.354579</v>
      </c>
      <c r="AM41" s="19" t="n">
        <v>0.036603</v>
      </c>
      <c r="AN41" s="16" t="n">
        <v>2.606060028076172</v>
      </c>
      <c r="AO41" s="20" t="n">
        <v>1139.119995117188</v>
      </c>
      <c r="AP41" s="21" t="n">
        <v>3597.219970703125</v>
      </c>
    </row>
    <row r="42">
      <c r="A42" s="4" t="n">
        <v>2004</v>
      </c>
      <c r="B42" s="5">
        <f>J42+AH42</f>
        <v/>
      </c>
      <c r="C42" s="81">
        <f>H42 - (J42 + K42 + AH42)</f>
        <v/>
      </c>
      <c r="D42" s="81">
        <f>H42 - 16</f>
        <v/>
      </c>
      <c r="E42" s="7" t="n">
        <v>1.461991786956787</v>
      </c>
      <c r="F42" s="7" t="n">
        <v>0.01255557965487242</v>
      </c>
      <c r="G42" s="8" t="n">
        <v>1.707569</v>
      </c>
      <c r="H42" s="9" t="n">
        <v>10.627991</v>
      </c>
      <c r="I42" s="10" t="n">
        <v>1.5</v>
      </c>
      <c r="J42" s="11">
        <f>MIN(7.5, L42)</f>
        <v/>
      </c>
      <c r="K42" s="11">
        <f>MAX(0, L42 - 7.5)</f>
        <v/>
      </c>
      <c r="L42" s="12">
        <f>M42+N42+O42+P42+V42</f>
        <v/>
      </c>
      <c r="M42" s="12" t="n">
        <v>4.316185</v>
      </c>
      <c r="N42" s="12" t="n">
        <v>2.784645</v>
      </c>
      <c r="O42" s="12" t="n">
        <v>0.283006</v>
      </c>
      <c r="P42" s="13" t="n">
        <v>0.284347</v>
      </c>
      <c r="Q42" s="11">
        <f>S42-I42</f>
        <v/>
      </c>
      <c r="R42" s="14">
        <f>Q42-7.5</f>
        <v/>
      </c>
      <c r="S42" s="7" t="n">
        <v>9.345046997070312</v>
      </c>
      <c r="T42" s="82">
        <f>U42-U41</f>
        <v/>
      </c>
      <c r="U42" s="16" t="n">
        <v>14.35499954223633</v>
      </c>
      <c r="V42" s="13" t="n">
        <v>0.555485</v>
      </c>
      <c r="W42" s="7" t="inlineStr"/>
      <c r="X42" s="7" t="inlineStr"/>
      <c r="Y42" s="5" t="n">
        <v>10.24483203887939</v>
      </c>
      <c r="Z42" s="17" t="n">
        <v>8.558307647705078</v>
      </c>
      <c r="AA42" s="7" t="n">
        <v>8.472569465637207</v>
      </c>
      <c r="AB42" s="82">
        <f>AC42-AC41</f>
        <v/>
      </c>
      <c r="AC42" s="16" t="n">
        <v>8.663619995117188</v>
      </c>
      <c r="AD42" s="18" t="n">
        <v>0.3056894242763519</v>
      </c>
      <c r="AE42" s="9" t="n">
        <v>10.073292</v>
      </c>
      <c r="AF42" s="7" t="n">
        <v>5.729249477386475</v>
      </c>
      <c r="AG42" s="7" t="n">
        <v>6.425943374633789</v>
      </c>
      <c r="AH42" s="19" t="n">
        <v>3.940336</v>
      </c>
      <c r="AI42" s="19" t="n">
        <v>1.808912</v>
      </c>
      <c r="AJ42" s="19" t="n">
        <v>0.85251</v>
      </c>
      <c r="AK42" s="19" t="n">
        <v>0.491694</v>
      </c>
      <c r="AL42" s="19" t="n">
        <v>0.367521</v>
      </c>
      <c r="AM42" s="19" t="n">
        <v>0.037157</v>
      </c>
      <c r="AN42" s="16" t="n">
        <v>2.742640018463135</v>
      </c>
      <c r="AO42" s="20" t="n">
        <v>1130.010009765625</v>
      </c>
      <c r="AP42" s="21" t="n">
        <v>3564.419921875</v>
      </c>
    </row>
    <row r="43">
      <c r="A43" s="4" t="n">
        <v>2005</v>
      </c>
      <c r="B43" s="5">
        <f>J43+AH43</f>
        <v/>
      </c>
      <c r="C43" s="81">
        <f>H43 - (J43 + K43 + AH43)</f>
        <v/>
      </c>
      <c r="D43" s="81">
        <f>H43 - 16</f>
        <v/>
      </c>
      <c r="E43" s="7" t="n">
        <v>1.487193584442139</v>
      </c>
      <c r="F43" s="7" t="n">
        <v>0.2633922696113586</v>
      </c>
      <c r="G43" s="8" t="n">
        <v>2.306021</v>
      </c>
      <c r="H43" s="9" t="n">
        <v>18.818754</v>
      </c>
      <c r="I43" s="10" t="n">
        <v>1.5</v>
      </c>
      <c r="J43" s="11">
        <f>MIN(7.5, L43)</f>
        <v/>
      </c>
      <c r="K43" s="11">
        <f>MAX(0, L43 - 7.5)</f>
        <v/>
      </c>
      <c r="L43" s="12">
        <f>M43+N43+O43+P43+V43</f>
        <v/>
      </c>
      <c r="M43" s="12" t="n">
        <v>4.344258</v>
      </c>
      <c r="N43" s="12" t="n">
        <v>2.428469</v>
      </c>
      <c r="O43" s="12" t="n">
        <v>0.291778</v>
      </c>
      <c r="P43" s="13" t="n">
        <v>0.280265</v>
      </c>
      <c r="Q43" s="11">
        <f>S43-I43</f>
        <v/>
      </c>
      <c r="R43" s="14">
        <f>Q43-7.5</f>
        <v/>
      </c>
      <c r="S43" s="7" t="n">
        <v>8.27485179901123</v>
      </c>
      <c r="T43" s="82">
        <f>U43-U42</f>
        <v/>
      </c>
      <c r="U43" s="16" t="n">
        <v>15.13109970092773</v>
      </c>
      <c r="V43" s="13" t="n">
        <v>0.585342</v>
      </c>
      <c r="W43" s="7" t="inlineStr"/>
      <c r="X43" s="7" t="inlineStr"/>
      <c r="Y43" s="5" t="n">
        <v>10.06734561920166</v>
      </c>
      <c r="Z43" s="17" t="n">
        <v>8.43033504486084</v>
      </c>
      <c r="AA43" s="7" t="n">
        <v>8.251580238342285</v>
      </c>
      <c r="AB43" s="82">
        <f>AC43-AC42</f>
        <v/>
      </c>
      <c r="AC43" s="16" t="n">
        <v>11.5762996673584</v>
      </c>
      <c r="AD43" s="18" t="n">
        <v>0.3424948751926422</v>
      </c>
      <c r="AE43" s="9" t="n">
        <v>16.892824</v>
      </c>
      <c r="AF43" s="7" t="n">
        <v>11.7397985458374</v>
      </c>
      <c r="AG43" s="7" t="n">
        <v>12.78791046142578</v>
      </c>
      <c r="AH43" s="19" t="n">
        <v>4.335023</v>
      </c>
      <c r="AI43" s="19" t="n">
        <v>1.818557</v>
      </c>
      <c r="AJ43" s="19" t="n">
        <v>1.001231</v>
      </c>
      <c r="AK43" s="19" t="n">
        <v>0.607706</v>
      </c>
      <c r="AL43" s="19" t="n">
        <v>0.443187</v>
      </c>
      <c r="AM43" s="19" t="n">
        <v>0.036821</v>
      </c>
      <c r="AN43" s="16" t="n">
        <v>3.081540107727051</v>
      </c>
      <c r="AO43" s="20" t="n">
        <v>1137.52001953125</v>
      </c>
      <c r="AP43" s="21" t="n">
        <v>3598.169921875</v>
      </c>
    </row>
    <row r="44">
      <c r="A44" s="4" t="n">
        <v>2006</v>
      </c>
      <c r="B44" s="5">
        <f>J44+AH44</f>
        <v/>
      </c>
      <c r="C44" s="81">
        <f>H44 - (J44 + K44 + AH44)</f>
        <v/>
      </c>
      <c r="D44" s="81">
        <f>H44 - 16</f>
        <v/>
      </c>
      <c r="E44" s="7" t="n">
        <v>1.406827807426453</v>
      </c>
      <c r="F44" s="7" t="n">
        <v>0.008190571330487728</v>
      </c>
      <c r="G44" s="8" t="n">
        <v>1.726882</v>
      </c>
      <c r="H44" s="9" t="n">
        <v>13.720968</v>
      </c>
      <c r="I44" s="10" t="n">
        <v>1.5</v>
      </c>
      <c r="J44" s="11">
        <f>MIN(7.5, L44)</f>
        <v/>
      </c>
      <c r="K44" s="11">
        <f>MAX(0, L44 - 7.5)</f>
        <v/>
      </c>
      <c r="L44" s="12">
        <f>M44+N44+O44+P44+V44</f>
        <v/>
      </c>
      <c r="M44" s="12" t="n">
        <v>4.335299</v>
      </c>
      <c r="N44" s="12" t="n">
        <v>2.782866</v>
      </c>
      <c r="O44" s="12" t="n">
        <v>0.292864</v>
      </c>
      <c r="P44" s="13" t="n">
        <v>0.307905</v>
      </c>
      <c r="Q44" s="11">
        <f>S44-I44</f>
        <v/>
      </c>
      <c r="R44" s="14">
        <f>Q44-7.5</f>
        <v/>
      </c>
      <c r="S44" s="7" t="n">
        <v>9.259441375732422</v>
      </c>
      <c r="T44" s="82">
        <f>U44-U43</f>
        <v/>
      </c>
      <c r="U44" s="16" t="n">
        <v>14.16409969329834</v>
      </c>
      <c r="V44" s="13" t="n">
        <v>0.606105</v>
      </c>
      <c r="W44" s="7" t="inlineStr"/>
      <c r="X44" s="7" t="inlineStr"/>
      <c r="Y44" s="5" t="n">
        <v>9.82901668548584</v>
      </c>
      <c r="Z44" s="17" t="n">
        <v>8.676819801330566</v>
      </c>
      <c r="AA44" s="7" t="n">
        <v>8.408635139465332</v>
      </c>
      <c r="AB44" s="82">
        <f>AC44-AC43</f>
        <v/>
      </c>
      <c r="AC44" s="16" t="n">
        <v>12.07649993896484</v>
      </c>
      <c r="AD44" s="18" t="n">
        <v>0.3657447397708893</v>
      </c>
      <c r="AE44" s="9" t="n">
        <v>13.50305</v>
      </c>
      <c r="AF44" s="7" t="n">
        <v>9.314533233642578</v>
      </c>
      <c r="AG44" s="7" t="n">
        <v>9.529255867004395</v>
      </c>
      <c r="AH44" s="19" t="n">
        <v>4.233799</v>
      </c>
      <c r="AI44" s="19" t="n">
        <v>1.939502</v>
      </c>
      <c r="AJ44" s="19" t="n">
        <v>0.841733</v>
      </c>
      <c r="AK44" s="19" t="n">
        <v>0.595678</v>
      </c>
      <c r="AL44" s="19" t="n">
        <v>0.368749</v>
      </c>
      <c r="AM44" s="19" t="n">
        <v>0.036288</v>
      </c>
      <c r="AN44" s="16" t="n">
        <v>3.123059988021851</v>
      </c>
      <c r="AO44" s="20" t="n">
        <v>1128.119995117188</v>
      </c>
      <c r="AP44" s="21" t="n">
        <v>3603.389892578125</v>
      </c>
    </row>
    <row r="45">
      <c r="A45" s="4" t="n">
        <v>2007</v>
      </c>
      <c r="B45" s="5">
        <f>J45+AH45</f>
        <v/>
      </c>
      <c r="C45" s="81">
        <f>H45 - (J45 + K45 + AH45)</f>
        <v/>
      </c>
      <c r="D45" s="81">
        <f>H45 - 16</f>
        <v/>
      </c>
      <c r="E45" s="7" t="n">
        <v>1.381429672241211</v>
      </c>
      <c r="F45" s="7" t="n">
        <v>0.006928876042366028</v>
      </c>
      <c r="G45" s="8" t="n">
        <v>1.738585</v>
      </c>
      <c r="H45" s="9" t="n">
        <v>11.717973</v>
      </c>
      <c r="I45" s="10" t="n">
        <v>1.5</v>
      </c>
      <c r="J45" s="11">
        <f>MIN(7.5, L45)</f>
        <v/>
      </c>
      <c r="K45" s="11">
        <f>MAX(0, L45 - 7.5)</f>
        <v/>
      </c>
      <c r="L45" s="12">
        <f>M45+N45+O45+P45+V45</f>
        <v/>
      </c>
      <c r="M45" s="12" t="n">
        <v>4.370695</v>
      </c>
      <c r="N45" s="12" t="n">
        <v>2.783323</v>
      </c>
      <c r="O45" s="12" t="n">
        <v>0.300312</v>
      </c>
      <c r="P45" s="13" t="n">
        <v>0.307271</v>
      </c>
      <c r="Q45" s="11">
        <f>S45-I45</f>
        <v/>
      </c>
      <c r="R45" s="14">
        <f>Q45-7.5</f>
        <v/>
      </c>
      <c r="S45" s="7" t="n">
        <v>9.362739562988281</v>
      </c>
      <c r="T45" s="82">
        <f>U45-U44</f>
        <v/>
      </c>
      <c r="U45" s="16" t="n">
        <v>12.85980033874512</v>
      </c>
      <c r="V45" s="13" t="n">
        <v>0.561059</v>
      </c>
      <c r="W45" s="7" t="n">
        <v>9.180499076843262</v>
      </c>
      <c r="X45" s="7">
        <f>W45-Z45</f>
        <v/>
      </c>
      <c r="Y45" s="5" t="n">
        <v>9.13813591003418</v>
      </c>
      <c r="Z45" s="17" t="n">
        <v>8.365734100341797</v>
      </c>
      <c r="AA45" s="7" t="n">
        <v>8.228610992431641</v>
      </c>
      <c r="AB45" s="82">
        <f>AC45-AC44</f>
        <v/>
      </c>
      <c r="AC45" s="16" t="n">
        <v>11.24580001831055</v>
      </c>
      <c r="AD45" s="18" t="n">
        <v>0.3669516444206238</v>
      </c>
      <c r="AE45" s="9" t="n">
        <v>11.453444</v>
      </c>
      <c r="AF45" s="7" t="n">
        <v>7.698427200317383</v>
      </c>
      <c r="AG45" s="7" t="n">
        <v>7.61435604095459</v>
      </c>
      <c r="AH45" s="19" t="n">
        <v>4.46949</v>
      </c>
      <c r="AI45" s="19" t="n">
        <v>2.025288</v>
      </c>
      <c r="AJ45" s="19" t="n">
        <v>0.953117</v>
      </c>
      <c r="AK45" s="19" t="n">
        <v>0.601425</v>
      </c>
      <c r="AL45" s="19" t="n">
        <v>0.400255</v>
      </c>
      <c r="AM45" s="19" t="n">
        <v>0.0364</v>
      </c>
      <c r="AN45" s="16" t="n">
        <v>3.029340028762817</v>
      </c>
      <c r="AO45" s="20" t="n">
        <v>1114.81005859375</v>
      </c>
      <c r="AP45" s="21" t="n">
        <v>3594.639892578125</v>
      </c>
    </row>
    <row r="46">
      <c r="A46" s="4" t="n">
        <v>2008</v>
      </c>
      <c r="B46" s="5">
        <f>J46+AH46</f>
        <v/>
      </c>
      <c r="C46" s="81">
        <f>H46 - (J46 + K46 + AH46)</f>
        <v/>
      </c>
      <c r="D46" s="81">
        <f>H46 - 16</f>
        <v/>
      </c>
      <c r="E46" s="7" t="n">
        <v>1.447641372680664</v>
      </c>
      <c r="F46" s="7" t="n">
        <v>0.00666684377938509</v>
      </c>
      <c r="G46" s="8" t="n">
        <v>1.954679</v>
      </c>
      <c r="H46" s="9" t="n">
        <v>16.507821</v>
      </c>
      <c r="I46" s="10" t="n">
        <v>1.5</v>
      </c>
      <c r="J46" s="11">
        <f>MIN(7.5, L46)</f>
        <v/>
      </c>
      <c r="K46" s="11">
        <f>MAX(0, L46 - 7.5)</f>
        <v/>
      </c>
      <c r="L46" s="12">
        <f>M46+N46+O46+P46+V46</f>
        <v/>
      </c>
      <c r="M46" s="12" t="n">
        <v>4.49881</v>
      </c>
      <c r="N46" s="12" t="n">
        <v>2.752497</v>
      </c>
      <c r="O46" s="12" t="n">
        <v>0.269654</v>
      </c>
      <c r="P46" s="13" t="n">
        <v>0.296314</v>
      </c>
      <c r="Q46" s="11">
        <f>S46-I46</f>
        <v/>
      </c>
      <c r="R46" s="14">
        <f>Q46-7.5</f>
        <v/>
      </c>
      <c r="S46" s="7" t="n">
        <v>9.545734405517578</v>
      </c>
      <c r="T46" s="82">
        <f>U46-U45</f>
        <v/>
      </c>
      <c r="U46" s="16" t="n">
        <v>12.49619960784912</v>
      </c>
      <c r="V46" s="13" t="n">
        <v>0.551415</v>
      </c>
      <c r="W46" s="7" t="n">
        <v>10.18684673309326</v>
      </c>
      <c r="X46" s="7">
        <f>W46-Z46</f>
        <v/>
      </c>
      <c r="Y46" s="5" t="n">
        <v>8.82429313659668</v>
      </c>
      <c r="Z46" s="17" t="n">
        <v>9.31402587890625</v>
      </c>
      <c r="AA46" s="7" t="n">
        <v>9.123500823974609</v>
      </c>
      <c r="AB46" s="82">
        <f>AC46-AC45</f>
        <v/>
      </c>
      <c r="AC46" s="16" t="n">
        <v>13.54090023040771</v>
      </c>
      <c r="AD46" s="18" t="n">
        <v>0.4105307459831238</v>
      </c>
      <c r="AE46" s="9" t="n">
        <v>16.003489</v>
      </c>
      <c r="AF46" s="7" t="n">
        <v>12.01274967193604</v>
      </c>
      <c r="AG46" s="7" t="n">
        <v>11.91433715820312</v>
      </c>
      <c r="AH46" s="19" t="n">
        <v>4.485805</v>
      </c>
      <c r="AI46" s="19" t="n">
        <v>2.093456</v>
      </c>
      <c r="AJ46" s="19" t="n">
        <v>0.847785</v>
      </c>
      <c r="AK46" s="19" t="n">
        <v>0.587619</v>
      </c>
      <c r="AL46" s="19" t="n">
        <v>0.427233</v>
      </c>
      <c r="AM46" s="19" t="n">
        <v>0.034866</v>
      </c>
      <c r="AN46" s="16" t="n">
        <v>2.979949951171875</v>
      </c>
      <c r="AO46" s="20" t="n">
        <v>1110.969970703125</v>
      </c>
      <c r="AP46" s="21" t="n">
        <v>3617.889892578125</v>
      </c>
    </row>
    <row r="47">
      <c r="A47" s="4" t="n">
        <v>2009</v>
      </c>
      <c r="B47" s="5">
        <f>J47+AH47</f>
        <v/>
      </c>
      <c r="C47" s="81">
        <f>H47 - (J47 + K47 + AH47)</f>
        <v/>
      </c>
      <c r="D47" s="81">
        <f>H47 - 16</f>
        <v/>
      </c>
      <c r="E47" s="7" t="n">
        <v>1.415283203125</v>
      </c>
      <c r="F47" s="7" t="n">
        <v>0.006940359715372324</v>
      </c>
      <c r="G47" s="8" t="n">
        <v>1.706631</v>
      </c>
      <c r="H47" s="9" t="n">
        <v>14.291779</v>
      </c>
      <c r="I47" s="10" t="n">
        <v>1.5</v>
      </c>
      <c r="J47" s="11">
        <f>MIN(7.5, L47)</f>
        <v/>
      </c>
      <c r="K47" s="11">
        <f>MAX(0, L47 - 7.5)</f>
        <v/>
      </c>
      <c r="L47" s="12">
        <f>M47+N47+O47+P47+V47</f>
        <v/>
      </c>
      <c r="M47" s="12" t="n">
        <v>4.358074</v>
      </c>
      <c r="N47" s="12" t="n">
        <v>2.831711</v>
      </c>
      <c r="O47" s="12" t="n">
        <v>0.248613</v>
      </c>
      <c r="P47" s="13" t="n">
        <v>0.305327</v>
      </c>
      <c r="Q47" s="11">
        <f>S47-I47</f>
        <v/>
      </c>
      <c r="R47" s="14">
        <f>Q47-7.5</f>
        <v/>
      </c>
      <c r="S47" s="7" t="n">
        <v>9.480914115905762</v>
      </c>
      <c r="T47" s="82">
        <f>U47-U46</f>
        <v/>
      </c>
      <c r="U47" s="16" t="n">
        <v>11.1624002456665</v>
      </c>
      <c r="V47" s="13" t="n">
        <v>0.53734</v>
      </c>
      <c r="W47" s="7" t="n">
        <v>9.398262977600098</v>
      </c>
      <c r="X47" s="7">
        <f>W47-Z47</f>
        <v/>
      </c>
      <c r="Y47" s="5" t="n">
        <v>8.483368873596191</v>
      </c>
      <c r="Z47" s="17" t="n">
        <v>8.46512508392334</v>
      </c>
      <c r="AA47" s="7" t="n">
        <v>8.296381950378418</v>
      </c>
      <c r="AB47" s="82">
        <f>AC47-AC46</f>
        <v/>
      </c>
      <c r="AC47" s="16" t="n">
        <v>14.43379974365234</v>
      </c>
      <c r="AD47" s="18" t="n">
        <v>0.4438364207744598</v>
      </c>
      <c r="AE47" s="9" t="n">
        <v>14.089934</v>
      </c>
      <c r="AF47" s="7" t="n">
        <v>9.704598426818848</v>
      </c>
      <c r="AG47" s="7" t="n">
        <v>10.07947444915771</v>
      </c>
      <c r="AH47" s="19" t="n">
        <v>4.465003</v>
      </c>
      <c r="AI47" s="19" t="n">
        <v>2.058527</v>
      </c>
      <c r="AJ47" s="19" t="n">
        <v>0.891448</v>
      </c>
      <c r="AK47" s="19" t="n">
        <v>0.526661</v>
      </c>
      <c r="AL47" s="19" t="n">
        <v>0.419939</v>
      </c>
      <c r="AM47" s="19" t="n">
        <v>0.035301</v>
      </c>
      <c r="AN47" s="16" t="n">
        <v>3.24904990196228</v>
      </c>
      <c r="AO47" s="20" t="n">
        <v>1096.300048828125</v>
      </c>
      <c r="AP47" s="21" t="n">
        <v>3626.219970703125</v>
      </c>
    </row>
    <row r="48">
      <c r="A48" s="4" t="n">
        <v>2010</v>
      </c>
      <c r="B48" s="5">
        <f>J48+AH48</f>
        <v/>
      </c>
      <c r="C48" s="81">
        <f>H48 - (J48 + K48 + AH48)</f>
        <v/>
      </c>
      <c r="D48" s="81">
        <f>H48 - 16</f>
        <v/>
      </c>
      <c r="E48" s="7" t="n">
        <v>1.538678288459778</v>
      </c>
      <c r="F48" s="7" t="n">
        <v>0.0926814004778862</v>
      </c>
      <c r="G48" s="8" t="n">
        <v>1.709714</v>
      </c>
      <c r="H48" s="9" t="n">
        <v>13.527462</v>
      </c>
      <c r="I48" s="10" t="n">
        <v>1.5</v>
      </c>
      <c r="J48" s="11">
        <f>MIN(7.5, L48)</f>
        <v/>
      </c>
      <c r="K48" s="11">
        <f>MAX(0, L48 - 7.5)</f>
        <v/>
      </c>
      <c r="L48" s="12">
        <f>M48+N48+O48+P48+V48</f>
        <v/>
      </c>
      <c r="M48" s="12" t="n">
        <v>4.34562</v>
      </c>
      <c r="N48" s="12" t="n">
        <v>2.780367</v>
      </c>
      <c r="O48" s="12" t="n">
        <v>0.241437</v>
      </c>
      <c r="P48" s="13" t="n">
        <v>0.287279</v>
      </c>
      <c r="Q48" s="11">
        <f>S48-I48</f>
        <v/>
      </c>
      <c r="R48" s="14">
        <f>Q48-7.5</f>
        <v/>
      </c>
      <c r="S48" s="7" t="n">
        <v>9.452351570129395</v>
      </c>
      <c r="T48" s="82">
        <f>U48-U47</f>
        <v/>
      </c>
      <c r="U48" s="16" t="n">
        <v>10.3011999130249</v>
      </c>
      <c r="V48" s="13" t="n">
        <v>0.466564</v>
      </c>
      <c r="W48" s="7" t="n">
        <v>9.39268970489502</v>
      </c>
      <c r="X48" s="7">
        <f>W48-Z48</f>
        <v/>
      </c>
      <c r="Y48" s="5" t="n">
        <v>8.452951431274414</v>
      </c>
      <c r="Z48" s="17" t="n">
        <v>8.351433753967285</v>
      </c>
      <c r="AA48" s="7" t="n">
        <v>8.17380428314209</v>
      </c>
      <c r="AB48" s="82">
        <f>AC48-AC47</f>
        <v/>
      </c>
      <c r="AC48" s="16" t="n">
        <v>14.4689998626709</v>
      </c>
      <c r="AD48" s="18" t="n">
        <v>0.4433950185775757</v>
      </c>
      <c r="AE48" s="9" t="n">
        <v>12.708978</v>
      </c>
      <c r="AF48" s="7" t="n">
        <v>8.655139923095703</v>
      </c>
      <c r="AG48" s="7" t="n">
        <v>8.766863822937012</v>
      </c>
      <c r="AH48" s="19" t="n">
        <v>4.400446</v>
      </c>
      <c r="AI48" s="19" t="n">
        <v>1.834925</v>
      </c>
      <c r="AJ48" s="19" t="n">
        <v>0.947254</v>
      </c>
      <c r="AK48" s="19" t="n">
        <v>0.678145</v>
      </c>
      <c r="AL48" s="19" t="n">
        <v>0.374792</v>
      </c>
      <c r="AM48" s="19" t="n">
        <v>0.034278</v>
      </c>
      <c r="AN48" s="16" t="n">
        <v>3.1113600730896</v>
      </c>
      <c r="AO48" s="20" t="n">
        <v>1086.300048828125</v>
      </c>
      <c r="AP48" s="21" t="n">
        <v>3626.5400390625</v>
      </c>
    </row>
    <row r="49">
      <c r="A49" s="4" t="n">
        <v>2011</v>
      </c>
      <c r="B49" s="5">
        <f>J49+AH49</f>
        <v/>
      </c>
      <c r="C49" s="81">
        <f>H49 - (J49 + K49 + AH49)</f>
        <v/>
      </c>
      <c r="D49" s="81">
        <f>H49 - 16</f>
        <v/>
      </c>
      <c r="E49" s="7" t="n">
        <v>1.378180742263794</v>
      </c>
      <c r="F49" s="7" t="n">
        <v>0.005172936711460352</v>
      </c>
      <c r="G49" s="8" t="n">
        <v>1.781049</v>
      </c>
      <c r="H49" s="9" t="n">
        <v>20.846272</v>
      </c>
      <c r="I49" s="10" t="n">
        <v>1.449664</v>
      </c>
      <c r="J49" s="11">
        <f>MIN(7.5, L49)</f>
        <v/>
      </c>
      <c r="K49" s="11">
        <f>MAX(0, L49 - 7.5)</f>
        <v/>
      </c>
      <c r="L49" s="12">
        <f>M49+N49+O49+P49+V49</f>
        <v/>
      </c>
      <c r="M49" s="12" t="n">
        <v>4.312661</v>
      </c>
      <c r="N49" s="12" t="n">
        <v>2.781108</v>
      </c>
      <c r="O49" s="12" t="n">
        <v>0.222847</v>
      </c>
      <c r="P49" s="13" t="n">
        <v>0.300688</v>
      </c>
      <c r="Q49" s="11">
        <f>S49-I49</f>
        <v/>
      </c>
      <c r="R49" s="14">
        <f>Q49-7.5</f>
        <v/>
      </c>
      <c r="S49" s="7" t="n">
        <v>9.207316398620605</v>
      </c>
      <c r="T49" s="82">
        <f>U49-U48</f>
        <v/>
      </c>
      <c r="U49" s="16" t="n">
        <v>14.64369964599609</v>
      </c>
      <c r="V49" s="13" t="n">
        <v>0.558625</v>
      </c>
      <c r="W49" s="7" t="n">
        <v>14.59032440185547</v>
      </c>
      <c r="X49" s="7">
        <f>W49-Z49</f>
        <v/>
      </c>
      <c r="Y49" s="5" t="n">
        <v>9.028514862060547</v>
      </c>
      <c r="Z49" s="17" t="n">
        <v>13.84632873535156</v>
      </c>
      <c r="AA49" s="7" t="n">
        <v>13.6449728012085</v>
      </c>
      <c r="AB49" s="82">
        <f>AC49-AC48</f>
        <v/>
      </c>
      <c r="AC49" s="16" t="n">
        <v>15.97360038757324</v>
      </c>
      <c r="AD49" s="18" t="n">
        <v>0.4791955053806305</v>
      </c>
      <c r="AE49" s="9" t="n">
        <v>20.255836</v>
      </c>
      <c r="AF49" s="7" t="n">
        <v>15.74912643432617</v>
      </c>
      <c r="AG49" s="7" t="n">
        <v>16.16939353942871</v>
      </c>
      <c r="AH49" s="19" t="n">
        <v>4.441872</v>
      </c>
      <c r="AI49" s="19" t="n">
        <v>2.032494</v>
      </c>
      <c r="AJ49" s="19" t="n">
        <v>0.854992</v>
      </c>
      <c r="AK49" s="19" t="n">
        <v>0.558017</v>
      </c>
      <c r="AL49" s="19" t="n">
        <v>0.39241</v>
      </c>
      <c r="AM49" s="19" t="n">
        <v>0.034066</v>
      </c>
      <c r="AN49" s="16" t="n">
        <v>3.403739929199219</v>
      </c>
      <c r="AO49" s="20" t="n">
        <v>1132.829956054688</v>
      </c>
      <c r="AP49" s="21" t="n">
        <v>3639.75</v>
      </c>
    </row>
    <row r="50">
      <c r="A50" s="4" t="n">
        <v>2012</v>
      </c>
      <c r="B50" s="5">
        <f>J50+AH50</f>
        <v/>
      </c>
      <c r="C50" s="81">
        <f>H50 - (J50 + K50 + AH50)</f>
        <v/>
      </c>
      <c r="D50" s="81">
        <f>H50 - 16</f>
        <v/>
      </c>
      <c r="E50" s="7" t="n">
        <v>1.328540682792664</v>
      </c>
      <c r="F50" s="7" t="n">
        <v>0.005688121542334557</v>
      </c>
      <c r="G50" s="8" t="n">
        <v>1.787428</v>
      </c>
      <c r="H50" s="9" t="n">
        <v>8.336823000000001</v>
      </c>
      <c r="I50" s="10" t="n">
        <v>1.367023</v>
      </c>
      <c r="J50" s="11">
        <f>MIN(7.5, L50)</f>
        <v/>
      </c>
      <c r="K50" s="11">
        <f>MAX(0, L50 - 7.5)</f>
        <v/>
      </c>
      <c r="L50" s="12">
        <f>M50+N50+O50+P50+V50</f>
        <v/>
      </c>
      <c r="M50" s="12" t="n">
        <v>4.416718</v>
      </c>
      <c r="N50" s="12" t="n">
        <v>2.789667</v>
      </c>
      <c r="O50" s="12" t="n">
        <v>0.237161</v>
      </c>
      <c r="P50" s="13" t="n">
        <v>0.299617</v>
      </c>
      <c r="Q50" s="11">
        <f>S50-I50</f>
        <v/>
      </c>
      <c r="R50" s="14">
        <f>Q50-7.5</f>
        <v/>
      </c>
      <c r="S50" s="7" t="n">
        <v>9.38846492767334</v>
      </c>
      <c r="T50" s="82">
        <f>U50-U49</f>
        <v/>
      </c>
      <c r="U50" s="16" t="n">
        <v>13.63650035858154</v>
      </c>
      <c r="V50" s="13" t="n">
        <v>0.567635</v>
      </c>
      <c r="W50" s="7" t="n">
        <v>9.021623611450195</v>
      </c>
      <c r="X50" s="7">
        <f>W50-Z50</f>
        <v/>
      </c>
      <c r="Y50" s="5" t="n">
        <v>9.062180519104004</v>
      </c>
      <c r="Z50" s="17" t="n">
        <v>8.248472213745117</v>
      </c>
      <c r="AA50" s="7" t="n">
        <v>8.216292381286621</v>
      </c>
      <c r="AB50" s="82">
        <f>AC50-AC49</f>
        <v/>
      </c>
      <c r="AC50" s="16" t="n">
        <v>12.71249961853027</v>
      </c>
      <c r="AD50" s="18" t="n">
        <v>0.4328030645847321</v>
      </c>
      <c r="AE50" s="9" t="n">
        <v>7.894615</v>
      </c>
      <c r="AF50" s="7" t="n">
        <v>5.127167224884033</v>
      </c>
      <c r="AG50" s="7" t="n">
        <v>4.164628028869629</v>
      </c>
      <c r="AH50" s="19" t="n">
        <v>4.624963</v>
      </c>
      <c r="AI50" s="19" t="n">
        <v>2.155507</v>
      </c>
      <c r="AJ50" s="19" t="n">
        <v>0.917788</v>
      </c>
      <c r="AK50" s="19" t="n">
        <v>0.609019</v>
      </c>
      <c r="AL50" s="19" t="n">
        <v>0.39218</v>
      </c>
      <c r="AM50" s="19" t="n">
        <v>0.03299</v>
      </c>
      <c r="AN50" s="16" t="n">
        <v>3.00189995765686</v>
      </c>
      <c r="AO50" s="20" t="n">
        <v>1120.359985351562</v>
      </c>
      <c r="AP50" s="21" t="n">
        <v>3609.820068359375</v>
      </c>
    </row>
    <row r="51">
      <c r="A51" s="4" t="n">
        <v>2013</v>
      </c>
      <c r="B51" s="5">
        <f>J51+AH51</f>
        <v/>
      </c>
      <c r="C51" s="81">
        <f>H51 - (J51 + K51 + AH51)</f>
        <v/>
      </c>
      <c r="D51" s="81">
        <f>H51 - 16</f>
        <v/>
      </c>
      <c r="E51" s="7" t="n">
        <v>1.30841851234436</v>
      </c>
      <c r="F51" s="7" t="n">
        <v>0.005844817031174898</v>
      </c>
      <c r="G51" s="8" t="n">
        <v>1.808006</v>
      </c>
      <c r="H51" s="9" t="n">
        <v>10.298778</v>
      </c>
      <c r="I51" s="10" t="n">
        <v>1.373188</v>
      </c>
      <c r="J51" s="11">
        <f>MIN(7.5, L51)</f>
        <v/>
      </c>
      <c r="K51" s="11">
        <f>MAX(0, L51 - 7.5)</f>
        <v/>
      </c>
      <c r="L51" s="12">
        <f>M51+N51+O51+P51+V51</f>
        <v/>
      </c>
      <c r="M51" s="12" t="n">
        <v>4.475789</v>
      </c>
      <c r="N51" s="12" t="n">
        <v>2.778867</v>
      </c>
      <c r="O51" s="12" t="n">
        <v>0.223563</v>
      </c>
      <c r="P51" s="13" t="n">
        <v>0.302401</v>
      </c>
      <c r="Q51" s="11">
        <f>S51-I51</f>
        <v/>
      </c>
      <c r="R51" s="14">
        <f>Q51-7.5</f>
        <v/>
      </c>
      <c r="S51" s="7" t="n">
        <v>9.375493049621582</v>
      </c>
      <c r="T51" s="82">
        <f>U51-U50</f>
        <v/>
      </c>
      <c r="U51" s="16" t="n">
        <v>12.34440040588379</v>
      </c>
      <c r="V51" s="13" t="n">
        <v>0.542431</v>
      </c>
      <c r="W51" s="7" t="n">
        <v>8.97913932800293</v>
      </c>
      <c r="X51" s="7">
        <f>W51-Z51</f>
        <v/>
      </c>
      <c r="Y51" s="5" t="n">
        <v>9.026281356811523</v>
      </c>
      <c r="Z51" s="17" t="n">
        <v>8.006232261657715</v>
      </c>
      <c r="AA51" s="7" t="n">
        <v>7.980966567993164</v>
      </c>
      <c r="AB51" s="82">
        <f>AC51-AC50</f>
        <v/>
      </c>
      <c r="AC51" s="16" t="n">
        <v>10.3238000869751</v>
      </c>
      <c r="AD51" s="18" t="n">
        <v>0.3439302444458008</v>
      </c>
      <c r="AE51" s="9" t="n">
        <v>9.727034</v>
      </c>
      <c r="AF51" s="7" t="n">
        <v>5.745080947875977</v>
      </c>
      <c r="AG51" s="7" t="n">
        <v>5.799838542938232</v>
      </c>
      <c r="AH51" s="19" t="n">
        <v>3.563178</v>
      </c>
      <c r="AI51" s="19" t="n">
        <v>1.508844</v>
      </c>
      <c r="AJ51" s="19" t="n">
        <v>0.768571</v>
      </c>
      <c r="AK51" s="19" t="n">
        <v>0.529641</v>
      </c>
      <c r="AL51" s="19" t="n">
        <v>0.298183</v>
      </c>
      <c r="AM51" s="19" t="n">
        <v>0.034099</v>
      </c>
      <c r="AN51" s="16" t="n">
        <v>2.833580017089844</v>
      </c>
      <c r="AO51" s="20" t="n">
        <v>1106.72998046875</v>
      </c>
      <c r="AP51" s="21" t="n">
        <v>3584.429931640625</v>
      </c>
    </row>
    <row r="52">
      <c r="A52" s="4" t="n">
        <v>2014</v>
      </c>
      <c r="B52" s="5">
        <f>J52+AH52</f>
        <v/>
      </c>
      <c r="C52" s="81">
        <f>H52 - (J52 + K52 + AH52)</f>
        <v/>
      </c>
      <c r="D52" s="81">
        <f>H52 - 16</f>
        <v/>
      </c>
      <c r="E52" s="7" t="n">
        <v>1.4460129737854</v>
      </c>
      <c r="F52" s="7" t="n">
        <v>0.005003474187105894</v>
      </c>
      <c r="G52" s="8" t="n">
        <v>2.018333</v>
      </c>
      <c r="H52" s="9" t="n">
        <v>14.56124</v>
      </c>
      <c r="I52" s="10" t="n">
        <v>1.443991</v>
      </c>
      <c r="J52" s="11">
        <f>MIN(7.5, L52)</f>
        <v/>
      </c>
      <c r="K52" s="11">
        <f>MAX(0, L52 - 7.5)</f>
        <v/>
      </c>
      <c r="L52" s="12">
        <f>M52+N52+O52+P52+V52</f>
        <v/>
      </c>
      <c r="M52" s="12" t="n">
        <v>4.649734</v>
      </c>
      <c r="N52" s="12" t="n">
        <v>2.774661</v>
      </c>
      <c r="O52" s="12" t="n">
        <v>0.224616</v>
      </c>
      <c r="P52" s="13" t="n">
        <v>0.300832</v>
      </c>
      <c r="Q52" s="11">
        <f>S52-I52</f>
        <v/>
      </c>
      <c r="R52" s="14">
        <f>Q52-7.5</f>
        <v/>
      </c>
      <c r="S52" s="7" t="n">
        <v>9.61469841003418</v>
      </c>
      <c r="T52" s="82">
        <f>U52-U51</f>
        <v/>
      </c>
      <c r="U52" s="16" t="n">
        <v>10.66699981689453</v>
      </c>
      <c r="V52" s="13" t="n">
        <v>0.503086</v>
      </c>
      <c r="W52" s="7" t="n">
        <v>8.840791702270508</v>
      </c>
      <c r="X52" s="7">
        <f>W52-Z52</f>
        <v/>
      </c>
      <c r="Y52" s="5" t="n">
        <v>8.977139472961426</v>
      </c>
      <c r="Z52" s="17" t="n">
        <v>8.066886901855469</v>
      </c>
      <c r="AA52" s="7" t="n">
        <v>7.940863609313965</v>
      </c>
      <c r="AB52" s="82">
        <f>AC52-AC51</f>
        <v/>
      </c>
      <c r="AC52" s="16" t="n">
        <v>11.53670024871826</v>
      </c>
      <c r="AD52" s="18" t="n">
        <v>0.3554488122463226</v>
      </c>
      <c r="AE52" s="9" t="n">
        <v>14.246422</v>
      </c>
      <c r="AF52" s="7" t="n">
        <v>9.60621452331543</v>
      </c>
      <c r="AG52" s="7" t="n">
        <v>10.6089916229248</v>
      </c>
      <c r="AH52" s="19" t="n">
        <v>4.012007</v>
      </c>
      <c r="AI52" s="19" t="n">
        <v>1.737075</v>
      </c>
      <c r="AJ52" s="19" t="n">
        <v>0.866597</v>
      </c>
      <c r="AK52" s="19" t="n">
        <v>0.582008</v>
      </c>
      <c r="AL52" s="19" t="n">
        <v>0.348971</v>
      </c>
      <c r="AM52" s="19" t="n">
        <v>0.034708</v>
      </c>
      <c r="AN52" s="16" t="n">
        <v>3.261509895324707</v>
      </c>
      <c r="AO52" s="20" t="n">
        <v>1087.7900390625</v>
      </c>
      <c r="AP52" s="21" t="n">
        <v>3597.75</v>
      </c>
    </row>
    <row r="53">
      <c r="A53" s="4" t="n">
        <v>2015</v>
      </c>
      <c r="B53" s="5">
        <f>J53+AH53</f>
        <v/>
      </c>
      <c r="C53" s="81">
        <f>H53 - (J53 + K53 + AH53)</f>
        <v/>
      </c>
      <c r="D53" s="81">
        <f>H53 - 16</f>
        <v/>
      </c>
      <c r="E53" s="7" t="n">
        <v>1.363157987594604</v>
      </c>
      <c r="F53" s="7" t="n">
        <v>0.003729995572939515</v>
      </c>
      <c r="G53" s="8" t="n">
        <v>2.221053</v>
      </c>
      <c r="H53" s="9" t="n">
        <v>13.422607</v>
      </c>
      <c r="I53" s="10" t="n">
        <v>1.5</v>
      </c>
      <c r="J53" s="11">
        <f>MIN(7.5, L53)</f>
        <v/>
      </c>
      <c r="K53" s="11">
        <f>MAX(0, L53 - 7.5)</f>
        <v/>
      </c>
      <c r="L53" s="12">
        <f>M53+N53+O53+P53+V53</f>
        <v/>
      </c>
      <c r="M53" s="12" t="n">
        <v>4.620756</v>
      </c>
      <c r="N53" s="12" t="n">
        <v>2.604732</v>
      </c>
      <c r="O53" s="12" t="n">
        <v>0.222729</v>
      </c>
      <c r="P53" s="13" t="n">
        <v>0.300894</v>
      </c>
      <c r="Q53" s="11">
        <f>S53-I53</f>
        <v/>
      </c>
      <c r="R53" s="14">
        <f>Q53-7.5</f>
        <v/>
      </c>
      <c r="S53" s="7" t="n">
        <v>9.414310455322266</v>
      </c>
      <c r="T53" s="82">
        <f>U53-U52</f>
        <v/>
      </c>
      <c r="U53" s="16" t="n">
        <v>10.08650016784668</v>
      </c>
      <c r="V53" s="13" t="n">
        <v>0.483534</v>
      </c>
      <c r="W53" s="7" t="n">
        <v>9.63548469543457</v>
      </c>
      <c r="X53" s="7">
        <f>W53-Z53</f>
        <v/>
      </c>
      <c r="Y53" s="5" t="n">
        <v>9.025979995727539</v>
      </c>
      <c r="Z53" s="17" t="n">
        <v>8.918742179870605</v>
      </c>
      <c r="AA53" s="7" t="n">
        <v>8.795659065246582</v>
      </c>
      <c r="AB53" s="82">
        <f>AC53-AC52</f>
        <v/>
      </c>
      <c r="AC53" s="16" t="n">
        <v>11.82660007476807</v>
      </c>
      <c r="AD53" s="18" t="n">
        <v>0.3692984879016876</v>
      </c>
      <c r="AE53" s="9" t="n">
        <v>13.016508</v>
      </c>
      <c r="AF53" s="7" t="n">
        <v>9.478021621704102</v>
      </c>
      <c r="AG53" s="7" t="n">
        <v>9.848633766174316</v>
      </c>
      <c r="AH53" s="19" t="n">
        <v>3.97645</v>
      </c>
      <c r="AI53" s="19" t="n">
        <v>1.578059</v>
      </c>
      <c r="AJ53" s="19" t="n">
        <v>0.9312780000000001</v>
      </c>
      <c r="AK53" s="19" t="n">
        <v>0.633737</v>
      </c>
      <c r="AL53" s="19" t="n">
        <v>0.343895</v>
      </c>
      <c r="AM53" s="19" t="n">
        <v>0.028708</v>
      </c>
      <c r="AN53" s="16" t="n">
        <v>3.225349903106689</v>
      </c>
      <c r="AO53" s="20" t="n">
        <v>1080.910034179688</v>
      </c>
      <c r="AP53" s="21" t="n">
        <v>3600.800048828125</v>
      </c>
    </row>
    <row r="54">
      <c r="A54" s="4" t="n">
        <v>2016</v>
      </c>
      <c r="B54" s="5">
        <f>J54+AH54</f>
        <v/>
      </c>
      <c r="C54" s="81">
        <f>H54 - (J54 + K54 + AH54)</f>
        <v/>
      </c>
      <c r="D54" s="81">
        <f>H54 - 16</f>
        <v/>
      </c>
      <c r="E54" s="7" t="n">
        <v>1.364689230918884</v>
      </c>
      <c r="F54" s="7" t="n">
        <v>0.007276810240000486</v>
      </c>
      <c r="G54" s="8" t="n">
        <v>1.958742</v>
      </c>
      <c r="H54" s="9" t="n">
        <v>13.843877</v>
      </c>
      <c r="I54" s="10" t="n">
        <v>1.5</v>
      </c>
      <c r="J54" s="11">
        <f>MIN(7.5, L54)</f>
        <v/>
      </c>
      <c r="K54" s="11">
        <f>MAX(0, L54 - 7.5)</f>
        <v/>
      </c>
      <c r="L54" s="12">
        <f>M54+N54+O54+P54+V54</f>
        <v/>
      </c>
      <c r="M54" s="12" t="n">
        <v>4.381101</v>
      </c>
      <c r="N54" s="12" t="n">
        <v>2.612833</v>
      </c>
      <c r="O54" s="12" t="n">
        <v>0.238326</v>
      </c>
      <c r="P54" s="13" t="n">
        <v>0.303913</v>
      </c>
      <c r="Q54" s="11">
        <f>S54-I54</f>
        <v/>
      </c>
      <c r="R54" s="14">
        <f>Q54-7.5</f>
        <v/>
      </c>
      <c r="S54" s="7" t="n">
        <v>9.275407791137695</v>
      </c>
      <c r="T54" s="82">
        <f>U54-U53</f>
        <v/>
      </c>
      <c r="U54" s="16" t="n">
        <v>10.07900047302246</v>
      </c>
      <c r="V54" s="13" t="n">
        <v>0.465653</v>
      </c>
      <c r="W54" s="7" t="n">
        <v>10.07499980926514</v>
      </c>
      <c r="X54" s="7">
        <f>W54-Z54</f>
        <v/>
      </c>
      <c r="Y54" s="5" t="n">
        <v>9.092201232910156</v>
      </c>
      <c r="Z54" s="17" t="n">
        <v>9.33903694152832</v>
      </c>
      <c r="AA54" s="7" t="n">
        <v>9.214790344238281</v>
      </c>
      <c r="AB54" s="82">
        <f>AC54-AC53</f>
        <v/>
      </c>
      <c r="AC54" s="16" t="n">
        <v>11.79689979553223</v>
      </c>
      <c r="AD54" s="18" t="n">
        <v>0.3795418441295624</v>
      </c>
      <c r="AE54" s="9" t="n">
        <v>13.418884</v>
      </c>
      <c r="AF54" s="7" t="n">
        <v>9.562280654907227</v>
      </c>
      <c r="AG54" s="7" t="n">
        <v>9.457158088684082</v>
      </c>
      <c r="AH54" s="19" t="n">
        <v>4.308611</v>
      </c>
      <c r="AI54" s="19" t="n">
        <v>1.933417</v>
      </c>
      <c r="AJ54" s="19" t="n">
        <v>0.934281</v>
      </c>
      <c r="AK54" s="19" t="n">
        <v>0.598842</v>
      </c>
      <c r="AL54" s="19" t="n">
        <v>0.344958</v>
      </c>
      <c r="AM54" s="19" t="n">
        <v>0.028461</v>
      </c>
      <c r="AN54" s="16" t="n">
        <v>3.130389928817749</v>
      </c>
      <c r="AO54" s="20" t="n">
        <v>1080.819946289062</v>
      </c>
      <c r="AP54" s="21" t="n">
        <v>3600.489990234375</v>
      </c>
    </row>
    <row r="55">
      <c r="A55" s="4" t="n">
        <v>2017</v>
      </c>
      <c r="B55" s="5">
        <f>J55+AH55</f>
        <v/>
      </c>
      <c r="C55" s="81">
        <f>H55 - (J55 + K55 + AH55)</f>
        <v/>
      </c>
      <c r="D55" s="81">
        <f>H55 - 16</f>
        <v/>
      </c>
      <c r="E55" s="7" t="n">
        <v>1.381929397583008</v>
      </c>
      <c r="F55" s="7" t="n">
        <v>0.005892817862331867</v>
      </c>
      <c r="G55" s="8" t="n">
        <v>2.119354</v>
      </c>
      <c r="H55" s="9" t="n">
        <v>16.767842</v>
      </c>
      <c r="I55" s="10" t="n">
        <v>1.5</v>
      </c>
      <c r="J55" s="11">
        <f>MIN(7.5, L55)</f>
        <v/>
      </c>
      <c r="K55" s="11">
        <f>MAX(0, L55 - 7.5)</f>
        <v/>
      </c>
      <c r="L55" s="12">
        <f>M55+N55+O55+P55+V55</f>
        <v/>
      </c>
      <c r="M55" s="12" t="n">
        <v>4.026515</v>
      </c>
      <c r="N55" s="12" t="n">
        <v>2.509503</v>
      </c>
      <c r="O55" s="12" t="n">
        <v>0.243425</v>
      </c>
      <c r="P55" s="13" t="n">
        <v>0.310492</v>
      </c>
      <c r="Q55" s="11">
        <f>S55-I55</f>
        <v/>
      </c>
      <c r="R55" s="14">
        <f>Q55-7.5</f>
        <v/>
      </c>
      <c r="S55" s="7" t="n">
        <v>8.729896545410156</v>
      </c>
      <c r="T55" s="82">
        <f>U55-U54</f>
        <v/>
      </c>
      <c r="U55" s="16" t="n">
        <v>10.22089958190918</v>
      </c>
      <c r="V55" s="13" t="n">
        <v>0.492659</v>
      </c>
      <c r="W55" s="7" t="n">
        <v>9.702149391174316</v>
      </c>
      <c r="X55" s="7">
        <f>W55-Z55</f>
        <v/>
      </c>
      <c r="Y55" s="5" t="n">
        <v>9.141752243041992</v>
      </c>
      <c r="Z55" s="17" t="n">
        <v>8.861242294311523</v>
      </c>
      <c r="AA55" s="7" t="n">
        <v>8.760486602783203</v>
      </c>
      <c r="AB55" s="82">
        <f>AC55-AC54</f>
        <v/>
      </c>
      <c r="AC55" s="16" t="n">
        <v>14.06760025024414</v>
      </c>
      <c r="AD55" s="18" t="n">
        <v>0.4211649596691132</v>
      </c>
      <c r="AE55" s="9" t="n">
        <v>16.295678</v>
      </c>
      <c r="AF55" s="7" t="n">
        <v>11.63402843475342</v>
      </c>
      <c r="AG55" s="7" t="n">
        <v>11.97518539428711</v>
      </c>
      <c r="AH55" s="19" t="n">
        <v>4.709288</v>
      </c>
      <c r="AI55" s="19" t="n">
        <v>2.044902</v>
      </c>
      <c r="AJ55" s="19" t="n">
        <v>1.014582</v>
      </c>
      <c r="AK55" s="19" t="n">
        <v>0.652482</v>
      </c>
      <c r="AL55" s="19" t="n">
        <v>0.456076</v>
      </c>
      <c r="AM55" s="19" t="n">
        <v>0.028859</v>
      </c>
      <c r="AN55" s="16" t="n">
        <v>3.343219995498657</v>
      </c>
      <c r="AO55" s="20" t="n">
        <v>1082.52001953125</v>
      </c>
      <c r="AP55" s="21" t="n">
        <v>3622.85009765625</v>
      </c>
    </row>
    <row r="56">
      <c r="A56" s="4" t="n">
        <v>2018</v>
      </c>
      <c r="B56" s="5">
        <f>J56+AH56</f>
        <v/>
      </c>
      <c r="C56" s="81">
        <f>H56 - (J56 + K56 + AH56)</f>
        <v/>
      </c>
      <c r="D56" s="81">
        <f>H56 - 16</f>
        <v/>
      </c>
      <c r="E56" s="7" t="n">
        <v>1.370429396629333</v>
      </c>
      <c r="F56" s="7" t="n">
        <v>0.00810963474214077</v>
      </c>
      <c r="G56" s="8" t="n">
        <v>1.944255</v>
      </c>
      <c r="H56" s="9" t="n">
        <v>8.645903000000001</v>
      </c>
      <c r="I56" s="10" t="n">
        <v>1.493327</v>
      </c>
      <c r="J56" s="11">
        <f>MIN(7.5, L56)</f>
        <v/>
      </c>
      <c r="K56" s="11">
        <f>MAX(0, L56 - 7.5)</f>
        <v/>
      </c>
      <c r="L56" s="12">
        <f>M56+N56+O56+P56+V56</f>
        <v/>
      </c>
      <c r="M56" s="12" t="n">
        <v>4.265525</v>
      </c>
      <c r="N56" s="12" t="n">
        <v>2.63226</v>
      </c>
      <c r="O56" s="12" t="n">
        <v>0.244103</v>
      </c>
      <c r="P56" s="13" t="n">
        <v>0.311477</v>
      </c>
      <c r="Q56" s="11">
        <f>S56-I56</f>
        <v/>
      </c>
      <c r="R56" s="14">
        <f>Q56-7.5</f>
        <v/>
      </c>
      <c r="S56" s="7" t="n">
        <v>9.116573333740234</v>
      </c>
      <c r="T56" s="82">
        <f>U56-U55</f>
        <v/>
      </c>
      <c r="U56" s="16" t="n">
        <v>10.13230037689209</v>
      </c>
      <c r="V56" s="13" t="n">
        <v>0.48382</v>
      </c>
      <c r="W56" s="7" t="n">
        <v>9.956805229187012</v>
      </c>
      <c r="X56" s="7">
        <f>W56-Z56</f>
        <v/>
      </c>
      <c r="Y56" s="5" t="n">
        <v>9.133803367614746</v>
      </c>
      <c r="Z56" s="17" t="n">
        <v>9.234528541564941</v>
      </c>
      <c r="AA56" s="7" t="n">
        <v>9.017778396606445</v>
      </c>
      <c r="AB56" s="82">
        <f>AC56-AC55</f>
        <v/>
      </c>
      <c r="AC56" s="16" t="n">
        <v>10.09889984130859</v>
      </c>
      <c r="AD56" s="18" t="n">
        <v>0.3627613186836243</v>
      </c>
      <c r="AE56" s="9" t="n">
        <v>8.440932</v>
      </c>
      <c r="AF56" s="7" t="n">
        <v>5.094289779663086</v>
      </c>
      <c r="AG56" s="7" t="n">
        <v>4.311048984527588</v>
      </c>
      <c r="AH56" s="19" t="n">
        <v>4.540771</v>
      </c>
      <c r="AI56" s="19" t="n">
        <v>2.069402</v>
      </c>
      <c r="AJ56" s="19" t="n">
        <v>0.931346</v>
      </c>
      <c r="AK56" s="19" t="n">
        <v>0.7121960000000001</v>
      </c>
      <c r="AL56" s="19" t="n">
        <v>0.346425</v>
      </c>
      <c r="AM56" s="19" t="n">
        <v>0.029175</v>
      </c>
      <c r="AN56" s="16" t="n">
        <v>3.253200054168701</v>
      </c>
      <c r="AO56" s="20" t="n">
        <v>1081.4599609375</v>
      </c>
      <c r="AP56" s="21" t="n">
        <v>3581.85009765625</v>
      </c>
    </row>
    <row r="57">
      <c r="A57" s="4" t="n">
        <v>2019</v>
      </c>
      <c r="B57" s="5">
        <f>J57+AH57</f>
        <v/>
      </c>
      <c r="C57" s="81">
        <f>H57 - (J57 + K57 + AH57)</f>
        <v/>
      </c>
      <c r="D57" s="81">
        <f>H57 - 16</f>
        <v/>
      </c>
      <c r="E57" s="7" t="n">
        <v>1.384307622909546</v>
      </c>
      <c r="F57" s="7" t="n">
        <v>0.007129861041903496</v>
      </c>
      <c r="G57" s="8" t="n">
        <v>1.933675</v>
      </c>
      <c r="H57" s="9" t="n">
        <v>18.386349</v>
      </c>
      <c r="I57" s="10" t="n">
        <v>1.5</v>
      </c>
      <c r="J57" s="11">
        <f>MIN(7.5, L57)</f>
        <v/>
      </c>
      <c r="K57" s="11">
        <f>MAX(0, L57 - 7.5)</f>
        <v/>
      </c>
      <c r="L57" s="12">
        <f>M57+N57+O57+P57+V57</f>
        <v/>
      </c>
      <c r="M57" s="12" t="n">
        <v>3.840686</v>
      </c>
      <c r="N57" s="12" t="n">
        <v>2.491707</v>
      </c>
      <c r="O57" s="12" t="n">
        <v>0.233996</v>
      </c>
      <c r="P57" s="13" t="n">
        <v>0.289685</v>
      </c>
      <c r="Q57" s="11">
        <f>S57-I57</f>
        <v/>
      </c>
      <c r="R57" s="14">
        <f>Q57-7.5</f>
        <v/>
      </c>
      <c r="S57" s="7" t="n">
        <v>8.515783309936523</v>
      </c>
      <c r="T57" s="82">
        <f>U57-U56</f>
        <v/>
      </c>
      <c r="U57" s="16" t="n">
        <v>10.89939975738525</v>
      </c>
      <c r="V57" s="13" t="n">
        <v>0.466365</v>
      </c>
      <c r="W57" s="7" t="n">
        <v>9.984156608581543</v>
      </c>
      <c r="X57" s="7">
        <f>W57-Z57</f>
        <v/>
      </c>
      <c r="Y57" s="5" t="n">
        <v>9.207034111022949</v>
      </c>
      <c r="Z57" s="17" t="n">
        <v>9.19743824005127</v>
      </c>
      <c r="AA57" s="7" t="n">
        <v>8.975093841552734</v>
      </c>
      <c r="AB57" s="82">
        <f>AC57-AC56</f>
        <v/>
      </c>
      <c r="AC57" s="16" t="n">
        <v>12.60389995574951</v>
      </c>
      <c r="AD57" s="18" t="n">
        <v>0.369798332452774</v>
      </c>
      <c r="AE57" s="9" t="n">
        <v>17.721368</v>
      </c>
      <c r="AF57" s="7" t="n">
        <v>12.05033016204834</v>
      </c>
      <c r="AG57" s="7" t="n">
        <v>13.13904571533203</v>
      </c>
      <c r="AH57" s="19" t="n">
        <v>4.623573</v>
      </c>
      <c r="AI57" s="19" t="n">
        <v>2.083523</v>
      </c>
      <c r="AJ57" s="19" t="n">
        <v>0.969279</v>
      </c>
      <c r="AK57" s="19" t="n">
        <v>0.650692</v>
      </c>
      <c r="AL57" s="19" t="n">
        <v>0.430218</v>
      </c>
      <c r="AM57" s="19" t="n">
        <v>0.029538</v>
      </c>
      <c r="AN57" s="16" t="n">
        <v>3.327059984207153</v>
      </c>
      <c r="AO57" s="20" t="n">
        <v>1090.489990234375</v>
      </c>
      <c r="AP57" s="21" t="n">
        <v>3608.739990234375</v>
      </c>
    </row>
    <row r="58">
      <c r="A58" s="4" t="n">
        <v>2020</v>
      </c>
      <c r="B58" s="5">
        <f>J58+AH58</f>
        <v/>
      </c>
      <c r="C58" s="81">
        <f>H58 - (J58 + K58 + AH58)</f>
        <v/>
      </c>
      <c r="D58" s="81">
        <f>H58 - 16</f>
        <v/>
      </c>
      <c r="E58" s="7" t="n">
        <v>1.381070613861084</v>
      </c>
      <c r="F58" s="7" t="n">
        <v>0.006186110898852348</v>
      </c>
      <c r="G58" s="8" t="n">
        <v>2.170342</v>
      </c>
      <c r="H58" s="9" t="n">
        <v>9.685005</v>
      </c>
      <c r="I58" s="10" t="n">
        <v>1.432606</v>
      </c>
      <c r="J58" s="11">
        <f>MIN(7.5, L58)</f>
        <v/>
      </c>
      <c r="K58" s="11">
        <f>MAX(0, L58 - 7.5)</f>
        <v/>
      </c>
      <c r="L58" s="12">
        <f>M58+N58+O58+P58+V58</f>
        <v/>
      </c>
      <c r="M58" s="12" t="n">
        <v>4.059911</v>
      </c>
      <c r="N58" s="12" t="n">
        <v>2.470776</v>
      </c>
      <c r="O58" s="12" t="n">
        <v>0.255568</v>
      </c>
      <c r="P58" s="13" t="n">
        <v>0.309189</v>
      </c>
      <c r="Q58" s="11">
        <f>S58-I58</f>
        <v/>
      </c>
      <c r="R58" s="14">
        <f>Q58-7.5</f>
        <v/>
      </c>
      <c r="S58" s="7" t="n">
        <v>8.782380104064941</v>
      </c>
      <c r="T58" s="82">
        <f>U58-U57</f>
        <v/>
      </c>
      <c r="U58" s="16" t="n">
        <v>10.32159996032715</v>
      </c>
      <c r="V58" s="13" t="n">
        <v>0.51505</v>
      </c>
      <c r="W58" s="7" t="n">
        <v>9.096578598022461</v>
      </c>
      <c r="X58" s="7">
        <f>W58-Z58</f>
        <v/>
      </c>
      <c r="Y58" s="5" t="n">
        <v>9.215779304504395</v>
      </c>
      <c r="Z58" s="17" t="n">
        <v>8.438883781433105</v>
      </c>
      <c r="AA58" s="7" t="n">
        <v>8.227939605712891</v>
      </c>
      <c r="AB58" s="82">
        <f>AC58-AC57</f>
        <v/>
      </c>
      <c r="AC58" s="16" t="n">
        <v>10.13000011444092</v>
      </c>
      <c r="AD58" s="18" t="n">
        <v>0.3588596880435944</v>
      </c>
      <c r="AE58" s="9" t="n">
        <v>9.557982000000001</v>
      </c>
      <c r="AF58" s="7" t="n">
        <v>5.915041923522949</v>
      </c>
      <c r="AG58" s="7" t="n">
        <v>5.347198963165283</v>
      </c>
      <c r="AH58" s="19" t="n">
        <v>4.851257</v>
      </c>
      <c r="AI58" s="19" t="n">
        <v>2.162487</v>
      </c>
      <c r="AJ58" s="19" t="n">
        <v>1.119833</v>
      </c>
      <c r="AK58" s="19" t="n">
        <v>0.727253</v>
      </c>
      <c r="AL58" s="19" t="n">
        <v>0.385091</v>
      </c>
      <c r="AM58" s="19" t="n">
        <v>0.01016</v>
      </c>
      <c r="AN58" s="16" t="n">
        <v>3.156879901885986</v>
      </c>
      <c r="AO58" s="20" t="n">
        <v>1083.719970703125</v>
      </c>
      <c r="AP58" s="21" t="n">
        <v>3582.2099609375</v>
      </c>
    </row>
    <row r="59">
      <c r="A59" s="4" t="n">
        <v>2021</v>
      </c>
      <c r="B59" s="5">
        <f>J59+AH59</f>
        <v/>
      </c>
      <c r="C59" s="81">
        <f>H59 - (J59 + K59 + AH59)</f>
        <v/>
      </c>
      <c r="D59" s="81">
        <f>H59 - 16</f>
        <v/>
      </c>
      <c r="E59" s="7" t="n">
        <v>1.384938359260559</v>
      </c>
      <c r="F59" s="7" t="n">
        <v>0.006536368280649185</v>
      </c>
      <c r="G59" s="8" t="n">
        <v>2.267632</v>
      </c>
      <c r="H59" s="12">
        <f>AE59 + 0.8</f>
        <v/>
      </c>
      <c r="I59" s="10" t="n">
        <v>1.455061</v>
      </c>
      <c r="J59" s="11">
        <f>MIN(7.5, L59)</f>
        <v/>
      </c>
      <c r="K59" s="11">
        <f>MAX(0, L59 - 7.5)</f>
        <v/>
      </c>
      <c r="L59" s="12">
        <f>M59+N59+O59+P59+V59</f>
        <v/>
      </c>
      <c r="M59" s="12" t="n">
        <v>4.404727</v>
      </c>
      <c r="N59" s="12" t="n">
        <v>2.425736</v>
      </c>
      <c r="O59" s="12" t="n">
        <v>0.242168</v>
      </c>
      <c r="P59" s="13" t="n">
        <v>0.313849</v>
      </c>
      <c r="Q59" s="11">
        <f>S59-I59</f>
        <v/>
      </c>
      <c r="R59" s="14">
        <f>Q59-7.5</f>
        <v/>
      </c>
      <c r="S59" s="7" t="n">
        <v>9.143884658813477</v>
      </c>
      <c r="T59" s="82">
        <f>U59-U58</f>
        <v/>
      </c>
      <c r="U59" s="16" t="n">
        <v>8.91504955291748</v>
      </c>
      <c r="V59" s="13" t="n">
        <v>0.472843</v>
      </c>
      <c r="W59" s="7" t="n">
        <v>8.552596092224121</v>
      </c>
      <c r="X59" s="7">
        <f>W59-Z59</f>
        <v/>
      </c>
      <c r="Y59" s="5" t="n">
        <v>8.61418342590332</v>
      </c>
      <c r="Z59" s="17" t="n">
        <v>7.830379009246826</v>
      </c>
      <c r="AA59" s="7" t="n">
        <v>7.811461448669434</v>
      </c>
      <c r="AB59" s="82">
        <f>AC59-AC58</f>
        <v/>
      </c>
      <c r="AC59" s="16" t="n">
        <v>6.713119983673096</v>
      </c>
      <c r="AD59" s="18" t="n">
        <v>0.2515082657337189</v>
      </c>
      <c r="AE59" s="9" t="n">
        <v>7.818</v>
      </c>
      <c r="AF59" s="7" t="n">
        <v>4.372693061828613</v>
      </c>
      <c r="AG59" s="7" t="n">
        <v>3.909160614013672</v>
      </c>
      <c r="AH59" s="19" t="n">
        <v>3.928805</v>
      </c>
      <c r="AI59" s="19" t="n">
        <v>1.804285</v>
      </c>
      <c r="AJ59" s="19" t="n">
        <v>0.834521</v>
      </c>
      <c r="AK59" s="19" t="n">
        <v>0.590286</v>
      </c>
      <c r="AL59" s="19" t="n">
        <v>0.3546</v>
      </c>
      <c r="AM59" s="19" t="n">
        <v>0.010907</v>
      </c>
      <c r="AN59" s="16" t="n">
        <v>2.899879932403564</v>
      </c>
      <c r="AO59" s="20" t="n">
        <v>1066.390014648438</v>
      </c>
      <c r="AP59" s="21" t="n">
        <v>3537.330078125</v>
      </c>
    </row>
    <row r="60">
      <c r="A60" s="4" t="n">
        <v>2022</v>
      </c>
      <c r="B60" s="5">
        <f>J60+AH60</f>
        <v/>
      </c>
      <c r="C60" s="81">
        <f>H60 - (J60 + K60 + AH60)</f>
        <v/>
      </c>
      <c r="D60" s="81">
        <f>H60 - 16</f>
        <v/>
      </c>
      <c r="E60" s="7" t="n">
        <v>1.330488324165344</v>
      </c>
      <c r="F60" s="7" t="n">
        <v>0.005927111022174358</v>
      </c>
      <c r="G60" s="8" t="n">
        <v>2.351372</v>
      </c>
      <c r="H60" s="12">
        <f>AE60 + 0.8</f>
        <v/>
      </c>
      <c r="I60" s="10" t="n">
        <v>1.45</v>
      </c>
      <c r="J60" s="11">
        <f>MIN(7.5, L60)</f>
        <v/>
      </c>
      <c r="K60" s="11">
        <f>MAX(0, L60 - 7.5)</f>
        <v/>
      </c>
      <c r="L60" s="12">
        <f>M60+N60+O60+P60+V60</f>
        <v/>
      </c>
      <c r="M60" s="12" t="n">
        <v>4.424247</v>
      </c>
      <c r="N60" s="12" t="n">
        <v>2.014176</v>
      </c>
      <c r="O60" s="12" t="n">
        <v>0.22367</v>
      </c>
      <c r="P60" s="13" t="n">
        <v>0.309112</v>
      </c>
      <c r="Q60" s="11">
        <f>S60-I60</f>
        <v/>
      </c>
      <c r="R60" s="14">
        <f>Q60-7.5</f>
        <v/>
      </c>
      <c r="S60" s="7" t="n">
        <v>8.742353439331055</v>
      </c>
      <c r="T60" s="82">
        <f>U60-U59</f>
        <v/>
      </c>
      <c r="U60" s="16" t="n">
        <v>7.313370227813721</v>
      </c>
      <c r="V60" s="13" t="n">
        <v>0.427229</v>
      </c>
      <c r="W60" s="7" t="n">
        <v>7.80899715423584</v>
      </c>
      <c r="X60" s="7">
        <f>W60-Z60</f>
        <v/>
      </c>
      <c r="Y60" s="5" t="n">
        <v>8.493558883666992</v>
      </c>
      <c r="Z60" s="17" t="n">
        <v>7.042211532592773</v>
      </c>
      <c r="AA60" s="7" t="n">
        <v>6.946109294891357</v>
      </c>
      <c r="AB60" s="82">
        <f>AC60-AC59</f>
        <v/>
      </c>
      <c r="AC60" s="16" t="n">
        <v>5.530550003051758</v>
      </c>
      <c r="AD60" s="18" t="n">
        <v>0.1920609176158905</v>
      </c>
      <c r="AE60" s="9" t="n">
        <v>10.11</v>
      </c>
      <c r="AF60" s="7" t="n">
        <v>6.343327045440674</v>
      </c>
      <c r="AG60" s="7" t="n">
        <v>6.22353458404541</v>
      </c>
      <c r="AH60" s="19" t="n">
        <v>4.051607</v>
      </c>
      <c r="AI60" s="19" t="n">
        <v>1.846994</v>
      </c>
      <c r="AJ60" s="19" t="n">
        <v>0.912415</v>
      </c>
      <c r="AK60" s="19" t="n">
        <v>0.66637</v>
      </c>
      <c r="AL60" s="19" t="n">
        <v>0.347348</v>
      </c>
      <c r="AM60" s="19" t="n">
        <v>0.010676</v>
      </c>
      <c r="AN60" s="16" t="n">
        <v>2.540110111236572</v>
      </c>
      <c r="AO60" s="20" t="n">
        <v>1044.819946289062</v>
      </c>
      <c r="AP60" s="21" t="n">
        <v>3524.75</v>
      </c>
    </row>
    <row r="61">
      <c r="A61" s="4" t="n">
        <v>2023</v>
      </c>
      <c r="B61" s="5">
        <f>J61+AH61</f>
        <v/>
      </c>
      <c r="C61" s="81">
        <f>H61 - (J61 + K61 + AH61)</f>
        <v/>
      </c>
      <c r="D61" s="81">
        <f>H61 - 16</f>
        <v/>
      </c>
      <c r="E61" s="7" t="n">
        <v>1.311578154563904</v>
      </c>
      <c r="F61" s="7" t="n">
        <v>0.09320107847452164</v>
      </c>
      <c r="G61" s="8" t="n">
        <v>2.495973</v>
      </c>
      <c r="H61" s="12">
        <f>AE61 + 0.8</f>
        <v/>
      </c>
      <c r="I61" s="10" t="n">
        <v>0</v>
      </c>
      <c r="J61" s="11">
        <f>MIN(7.5, L61)</f>
        <v/>
      </c>
      <c r="K61" s="11">
        <f>MAX(0, L61 - 7.5)</f>
        <v/>
      </c>
      <c r="L61" s="12">
        <f>M61+N61+O61+P61+V61</f>
        <v/>
      </c>
      <c r="M61" s="12" t="n">
        <v>3.699155</v>
      </c>
      <c r="N61" s="12" t="n">
        <v>1.889517</v>
      </c>
      <c r="O61" s="12" t="n">
        <v>0.186844</v>
      </c>
      <c r="P61" s="13" t="n">
        <v>0.302403</v>
      </c>
      <c r="Q61" s="11">
        <f>S61-I61</f>
        <v/>
      </c>
      <c r="R61" s="14">
        <f>Q61-7.5</f>
        <v/>
      </c>
      <c r="S61" s="7" t="n">
        <v>7.445468425750732</v>
      </c>
      <c r="T61" s="82">
        <f>U61-U60</f>
        <v/>
      </c>
      <c r="U61" s="16" t="n">
        <v>9.045269966125488</v>
      </c>
      <c r="V61" s="13" t="n">
        <v>0.427826</v>
      </c>
      <c r="W61" s="7" t="n">
        <v>9.59282112121582</v>
      </c>
      <c r="X61" s="7">
        <f>W61-Z61</f>
        <v/>
      </c>
      <c r="Y61" s="5" t="n">
        <v>8.569911956787109</v>
      </c>
      <c r="Z61" s="17" t="n">
        <v>8.76976490020752</v>
      </c>
      <c r="AA61" s="7" t="n">
        <v>8.633275032043457</v>
      </c>
      <c r="AB61" s="82">
        <f>AC61-AC60</f>
        <v/>
      </c>
      <c r="AC61" s="16" t="n">
        <v>8.440670013427734</v>
      </c>
      <c r="AD61" s="18" t="n">
        <v>0.2495806515216827</v>
      </c>
      <c r="AE61" s="9" t="n">
        <v>17.389</v>
      </c>
      <c r="AF61" s="7" t="n">
        <v>12.02579021453857</v>
      </c>
      <c r="AG61" s="7" t="n">
        <v>13.38166332244873</v>
      </c>
      <c r="AH61" s="19" t="n">
        <v>4.712049</v>
      </c>
      <c r="AI61" s="19" t="n">
        <v>2.301726</v>
      </c>
      <c r="AJ61" s="19" t="n">
        <v>1.049098</v>
      </c>
      <c r="AK61" s="19" t="n">
        <v>0.589642</v>
      </c>
      <c r="AL61" s="19" t="n">
        <v>0.424347</v>
      </c>
      <c r="AM61" s="19" t="n">
        <v>0.012329</v>
      </c>
      <c r="AN61" s="16" t="n">
        <v>3.177180051803589</v>
      </c>
      <c r="AO61" s="20" t="n">
        <v>1068.050048828125</v>
      </c>
      <c r="AP61" s="21" t="n">
        <v>3568.969970703125</v>
      </c>
    </row>
    <row r="62">
      <c r="A62" s="22" t="n">
        <v>2024</v>
      </c>
      <c r="B62" s="5">
        <f>J62+AH62</f>
        <v/>
      </c>
      <c r="C62" s="81">
        <f>H62 - (J62 + K62 + AH62)</f>
        <v/>
      </c>
      <c r="D62" s="81">
        <f>H62 - 16</f>
        <v/>
      </c>
      <c r="E62" s="7" t="n">
        <v>1.202656507492065</v>
      </c>
      <c r="F62" s="7" t="n">
        <v>0.009284257888793945</v>
      </c>
      <c r="G62" s="8" t="n">
        <v>2.380956</v>
      </c>
      <c r="H62" s="12">
        <f>AE62 + 0.8</f>
        <v/>
      </c>
      <c r="I62" s="10" t="n">
        <v>1.45</v>
      </c>
      <c r="J62" s="11">
        <f>MIN(7.5, L62)</f>
        <v/>
      </c>
      <c r="K62" s="11">
        <f>MAX(0, L62 - 7.5)</f>
        <v/>
      </c>
      <c r="L62" s="12">
        <f>M62+N62+O62+P62+V62</f>
        <v/>
      </c>
      <c r="M62" s="12" t="n">
        <v>3.943741</v>
      </c>
      <c r="N62" s="12" t="n">
        <v>1.934518</v>
      </c>
      <c r="O62" s="12" t="n">
        <v>0.212428</v>
      </c>
      <c r="P62" s="13" t="n">
        <v>0.310621</v>
      </c>
      <c r="Q62" s="11">
        <f>S62-I62</f>
        <v/>
      </c>
      <c r="R62" s="14">
        <f>Q62-7.5</f>
        <v/>
      </c>
      <c r="S62" s="7" t="n">
        <v>7.853882789611816</v>
      </c>
      <c r="T62" s="82">
        <f>U62-U61</f>
        <v/>
      </c>
      <c r="U62" s="16" t="n">
        <v>8.67455005645752</v>
      </c>
      <c r="V62" s="13" t="n">
        <v>0.465976</v>
      </c>
      <c r="W62" s="7" t="n">
        <v>8.241470336914062</v>
      </c>
      <c r="X62" s="7">
        <f>W62-Z62</f>
        <v/>
      </c>
      <c r="Y62" s="5" t="n">
        <v>8.514723777770996</v>
      </c>
      <c r="Z62" s="17" t="n">
        <v>7.515008926391602</v>
      </c>
      <c r="AA62" s="23" t="n">
        <v>7.486655235290527</v>
      </c>
      <c r="AB62" s="83">
        <f>AC62-AC61</f>
        <v/>
      </c>
      <c r="AC62" s="25" t="n">
        <v>8.668889999389648</v>
      </c>
      <c r="AD62" s="26" t="n">
        <v>0.2707011103630066</v>
      </c>
      <c r="AE62" s="27" t="n">
        <v>12.132</v>
      </c>
      <c r="AF62" s="23" t="n">
        <v>8.003837585449219</v>
      </c>
      <c r="AG62" s="23" t="n">
        <v>7.932273387908936</v>
      </c>
      <c r="AH62" s="28" t="n">
        <v>4.472497</v>
      </c>
      <c r="AI62" s="28" t="n">
        <v>1.917325</v>
      </c>
      <c r="AJ62" s="28" t="n">
        <v>1.154042</v>
      </c>
      <c r="AK62" s="28" t="n">
        <v>0.686759</v>
      </c>
      <c r="AL62" s="28" t="n">
        <v>0.345359</v>
      </c>
      <c r="AM62" s="28" t="n">
        <v>0.012436</v>
      </c>
      <c r="AN62" s="25" t="n">
        <v>3.120069980621338</v>
      </c>
      <c r="AO62" s="29" t="n">
        <v>1063.2900390625</v>
      </c>
      <c r="AP62" s="30" t="n">
        <v>3571.989990234375</v>
      </c>
    </row>
    <row r="63">
      <c r="A63" s="31" t="inlineStr">
        <is>
          <t>Avg</t>
        </is>
      </c>
      <c r="B63" s="84">
        <f>AVERAGE(B2:B62)</f>
        <v/>
      </c>
      <c r="C63" s="85">
        <f>AVERAGE(C2:C62)</f>
        <v/>
      </c>
      <c r="D63" s="85">
        <f>AVERAGE(D2:D62)</f>
        <v/>
      </c>
      <c r="E63" s="86">
        <f>AVERAGE(E2:E62)</f>
        <v/>
      </c>
      <c r="F63" s="86">
        <f>AVERAGE(F2:F62)</f>
        <v/>
      </c>
      <c r="G63" s="87">
        <f>AVERAGE(G2:G62)</f>
        <v/>
      </c>
      <c r="H63" s="88">
        <f>AVERAGE(H2:H62)</f>
        <v/>
      </c>
      <c r="I63" s="89">
        <f>AVERAGE(I2:I62)</f>
        <v/>
      </c>
      <c r="J63" s="84">
        <f>AVERAGE(J2:J62)</f>
        <v/>
      </c>
      <c r="K63" s="84">
        <f>AVERAGE(K2:K62)</f>
        <v/>
      </c>
      <c r="L63" s="88">
        <f>AVERAGE(L2:L62)</f>
        <v/>
      </c>
      <c r="M63" s="88">
        <f>AVERAGE(M2:M62)</f>
        <v/>
      </c>
      <c r="N63" s="88">
        <f>AVERAGE(N2:N62)</f>
        <v/>
      </c>
      <c r="O63" s="88">
        <f>AVERAGE(O2:O62)</f>
        <v/>
      </c>
      <c r="P63" s="90">
        <f>AVERAGE(P2:P62)</f>
        <v/>
      </c>
      <c r="Q63" s="84">
        <f>AVERAGE(Q2:Q62)</f>
        <v/>
      </c>
      <c r="R63" s="39">
        <f>AVERAGE(R2:R62)</f>
        <v/>
      </c>
      <c r="S63" s="86">
        <f>AVERAGE(S2:S62)</f>
        <v/>
      </c>
      <c r="T63" s="91">
        <f>AVERAGE(T2:T62)</f>
        <v/>
      </c>
      <c r="U63" s="92">
        <f>AVERAGE(U2:U62)</f>
        <v/>
      </c>
      <c r="V63" s="90">
        <f>AVERAGE(V2:V62)</f>
        <v/>
      </c>
      <c r="W63" s="86">
        <f>AVERAGE(W2:W62)</f>
        <v/>
      </c>
      <c r="X63" s="86">
        <f>AVERAGE(X2:X62)</f>
        <v/>
      </c>
      <c r="Y63" s="84">
        <f>AVERAGE(Y2:Y62)</f>
        <v/>
      </c>
      <c r="Z63" s="86">
        <f>AVERAGE(Z2:Z62)</f>
        <v/>
      </c>
      <c r="AA63" s="86">
        <f>AVERAGE(AA2:AA62)</f>
        <v/>
      </c>
      <c r="AB63" s="91">
        <f>AVERAGE(AB2:AB62)</f>
        <v/>
      </c>
      <c r="AC63" s="92">
        <f>AVERAGE(AC2:AC62)</f>
        <v/>
      </c>
      <c r="AD63" s="93">
        <f>AVERAGE(AD2:AD62)</f>
        <v/>
      </c>
      <c r="AE63" s="94">
        <f>AVERAGE(AE2:AE62)</f>
        <v/>
      </c>
      <c r="AF63" s="86">
        <f>AVERAGE(AF2:AF62)</f>
        <v/>
      </c>
      <c r="AG63" s="86">
        <f>AVERAGE(AG2:AG62)</f>
        <v/>
      </c>
      <c r="AH63" s="95">
        <f>AVERAGE(AH2:AH62)</f>
        <v/>
      </c>
      <c r="AI63" s="95">
        <f>AVERAGE(AI2:AI62)</f>
        <v/>
      </c>
      <c r="AJ63" s="95">
        <f>AVERAGE(AJ2:AJ62)</f>
        <v/>
      </c>
      <c r="AK63" s="95">
        <f>AVERAGE(AK2:AK62)</f>
        <v/>
      </c>
      <c r="AL63" s="95">
        <f>AVERAGE(AL2:AL62)</f>
        <v/>
      </c>
      <c r="AM63" s="95">
        <f>AVERAGE(AM2:AM62)</f>
        <v/>
      </c>
      <c r="AN63" s="92">
        <f>AVERAGE(AN2:AN62)</f>
        <v/>
      </c>
      <c r="AO63" s="96">
        <f>AVERAGE(AO2:AO62)</f>
        <v/>
      </c>
      <c r="AP63" s="97">
        <f>AVERAGE(AP2:AP62)</f>
        <v/>
      </c>
    </row>
    <row r="64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47" t="n"/>
      <c r="AG64" s="47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2" customWidth="1" min="3" max="3"/>
    <col width="5" customWidth="1" min="4" max="4"/>
    <col width="2" customWidth="1" min="5" max="5"/>
    <col width="5" customWidth="1" min="6" max="6"/>
    <col width="2" customWidth="1" min="7" max="7"/>
    <col width="5" customWidth="1" min="8" max="8"/>
    <col width="2" customWidth="1" min="9" max="9"/>
    <col width="5" customWidth="1" min="10" max="10"/>
    <col width="5" customWidth="1" min="11" max="11"/>
    <col width="5" customWidth="1" min="12" max="12"/>
  </cols>
  <sheetData>
    <row r="1" ht="25" customHeight="1">
      <c r="A1" s="1" t="inlineStr">
        <is>
          <t>Year</t>
        </is>
      </c>
      <c r="B1" s="2" t="inlineStr">
        <is>
          <t>III(c)</t>
        </is>
      </c>
      <c r="C1" s="2" t="inlineStr">
        <is>
          <t>=</t>
        </is>
      </c>
      <c r="D1" s="2" t="inlineStr">
        <is>
          <t>Natural Imperial</t>
        </is>
      </c>
      <c r="E1" s="2" t="inlineStr">
        <is>
          <t xml:space="preserve"> - (</t>
        </is>
      </c>
      <c r="F1" s="2" t="inlineStr">
        <is>
          <t>LOWER CU</t>
        </is>
      </c>
      <c r="G1" s="2" t="inlineStr">
        <is>
          <t>+</t>
        </is>
      </c>
      <c r="H1" s="2" t="inlineStr">
        <is>
          <t>UPPER CU</t>
        </is>
      </c>
      <c r="I1" s="2" t="inlineStr">
        <is>
          <t>)</t>
        </is>
      </c>
      <c r="J1" s="2" t="inlineStr">
        <is>
          <t>MX TREATY</t>
        </is>
      </c>
      <c r="K1" s="2" t="inlineStr">
        <is>
          <t>Hoover Release</t>
        </is>
      </c>
      <c r="L1" s="3" t="inlineStr">
        <is>
          <t>Glen Canyon Release</t>
        </is>
      </c>
    </row>
    <row r="2">
      <c r="A2" s="48" t="n">
        <v>1964</v>
      </c>
      <c r="B2" s="98">
        <f>D2-( F2 + H2)</f>
        <v/>
      </c>
      <c r="C2" s="50" t="inlineStr">
        <is>
          <t>=</t>
        </is>
      </c>
      <c r="D2" s="51" t="n">
        <v>10.69969</v>
      </c>
      <c r="E2" s="50" t="inlineStr">
        <is>
          <t>- (</t>
        </is>
      </c>
      <c r="F2" s="52">
        <f>'Compact'!G2 + 'Compact'!I2</f>
        <v/>
      </c>
      <c r="G2" s="50" t="inlineStr">
        <is>
          <t>+</t>
        </is>
      </c>
      <c r="H2" s="53">
        <f>'Compact'!V2</f>
        <v/>
      </c>
      <c r="I2" s="50" t="inlineStr">
        <is>
          <t>)</t>
        </is>
      </c>
      <c r="J2" s="54">
        <f>'Compact'!H2</f>
        <v/>
      </c>
      <c r="K2" s="54" t="inlineStr"/>
      <c r="L2" s="54" t="inlineStr"/>
    </row>
    <row r="3">
      <c r="A3" s="48" t="n">
        <v>1965</v>
      </c>
      <c r="B3" s="98">
        <f>D3-( F3 + H3)</f>
        <v/>
      </c>
      <c r="C3" s="50" t="inlineStr">
        <is>
          <t>=</t>
        </is>
      </c>
      <c r="D3" s="51" t="n">
        <v>20.840676</v>
      </c>
      <c r="E3" s="50" t="inlineStr">
        <is>
          <t>- (</t>
        </is>
      </c>
      <c r="F3" s="52">
        <f>'Compact'!G3 + 'Compact'!I3</f>
        <v/>
      </c>
      <c r="G3" s="50" t="inlineStr">
        <is>
          <t>+</t>
        </is>
      </c>
      <c r="H3" s="53">
        <f>'Compact'!V3</f>
        <v/>
      </c>
      <c r="I3" s="50" t="inlineStr">
        <is>
          <t>)</t>
        </is>
      </c>
      <c r="J3" s="54">
        <f>'Compact'!H3</f>
        <v/>
      </c>
      <c r="K3" s="54" t="inlineStr"/>
      <c r="L3" s="54" t="inlineStr"/>
    </row>
    <row r="4">
      <c r="A4" s="48" t="n">
        <v>1966</v>
      </c>
      <c r="B4" s="98">
        <f>D4-( F4 + H4)</f>
        <v/>
      </c>
      <c r="C4" s="50" t="inlineStr">
        <is>
          <t>=</t>
        </is>
      </c>
      <c r="D4" s="51" t="n">
        <v>11.234654</v>
      </c>
      <c r="E4" s="50" t="inlineStr">
        <is>
          <t>- (</t>
        </is>
      </c>
      <c r="F4" s="52">
        <f>'Compact'!G4 + 'Compact'!I4</f>
        <v/>
      </c>
      <c r="G4" s="50" t="inlineStr">
        <is>
          <t>+</t>
        </is>
      </c>
      <c r="H4" s="53">
        <f>'Compact'!V4</f>
        <v/>
      </c>
      <c r="I4" s="50" t="inlineStr">
        <is>
          <t>)</t>
        </is>
      </c>
      <c r="J4" s="54">
        <f>'Compact'!H4</f>
        <v/>
      </c>
      <c r="K4" s="54" t="n">
        <v>7.781</v>
      </c>
      <c r="L4" s="54" t="inlineStr"/>
    </row>
    <row r="5">
      <c r="A5" s="48" t="n">
        <v>1967</v>
      </c>
      <c r="B5" s="98">
        <f>D5-( F5 + H5)</f>
        <v/>
      </c>
      <c r="C5" s="50" t="inlineStr">
        <is>
          <t>=</t>
        </is>
      </c>
      <c r="D5" s="51" t="n">
        <v>12.290233</v>
      </c>
      <c r="E5" s="50" t="inlineStr">
        <is>
          <t>- (</t>
        </is>
      </c>
      <c r="F5" s="52">
        <f>'Compact'!G5 + 'Compact'!I5</f>
        <v/>
      </c>
      <c r="G5" s="50" t="inlineStr">
        <is>
          <t>+</t>
        </is>
      </c>
      <c r="H5" s="53">
        <f>'Compact'!V5</f>
        <v/>
      </c>
      <c r="I5" s="50" t="inlineStr">
        <is>
          <t>)</t>
        </is>
      </c>
      <c r="J5" s="54">
        <f>'Compact'!H5</f>
        <v/>
      </c>
      <c r="K5" s="54" t="n">
        <v>7.932</v>
      </c>
      <c r="L5" s="54" t="inlineStr"/>
    </row>
    <row r="6">
      <c r="A6" s="48" t="n">
        <v>1968</v>
      </c>
      <c r="B6" s="98">
        <f>D6-( F6 + H6)</f>
        <v/>
      </c>
      <c r="C6" s="50" t="inlineStr">
        <is>
          <t>=</t>
        </is>
      </c>
      <c r="D6" s="51" t="n">
        <v>14.389854</v>
      </c>
      <c r="E6" s="50" t="inlineStr">
        <is>
          <t>- (</t>
        </is>
      </c>
      <c r="F6" s="52">
        <f>'Compact'!G6 + 'Compact'!I6</f>
        <v/>
      </c>
      <c r="G6" s="50" t="inlineStr">
        <is>
          <t>+</t>
        </is>
      </c>
      <c r="H6" s="53">
        <f>'Compact'!V6</f>
        <v/>
      </c>
      <c r="I6" s="50" t="inlineStr">
        <is>
          <t>)</t>
        </is>
      </c>
      <c r="J6" s="54">
        <f>'Compact'!H6</f>
        <v/>
      </c>
      <c r="K6" s="54" t="n">
        <v>7.838</v>
      </c>
      <c r="L6" s="54" t="inlineStr"/>
    </row>
    <row r="7">
      <c r="A7" s="48" t="n">
        <v>1969</v>
      </c>
      <c r="B7" s="98">
        <f>D7-( F7 + H7)</f>
        <v/>
      </c>
      <c r="C7" s="50" t="inlineStr">
        <is>
          <t>=</t>
        </is>
      </c>
      <c r="D7" s="51" t="n">
        <v>15.891007</v>
      </c>
      <c r="E7" s="50" t="inlineStr">
        <is>
          <t>- (</t>
        </is>
      </c>
      <c r="F7" s="52">
        <f>'Compact'!G7 + 'Compact'!I7</f>
        <v/>
      </c>
      <c r="G7" s="50" t="inlineStr">
        <is>
          <t>+</t>
        </is>
      </c>
      <c r="H7" s="53">
        <f>'Compact'!V7</f>
        <v/>
      </c>
      <c r="I7" s="50" t="inlineStr">
        <is>
          <t>)</t>
        </is>
      </c>
      <c r="J7" s="54">
        <f>'Compact'!H7</f>
        <v/>
      </c>
      <c r="K7" s="54" t="n">
        <v>7.892</v>
      </c>
      <c r="L7" s="54" t="inlineStr"/>
    </row>
    <row r="8">
      <c r="A8" s="48" t="n">
        <v>1970</v>
      </c>
      <c r="B8" s="98">
        <f>D8-( F8 + H8)</f>
        <v/>
      </c>
      <c r="C8" s="50" t="inlineStr">
        <is>
          <t>=</t>
        </is>
      </c>
      <c r="D8" s="51" t="n">
        <v>15.626758</v>
      </c>
      <c r="E8" s="50" t="inlineStr">
        <is>
          <t>- (</t>
        </is>
      </c>
      <c r="F8" s="52">
        <f>'Compact'!G8 + 'Compact'!I8</f>
        <v/>
      </c>
      <c r="G8" s="50" t="inlineStr">
        <is>
          <t>+</t>
        </is>
      </c>
      <c r="H8" s="53">
        <f>'Compact'!V8</f>
        <v/>
      </c>
      <c r="I8" s="50" t="inlineStr">
        <is>
          <t>)</t>
        </is>
      </c>
      <c r="J8" s="54">
        <f>'Compact'!H8</f>
        <v/>
      </c>
      <c r="K8" s="54" t="n">
        <v>8.023</v>
      </c>
      <c r="L8" s="54" t="inlineStr"/>
    </row>
    <row r="9">
      <c r="A9" s="48" t="n">
        <v>1971</v>
      </c>
      <c r="B9" s="98">
        <f>D9-( F9 + H9)</f>
        <v/>
      </c>
      <c r="C9" s="50" t="inlineStr">
        <is>
          <t>=</t>
        </is>
      </c>
      <c r="D9" s="51" t="n">
        <v>15.348401</v>
      </c>
      <c r="E9" s="50" t="inlineStr">
        <is>
          <t>- (</t>
        </is>
      </c>
      <c r="F9" s="52">
        <f>'Compact'!G9 + 'Compact'!I9</f>
        <v/>
      </c>
      <c r="G9" s="50" t="inlineStr">
        <is>
          <t>+</t>
        </is>
      </c>
      <c r="H9" s="53">
        <f>'Compact'!V9</f>
        <v/>
      </c>
      <c r="I9" s="50" t="inlineStr">
        <is>
          <t>)</t>
        </is>
      </c>
      <c r="J9" s="54">
        <f>'Compact'!H9</f>
        <v/>
      </c>
      <c r="K9" s="54" t="n">
        <v>8.164</v>
      </c>
      <c r="L9" s="54" t="inlineStr"/>
    </row>
    <row r="10">
      <c r="A10" s="48" t="n">
        <v>1972</v>
      </c>
      <c r="B10" s="98">
        <f>D10-( F10 + H10)</f>
        <v/>
      </c>
      <c r="C10" s="50" t="inlineStr">
        <is>
          <t>=</t>
        </is>
      </c>
      <c r="D10" s="51" t="n">
        <v>13.590672</v>
      </c>
      <c r="E10" s="50" t="inlineStr">
        <is>
          <t>- (</t>
        </is>
      </c>
      <c r="F10" s="52">
        <f>'Compact'!G10 + 'Compact'!I10</f>
        <v/>
      </c>
      <c r="G10" s="50" t="inlineStr">
        <is>
          <t>+</t>
        </is>
      </c>
      <c r="H10" s="53">
        <f>'Compact'!V10</f>
        <v/>
      </c>
      <c r="I10" s="50" t="inlineStr">
        <is>
          <t>)</t>
        </is>
      </c>
      <c r="J10" s="54">
        <f>'Compact'!H10</f>
        <v/>
      </c>
      <c r="K10" s="54" t="n">
        <v>8.099</v>
      </c>
      <c r="L10" s="54" t="inlineStr"/>
    </row>
    <row r="11">
      <c r="A11" s="48" t="n">
        <v>1973</v>
      </c>
      <c r="B11" s="98">
        <f>D11-( F11 + H11)</f>
        <v/>
      </c>
      <c r="C11" s="50" t="inlineStr">
        <is>
          <t>=</t>
        </is>
      </c>
      <c r="D11" s="51" t="n">
        <v>19.182018</v>
      </c>
      <c r="E11" s="50" t="inlineStr">
        <is>
          <t>- (</t>
        </is>
      </c>
      <c r="F11" s="52">
        <f>'Compact'!G11 + 'Compact'!I11</f>
        <v/>
      </c>
      <c r="G11" s="50" t="inlineStr">
        <is>
          <t>+</t>
        </is>
      </c>
      <c r="H11" s="53">
        <f>'Compact'!V11</f>
        <v/>
      </c>
      <c r="I11" s="50" t="inlineStr">
        <is>
          <t>)</t>
        </is>
      </c>
      <c r="J11" s="54">
        <f>'Compact'!H11</f>
        <v/>
      </c>
      <c r="K11" s="54" t="n">
        <v>8.302</v>
      </c>
      <c r="L11" s="54" t="inlineStr"/>
    </row>
    <row r="12">
      <c r="A12" s="48" t="n">
        <v>1974</v>
      </c>
      <c r="B12" s="98">
        <f>D12-( F12 + H12)</f>
        <v/>
      </c>
      <c r="C12" s="50" t="inlineStr">
        <is>
          <t>=</t>
        </is>
      </c>
      <c r="D12" s="51" t="n">
        <v>13.219729</v>
      </c>
      <c r="E12" s="50" t="inlineStr">
        <is>
          <t>- (</t>
        </is>
      </c>
      <c r="F12" s="52">
        <f>'Compact'!G12 + 'Compact'!I12</f>
        <v/>
      </c>
      <c r="G12" s="50" t="inlineStr">
        <is>
          <t>+</t>
        </is>
      </c>
      <c r="H12" s="53">
        <f>'Compact'!V12</f>
        <v/>
      </c>
      <c r="I12" s="50" t="inlineStr">
        <is>
          <t>)</t>
        </is>
      </c>
      <c r="J12" s="54">
        <f>'Compact'!H12</f>
        <v/>
      </c>
      <c r="K12" s="54" t="n">
        <v>8.731999999999999</v>
      </c>
      <c r="L12" s="54" t="inlineStr"/>
    </row>
    <row r="13">
      <c r="A13" s="48" t="n">
        <v>1975</v>
      </c>
      <c r="B13" s="98">
        <f>D13-( F13 + H13)</f>
        <v/>
      </c>
      <c r="C13" s="50" t="inlineStr">
        <is>
          <t>=</t>
        </is>
      </c>
      <c r="D13" s="51" t="n">
        <v>16.79327</v>
      </c>
      <c r="E13" s="50" t="inlineStr">
        <is>
          <t>- (</t>
        </is>
      </c>
      <c r="F13" s="52">
        <f>'Compact'!G13 + 'Compact'!I13</f>
        <v/>
      </c>
      <c r="G13" s="50" t="inlineStr">
        <is>
          <t>+</t>
        </is>
      </c>
      <c r="H13" s="53">
        <f>'Compact'!V13</f>
        <v/>
      </c>
      <c r="I13" s="50" t="inlineStr">
        <is>
          <t>)</t>
        </is>
      </c>
      <c r="J13" s="54">
        <f>'Compact'!H13</f>
        <v/>
      </c>
      <c r="K13" s="54" t="n">
        <v>8.367000000000001</v>
      </c>
      <c r="L13" s="54" t="inlineStr"/>
    </row>
    <row r="14">
      <c r="A14" s="48" t="n">
        <v>1976</v>
      </c>
      <c r="B14" s="98">
        <f>D14-( F14 + H14)</f>
        <v/>
      </c>
      <c r="C14" s="50" t="inlineStr">
        <is>
          <t>=</t>
        </is>
      </c>
      <c r="D14" s="51" t="n">
        <v>11.603972</v>
      </c>
      <c r="E14" s="50" t="inlineStr">
        <is>
          <t>- (</t>
        </is>
      </c>
      <c r="F14" s="52">
        <f>'Compact'!G14 + 'Compact'!I14</f>
        <v/>
      </c>
      <c r="G14" s="50" t="inlineStr">
        <is>
          <t>+</t>
        </is>
      </c>
      <c r="H14" s="53">
        <f>'Compact'!V14</f>
        <v/>
      </c>
      <c r="I14" s="50" t="inlineStr">
        <is>
          <t>)</t>
        </is>
      </c>
      <c r="J14" s="54">
        <f>'Compact'!H14</f>
        <v/>
      </c>
      <c r="K14" s="54" t="n">
        <v>7.927</v>
      </c>
      <c r="L14" s="54" t="inlineStr"/>
    </row>
    <row r="15">
      <c r="A15" s="48" t="n">
        <v>1977</v>
      </c>
      <c r="B15" s="98">
        <f>D15-( F15 + H15)</f>
        <v/>
      </c>
      <c r="C15" s="50" t="inlineStr">
        <is>
          <t>=</t>
        </is>
      </c>
      <c r="D15" s="51" t="n">
        <v>5.941876</v>
      </c>
      <c r="E15" s="50" t="inlineStr">
        <is>
          <t>- (</t>
        </is>
      </c>
      <c r="F15" s="52">
        <f>'Compact'!G15 + 'Compact'!I15</f>
        <v/>
      </c>
      <c r="G15" s="50" t="inlineStr">
        <is>
          <t>+</t>
        </is>
      </c>
      <c r="H15" s="53">
        <f>'Compact'!V15</f>
        <v/>
      </c>
      <c r="I15" s="50" t="inlineStr">
        <is>
          <t>)</t>
        </is>
      </c>
      <c r="J15" s="54">
        <f>'Compact'!H15</f>
        <v/>
      </c>
      <c r="K15" s="54" t="n">
        <v>7.873</v>
      </c>
      <c r="L15" s="54" t="inlineStr"/>
    </row>
    <row r="16">
      <c r="A16" s="48" t="n">
        <v>1978</v>
      </c>
      <c r="B16" s="98">
        <f>D16-( F16 + H16)</f>
        <v/>
      </c>
      <c r="C16" s="50" t="inlineStr">
        <is>
          <t>=</t>
        </is>
      </c>
      <c r="D16" s="51" t="n">
        <v>16.315687</v>
      </c>
      <c r="E16" s="50" t="inlineStr">
        <is>
          <t>- (</t>
        </is>
      </c>
      <c r="F16" s="52">
        <f>'Compact'!G16 + 'Compact'!I16</f>
        <v/>
      </c>
      <c r="G16" s="50" t="inlineStr">
        <is>
          <t>+</t>
        </is>
      </c>
      <c r="H16" s="53">
        <f>'Compact'!V16</f>
        <v/>
      </c>
      <c r="I16" s="50" t="inlineStr">
        <is>
          <t>)</t>
        </is>
      </c>
      <c r="J16" s="54">
        <f>'Compact'!H16</f>
        <v/>
      </c>
      <c r="K16" s="54" t="n">
        <v>7.476</v>
      </c>
      <c r="L16" s="54" t="inlineStr"/>
    </row>
    <row r="17">
      <c r="A17" s="48" t="n">
        <v>1979</v>
      </c>
      <c r="B17" s="98">
        <f>D17-( F17 + H17)</f>
        <v/>
      </c>
      <c r="C17" s="50" t="inlineStr">
        <is>
          <t>=</t>
        </is>
      </c>
      <c r="D17" s="51" t="n">
        <v>18.921647</v>
      </c>
      <c r="E17" s="50" t="inlineStr">
        <is>
          <t>- (</t>
        </is>
      </c>
      <c r="F17" s="52">
        <f>'Compact'!G17 + 'Compact'!I17</f>
        <v/>
      </c>
      <c r="G17" s="50" t="inlineStr">
        <is>
          <t>+</t>
        </is>
      </c>
      <c r="H17" s="53">
        <f>'Compact'!V17</f>
        <v/>
      </c>
      <c r="I17" s="50" t="inlineStr">
        <is>
          <t>)</t>
        </is>
      </c>
      <c r="J17" s="54">
        <f>'Compact'!H17</f>
        <v/>
      </c>
      <c r="K17" s="54" t="n">
        <v>7.721</v>
      </c>
      <c r="L17" s="54" t="inlineStr"/>
    </row>
    <row r="18">
      <c r="A18" s="48" t="n">
        <v>1980</v>
      </c>
      <c r="B18" s="98">
        <f>D18-( F18 + H18)</f>
        <v/>
      </c>
      <c r="C18" s="50" t="inlineStr">
        <is>
          <t>=</t>
        </is>
      </c>
      <c r="D18" s="51" t="n">
        <v>19.145522</v>
      </c>
      <c r="E18" s="50" t="inlineStr">
        <is>
          <t>- (</t>
        </is>
      </c>
      <c r="F18" s="52">
        <f>'Compact'!G18 + 'Compact'!I18</f>
        <v/>
      </c>
      <c r="G18" s="50" t="inlineStr">
        <is>
          <t>+</t>
        </is>
      </c>
      <c r="H18" s="53">
        <f>'Compact'!V18</f>
        <v/>
      </c>
      <c r="I18" s="50" t="inlineStr">
        <is>
          <t>)</t>
        </is>
      </c>
      <c r="J18" s="54">
        <f>'Compact'!H18</f>
        <v/>
      </c>
      <c r="K18" s="54" t="n">
        <v>11.09</v>
      </c>
      <c r="L18" s="54" t="inlineStr"/>
    </row>
    <row r="19">
      <c r="A19" s="48" t="n">
        <v>1981</v>
      </c>
      <c r="B19" s="98">
        <f>D19-( F19 + H19)</f>
        <v/>
      </c>
      <c r="C19" s="50" t="inlineStr">
        <is>
          <t>=</t>
        </is>
      </c>
      <c r="D19" s="51" t="n">
        <v>9.643241</v>
      </c>
      <c r="E19" s="50" t="inlineStr">
        <is>
          <t>- (</t>
        </is>
      </c>
      <c r="F19" s="52">
        <f>'Compact'!G19 + 'Compact'!I19</f>
        <v/>
      </c>
      <c r="G19" s="50" t="inlineStr">
        <is>
          <t>+</t>
        </is>
      </c>
      <c r="H19" s="53">
        <f>'Compact'!V19</f>
        <v/>
      </c>
      <c r="I19" s="50" t="inlineStr">
        <is>
          <t>)</t>
        </is>
      </c>
      <c r="J19" s="54">
        <f>'Compact'!H19</f>
        <v/>
      </c>
      <c r="K19" s="54" t="n">
        <v>8.2841</v>
      </c>
      <c r="L19" s="54" t="inlineStr"/>
    </row>
    <row r="20">
      <c r="A20" s="48" t="n">
        <v>1982</v>
      </c>
      <c r="B20" s="98">
        <f>D20-( F20 + H20)</f>
        <v/>
      </c>
      <c r="C20" s="50" t="inlineStr">
        <is>
          <t>=</t>
        </is>
      </c>
      <c r="D20" s="51" t="n">
        <v>18.117501</v>
      </c>
      <c r="E20" s="50" t="inlineStr">
        <is>
          <t>- (</t>
        </is>
      </c>
      <c r="F20" s="52">
        <f>'Compact'!G20 + 'Compact'!I20</f>
        <v/>
      </c>
      <c r="G20" s="50" t="inlineStr">
        <is>
          <t>+</t>
        </is>
      </c>
      <c r="H20" s="53">
        <f>'Compact'!V20</f>
        <v/>
      </c>
      <c r="I20" s="50" t="inlineStr">
        <is>
          <t>)</t>
        </is>
      </c>
      <c r="J20" s="54">
        <f>'Compact'!H20</f>
        <v/>
      </c>
      <c r="K20" s="54" t="n">
        <v>7.4536</v>
      </c>
      <c r="L20" s="54" t="inlineStr"/>
    </row>
    <row r="21">
      <c r="A21" s="48" t="n">
        <v>1983</v>
      </c>
      <c r="B21" s="98">
        <f>D21-( F21 + H21)</f>
        <v/>
      </c>
      <c r="C21" s="50" t="inlineStr">
        <is>
          <t>=</t>
        </is>
      </c>
      <c r="D21" s="51" t="n">
        <v>24.835705</v>
      </c>
      <c r="E21" s="50" t="inlineStr">
        <is>
          <t>- (</t>
        </is>
      </c>
      <c r="F21" s="52">
        <f>'Compact'!G21 + 'Compact'!I21</f>
        <v/>
      </c>
      <c r="G21" s="50" t="inlineStr">
        <is>
          <t>+</t>
        </is>
      </c>
      <c r="H21" s="53">
        <f>'Compact'!V21</f>
        <v/>
      </c>
      <c r="I21" s="50" t="inlineStr">
        <is>
          <t>)</t>
        </is>
      </c>
      <c r="J21" s="54">
        <f>'Compact'!H21</f>
        <v/>
      </c>
      <c r="K21" s="54" t="n">
        <v>19.07</v>
      </c>
      <c r="L21" s="54" t="inlineStr"/>
    </row>
    <row r="22">
      <c r="A22" s="48" t="n">
        <v>1984</v>
      </c>
      <c r="B22" s="98">
        <f>D22-( F22 + H22)</f>
        <v/>
      </c>
      <c r="C22" s="50" t="inlineStr">
        <is>
          <t>=</t>
        </is>
      </c>
      <c r="D22" s="51" t="n">
        <v>25.464507</v>
      </c>
      <c r="E22" s="50" t="inlineStr">
        <is>
          <t>- (</t>
        </is>
      </c>
      <c r="F22" s="52">
        <f>'Compact'!G22 + 'Compact'!I22</f>
        <v/>
      </c>
      <c r="G22" s="50" t="inlineStr">
        <is>
          <t>+</t>
        </is>
      </c>
      <c r="H22" s="53">
        <f>'Compact'!V22</f>
        <v/>
      </c>
      <c r="I22" s="50" t="inlineStr">
        <is>
          <t>)</t>
        </is>
      </c>
      <c r="J22" s="54">
        <f>'Compact'!H22</f>
        <v/>
      </c>
      <c r="K22" s="54" t="n">
        <v>21.412</v>
      </c>
      <c r="L22" s="54" t="inlineStr"/>
    </row>
    <row r="23">
      <c r="A23" s="48" t="n">
        <v>1985</v>
      </c>
      <c r="B23" s="98">
        <f>D23-( F23 + H23)</f>
        <v/>
      </c>
      <c r="C23" s="50" t="inlineStr">
        <is>
          <t>=</t>
        </is>
      </c>
      <c r="D23" s="51" t="n">
        <v>21.977364</v>
      </c>
      <c r="E23" s="50" t="inlineStr">
        <is>
          <t>- (</t>
        </is>
      </c>
      <c r="F23" s="52">
        <f>'Compact'!G23 + 'Compact'!I23</f>
        <v/>
      </c>
      <c r="G23" s="50" t="inlineStr">
        <is>
          <t>+</t>
        </is>
      </c>
      <c r="H23" s="53">
        <f>'Compact'!V23</f>
        <v/>
      </c>
      <c r="I23" s="50" t="inlineStr">
        <is>
          <t>)</t>
        </is>
      </c>
      <c r="J23" s="54">
        <f>'Compact'!H23</f>
        <v/>
      </c>
      <c r="K23" s="54" t="n">
        <v>17.209</v>
      </c>
      <c r="L23" s="54" t="inlineStr"/>
    </row>
    <row r="24">
      <c r="A24" s="48" t="n">
        <v>1986</v>
      </c>
      <c r="B24" s="98">
        <f>D24-( F24 + H24)</f>
        <v/>
      </c>
      <c r="C24" s="50" t="inlineStr">
        <is>
          <t>=</t>
        </is>
      </c>
      <c r="D24" s="51" t="n">
        <v>23.357818</v>
      </c>
      <c r="E24" s="50" t="inlineStr">
        <is>
          <t>- (</t>
        </is>
      </c>
      <c r="F24" s="52">
        <f>'Compact'!G24 + 'Compact'!I24</f>
        <v/>
      </c>
      <c r="G24" s="50" t="inlineStr">
        <is>
          <t>+</t>
        </is>
      </c>
      <c r="H24" s="53">
        <f>'Compact'!V24</f>
        <v/>
      </c>
      <c r="I24" s="50" t="inlineStr">
        <is>
          <t>)</t>
        </is>
      </c>
      <c r="J24" s="54">
        <f>'Compact'!H24</f>
        <v/>
      </c>
      <c r="K24" s="54" t="n">
        <v>17.547</v>
      </c>
      <c r="L24" s="54" t="inlineStr"/>
    </row>
    <row r="25">
      <c r="A25" s="48" t="n">
        <v>1987</v>
      </c>
      <c r="B25" s="98">
        <f>D25-( F25 + H25)</f>
        <v/>
      </c>
      <c r="C25" s="50" t="inlineStr">
        <is>
          <t>=</t>
        </is>
      </c>
      <c r="D25" s="51" t="n">
        <v>16.367952</v>
      </c>
      <c r="E25" s="50" t="inlineStr">
        <is>
          <t>- (</t>
        </is>
      </c>
      <c r="F25" s="52">
        <f>'Compact'!G25 + 'Compact'!I25</f>
        <v/>
      </c>
      <c r="G25" s="50" t="inlineStr">
        <is>
          <t>+</t>
        </is>
      </c>
      <c r="H25" s="53">
        <f>'Compact'!V25</f>
        <v/>
      </c>
      <c r="I25" s="50" t="inlineStr">
        <is>
          <t>)</t>
        </is>
      </c>
      <c r="J25" s="54">
        <f>'Compact'!H25</f>
        <v/>
      </c>
      <c r="K25" s="54" t="n">
        <v>11.334</v>
      </c>
      <c r="L25" s="54" t="inlineStr"/>
    </row>
    <row r="26">
      <c r="A26" s="48" t="n">
        <v>1988</v>
      </c>
      <c r="B26" s="98">
        <f>D26-( F26 + H26)</f>
        <v/>
      </c>
      <c r="C26" s="50" t="inlineStr">
        <is>
          <t>=</t>
        </is>
      </c>
      <c r="D26" s="51" t="n">
        <v>12.164188</v>
      </c>
      <c r="E26" s="50" t="inlineStr">
        <is>
          <t>- (</t>
        </is>
      </c>
      <c r="F26" s="52">
        <f>'Compact'!G26 + 'Compact'!I26</f>
        <v/>
      </c>
      <c r="G26" s="50" t="inlineStr">
        <is>
          <t>+</t>
        </is>
      </c>
      <c r="H26" s="53">
        <f>'Compact'!V26</f>
        <v/>
      </c>
      <c r="I26" s="50" t="inlineStr">
        <is>
          <t>)</t>
        </is>
      </c>
      <c r="J26" s="54">
        <f>'Compact'!H26</f>
        <v/>
      </c>
      <c r="K26" s="54" t="n">
        <v>9.42</v>
      </c>
      <c r="L26" s="54" t="inlineStr"/>
    </row>
    <row r="27">
      <c r="A27" s="48" t="n">
        <v>1989</v>
      </c>
      <c r="B27" s="98">
        <f>D27-( F27 + H27)</f>
        <v/>
      </c>
      <c r="C27" s="50" t="inlineStr">
        <is>
          <t>=</t>
        </is>
      </c>
      <c r="D27" s="51" t="n">
        <v>10.198378</v>
      </c>
      <c r="E27" s="50" t="inlineStr">
        <is>
          <t>- (</t>
        </is>
      </c>
      <c r="F27" s="52">
        <f>'Compact'!G27 + 'Compact'!I27</f>
        <v/>
      </c>
      <c r="G27" s="50" t="inlineStr">
        <is>
          <t>+</t>
        </is>
      </c>
      <c r="H27" s="53">
        <f>'Compact'!V27</f>
        <v/>
      </c>
      <c r="I27" s="50" t="inlineStr">
        <is>
          <t>)</t>
        </is>
      </c>
      <c r="J27" s="54">
        <f>'Compact'!H27</f>
        <v/>
      </c>
      <c r="K27" s="54" t="n">
        <v>9.225</v>
      </c>
      <c r="L27" s="54" t="inlineStr"/>
    </row>
    <row r="28">
      <c r="A28" s="48" t="n">
        <v>1990</v>
      </c>
      <c r="B28" s="98">
        <f>D28-( F28 + H28)</f>
        <v/>
      </c>
      <c r="C28" s="50" t="inlineStr">
        <is>
          <t>=</t>
        </is>
      </c>
      <c r="D28" s="51" t="n">
        <v>9.973037</v>
      </c>
      <c r="E28" s="50" t="inlineStr">
        <is>
          <t>- (</t>
        </is>
      </c>
      <c r="F28" s="52">
        <f>'Compact'!G28 + 'Compact'!I28</f>
        <v/>
      </c>
      <c r="G28" s="50" t="inlineStr">
        <is>
          <t>+</t>
        </is>
      </c>
      <c r="H28" s="53">
        <f>'Compact'!V28</f>
        <v/>
      </c>
      <c r="I28" s="50" t="inlineStr">
        <is>
          <t>)</t>
        </is>
      </c>
      <c r="J28" s="54">
        <f>'Compact'!H28</f>
        <v/>
      </c>
      <c r="K28" s="54" t="n">
        <v>9.2049</v>
      </c>
      <c r="L28" s="54" t="n">
        <v>7.8931</v>
      </c>
    </row>
    <row r="29">
      <c r="A29" s="48" t="n">
        <v>1991</v>
      </c>
      <c r="B29" s="98">
        <f>D29-( F29 + H29)</f>
        <v/>
      </c>
      <c r="C29" s="50" t="inlineStr">
        <is>
          <t>=</t>
        </is>
      </c>
      <c r="D29" s="51" t="n">
        <v>13.088763</v>
      </c>
      <c r="E29" s="50" t="inlineStr">
        <is>
          <t>- (</t>
        </is>
      </c>
      <c r="F29" s="52">
        <f>'Compact'!G29 + 'Compact'!I29</f>
        <v/>
      </c>
      <c r="G29" s="50" t="inlineStr">
        <is>
          <t>+</t>
        </is>
      </c>
      <c r="H29" s="53">
        <f>'Compact'!V29</f>
        <v/>
      </c>
      <c r="I29" s="50" t="inlineStr">
        <is>
          <t>)</t>
        </is>
      </c>
      <c r="J29" s="54">
        <f>'Compact'!H29</f>
        <v/>
      </c>
      <c r="K29" s="54" t="n">
        <v>8.952500000000001</v>
      </c>
      <c r="L29" s="54" t="n">
        <v>8.384399999999999</v>
      </c>
    </row>
    <row r="30">
      <c r="A30" s="48" t="n">
        <v>1992</v>
      </c>
      <c r="B30" s="98">
        <f>D30-( F30 + H30)</f>
        <v/>
      </c>
      <c r="C30" s="50" t="inlineStr">
        <is>
          <t>=</t>
        </is>
      </c>
      <c r="D30" s="51" t="n">
        <v>12.229797</v>
      </c>
      <c r="E30" s="50" t="inlineStr">
        <is>
          <t>- (</t>
        </is>
      </c>
      <c r="F30" s="52">
        <f>'Compact'!G30 + 'Compact'!I30</f>
        <v/>
      </c>
      <c r="G30" s="50" t="inlineStr">
        <is>
          <t>+</t>
        </is>
      </c>
      <c r="H30" s="53">
        <f>'Compact'!V30</f>
        <v/>
      </c>
      <c r="I30" s="50" t="inlineStr">
        <is>
          <t>)</t>
        </is>
      </c>
      <c r="J30" s="54">
        <f>'Compact'!H30</f>
        <v/>
      </c>
      <c r="K30" s="54" t="n">
        <v>7.8273</v>
      </c>
      <c r="L30" s="54" t="n">
        <v>7.9353</v>
      </c>
    </row>
    <row r="31">
      <c r="A31" s="48" t="n">
        <v>1993</v>
      </c>
      <c r="B31" s="98">
        <f>D31-( F31 + H31)</f>
        <v/>
      </c>
      <c r="C31" s="50" t="inlineStr">
        <is>
          <t>=</t>
        </is>
      </c>
      <c r="D31" s="51" t="n">
        <v>21.35594</v>
      </c>
      <c r="E31" s="50" t="inlineStr">
        <is>
          <t>- (</t>
        </is>
      </c>
      <c r="F31" s="52">
        <f>'Compact'!G31 + 'Compact'!I31</f>
        <v/>
      </c>
      <c r="G31" s="50" t="inlineStr">
        <is>
          <t>+</t>
        </is>
      </c>
      <c r="H31" s="53">
        <f>'Compact'!V31</f>
        <v/>
      </c>
      <c r="I31" s="50" t="inlineStr">
        <is>
          <t>)</t>
        </is>
      </c>
      <c r="J31" s="54">
        <f>'Compact'!H31</f>
        <v/>
      </c>
      <c r="K31" s="54" t="n">
        <v>7.4449</v>
      </c>
      <c r="L31" s="54" t="n">
        <v>8.246499999999999</v>
      </c>
    </row>
    <row r="32">
      <c r="A32" s="48" t="n">
        <v>1994</v>
      </c>
      <c r="B32" s="98">
        <f>D32-( F32 + H32)</f>
        <v/>
      </c>
      <c r="C32" s="50" t="inlineStr">
        <is>
          <t>=</t>
        </is>
      </c>
      <c r="D32" s="51" t="n">
        <v>11.055286</v>
      </c>
      <c r="E32" s="50" t="inlineStr">
        <is>
          <t>- (</t>
        </is>
      </c>
      <c r="F32" s="52">
        <f>'Compact'!G32 + 'Compact'!I32</f>
        <v/>
      </c>
      <c r="G32" s="50" t="inlineStr">
        <is>
          <t>+</t>
        </is>
      </c>
      <c r="H32" s="53">
        <f>'Compact'!V32</f>
        <v/>
      </c>
      <c r="I32" s="50" t="inlineStr">
        <is>
          <t>)</t>
        </is>
      </c>
      <c r="J32" s="54">
        <f>'Compact'!H32</f>
        <v/>
      </c>
      <c r="K32" s="54" t="n">
        <v>9.351900000000001</v>
      </c>
      <c r="L32" s="54" t="n">
        <v>8.0672</v>
      </c>
    </row>
    <row r="33">
      <c r="A33" s="48" t="n">
        <v>1995</v>
      </c>
      <c r="B33" s="98">
        <f>D33-( F33 + H33)</f>
        <v/>
      </c>
      <c r="C33" s="50" t="inlineStr">
        <is>
          <t>=</t>
        </is>
      </c>
      <c r="D33" s="51" t="n">
        <v>21.332581</v>
      </c>
      <c r="E33" s="50" t="inlineStr">
        <is>
          <t>- (</t>
        </is>
      </c>
      <c r="F33" s="52">
        <f>'Compact'!G33 + 'Compact'!I33</f>
        <v/>
      </c>
      <c r="G33" s="50" t="inlineStr">
        <is>
          <t>+</t>
        </is>
      </c>
      <c r="H33" s="53">
        <f>'Compact'!V33</f>
        <v/>
      </c>
      <c r="I33" s="50" t="inlineStr">
        <is>
          <t>)</t>
        </is>
      </c>
      <c r="J33" s="54">
        <f>'Compact'!H33</f>
        <v/>
      </c>
      <c r="K33" s="54" t="n">
        <v>8.5449</v>
      </c>
      <c r="L33" s="54" t="n">
        <v>10.2055</v>
      </c>
    </row>
    <row r="34">
      <c r="A34" s="48" t="n">
        <v>1996</v>
      </c>
      <c r="B34" s="98">
        <f>D34-( F34 + H34)</f>
        <v/>
      </c>
      <c r="C34" s="50" t="inlineStr">
        <is>
          <t>=</t>
        </is>
      </c>
      <c r="D34" s="51" t="n">
        <v>14.554965</v>
      </c>
      <c r="E34" s="50" t="inlineStr">
        <is>
          <t>- (</t>
        </is>
      </c>
      <c r="F34" s="52">
        <f>'Compact'!G34 + 'Compact'!I34</f>
        <v/>
      </c>
      <c r="G34" s="50" t="inlineStr">
        <is>
          <t>+</t>
        </is>
      </c>
      <c r="H34" s="53">
        <f>'Compact'!V34</f>
        <v/>
      </c>
      <c r="I34" s="50" t="inlineStr">
        <is>
          <t>)</t>
        </is>
      </c>
      <c r="J34" s="54">
        <f>'Compact'!H34</f>
        <v/>
      </c>
      <c r="K34" s="54" t="n">
        <v>9.972099999999999</v>
      </c>
      <c r="L34" s="54" t="n">
        <v>11.0251</v>
      </c>
    </row>
    <row r="35">
      <c r="A35" s="48" t="n">
        <v>1997</v>
      </c>
      <c r="B35" s="98">
        <f>D35-( F35 + H35)</f>
        <v/>
      </c>
      <c r="C35" s="50" t="inlineStr">
        <is>
          <t>=</t>
        </is>
      </c>
      <c r="D35" s="51" t="n">
        <v>22.038502</v>
      </c>
      <c r="E35" s="50" t="inlineStr">
        <is>
          <t>- (</t>
        </is>
      </c>
      <c r="F35" s="52">
        <f>'Compact'!G35 + 'Compact'!I35</f>
        <v/>
      </c>
      <c r="G35" s="50" t="inlineStr">
        <is>
          <t>+</t>
        </is>
      </c>
      <c r="H35" s="53">
        <f>'Compact'!V35</f>
        <v/>
      </c>
      <c r="I35" s="50" t="inlineStr">
        <is>
          <t>)</t>
        </is>
      </c>
      <c r="J35" s="54">
        <f>'Compact'!H35</f>
        <v/>
      </c>
      <c r="K35" s="54" t="n">
        <v>11.6691</v>
      </c>
      <c r="L35" s="54" t="n">
        <v>15.246</v>
      </c>
    </row>
    <row r="36">
      <c r="A36" s="48" t="n">
        <v>1998</v>
      </c>
      <c r="B36" s="98">
        <f>D36-( F36 + H36)</f>
        <v/>
      </c>
      <c r="C36" s="50" t="inlineStr">
        <is>
          <t>=</t>
        </is>
      </c>
      <c r="D36" s="51" t="n">
        <v>17.414778</v>
      </c>
      <c r="E36" s="50" t="inlineStr">
        <is>
          <t>- (</t>
        </is>
      </c>
      <c r="F36" s="52">
        <f>'Compact'!G36 + 'Compact'!I36</f>
        <v/>
      </c>
      <c r="G36" s="50" t="inlineStr">
        <is>
          <t>+</t>
        </is>
      </c>
      <c r="H36" s="53">
        <f>'Compact'!V36</f>
        <v/>
      </c>
      <c r="I36" s="50" t="inlineStr">
        <is>
          <t>)</t>
        </is>
      </c>
      <c r="J36" s="54">
        <f>'Compact'!H36</f>
        <v/>
      </c>
      <c r="K36" s="54" t="n">
        <v>12.7747</v>
      </c>
      <c r="L36" s="54" t="n">
        <v>12.4565</v>
      </c>
    </row>
    <row r="37">
      <c r="A37" s="48" t="n">
        <v>1999</v>
      </c>
      <c r="B37" s="98">
        <f>D37-( F37 + H37)</f>
        <v/>
      </c>
      <c r="C37" s="50" t="inlineStr">
        <is>
          <t>=</t>
        </is>
      </c>
      <c r="D37" s="51" t="n">
        <v>16.377268</v>
      </c>
      <c r="E37" s="50" t="inlineStr">
        <is>
          <t>- (</t>
        </is>
      </c>
      <c r="F37" s="52">
        <f>'Compact'!G37 + 'Compact'!I37</f>
        <v/>
      </c>
      <c r="G37" s="50" t="inlineStr">
        <is>
          <t>+</t>
        </is>
      </c>
      <c r="H37" s="53">
        <f>'Compact'!V37</f>
        <v/>
      </c>
      <c r="I37" s="50" t="inlineStr">
        <is>
          <t>)</t>
        </is>
      </c>
      <c r="J37" s="54">
        <f>'Compact'!H37</f>
        <v/>
      </c>
      <c r="K37" s="54" t="n">
        <v>11.033</v>
      </c>
      <c r="L37" s="54" t="n">
        <v>11.8963</v>
      </c>
    </row>
    <row r="38">
      <c r="A38" s="48" t="n">
        <v>2000</v>
      </c>
      <c r="B38" s="98">
        <f>D38-( F38 + H38)</f>
        <v/>
      </c>
      <c r="C38" s="50" t="inlineStr">
        <is>
          <t>=</t>
        </is>
      </c>
      <c r="D38" s="51" t="n">
        <v>10.811978</v>
      </c>
      <c r="E38" s="50" t="inlineStr">
        <is>
          <t>- (</t>
        </is>
      </c>
      <c r="F38" s="52">
        <f>'Compact'!G38 + 'Compact'!I38</f>
        <v/>
      </c>
      <c r="G38" s="50" t="inlineStr">
        <is>
          <t>+</t>
        </is>
      </c>
      <c r="H38" s="53">
        <f>'Compact'!V38</f>
        <v/>
      </c>
      <c r="I38" s="50" t="inlineStr">
        <is>
          <t>)</t>
        </is>
      </c>
      <c r="J38" s="54">
        <f>'Compact'!H38</f>
        <v/>
      </c>
      <c r="K38" s="54" t="n">
        <v>10.692</v>
      </c>
      <c r="L38" s="54" t="n">
        <v>8.655900000000001</v>
      </c>
    </row>
    <row r="39">
      <c r="A39" s="48" t="n">
        <v>2001</v>
      </c>
      <c r="B39" s="98">
        <f>D39-( F39 + H39)</f>
        <v/>
      </c>
      <c r="C39" s="50" t="inlineStr">
        <is>
          <t>=</t>
        </is>
      </c>
      <c r="D39" s="51" t="n">
        <v>11.168315</v>
      </c>
      <c r="E39" s="50" t="inlineStr">
        <is>
          <t>- (</t>
        </is>
      </c>
      <c r="F39" s="52">
        <f>'Compact'!G39 + 'Compact'!I39</f>
        <v/>
      </c>
      <c r="G39" s="50" t="inlineStr">
        <is>
          <t>+</t>
        </is>
      </c>
      <c r="H39" s="53">
        <f>'Compact'!V39</f>
        <v/>
      </c>
      <c r="I39" s="50" t="inlineStr">
        <is>
          <t>)</t>
        </is>
      </c>
      <c r="J39" s="54">
        <f>'Compact'!H39</f>
        <v/>
      </c>
      <c r="K39" s="54" t="n">
        <v>10.2094</v>
      </c>
      <c r="L39" s="54" t="n">
        <v>8.0907</v>
      </c>
    </row>
    <row r="40">
      <c r="A40" s="48" t="n">
        <v>2002</v>
      </c>
      <c r="B40" s="98">
        <f>D40-( F40 + H40)</f>
        <v/>
      </c>
      <c r="C40" s="50" t="inlineStr">
        <is>
          <t>=</t>
        </is>
      </c>
      <c r="D40" s="51" t="n">
        <v>6.211186</v>
      </c>
      <c r="E40" s="50" t="inlineStr">
        <is>
          <t>- (</t>
        </is>
      </c>
      <c r="F40" s="52">
        <f>'Compact'!G40 + 'Compact'!I40</f>
        <v/>
      </c>
      <c r="G40" s="50" t="inlineStr">
        <is>
          <t>+</t>
        </is>
      </c>
      <c r="H40" s="53">
        <f>'Compact'!V40</f>
        <v/>
      </c>
      <c r="I40" s="50" t="inlineStr">
        <is>
          <t>)</t>
        </is>
      </c>
      <c r="J40" s="54">
        <f>'Compact'!H40</f>
        <v/>
      </c>
      <c r="K40" s="54" t="n">
        <v>10.4472</v>
      </c>
      <c r="L40" s="54" t="n">
        <v>7.9126</v>
      </c>
    </row>
    <row r="41">
      <c r="A41" s="48" t="n">
        <v>2003</v>
      </c>
      <c r="B41" s="98">
        <f>D41-( F41 + H41)</f>
        <v/>
      </c>
      <c r="C41" s="50" t="inlineStr">
        <is>
          <t>=</t>
        </is>
      </c>
      <c r="D41" s="51" t="n">
        <v>10.898889</v>
      </c>
      <c r="E41" s="50" t="inlineStr">
        <is>
          <t>- (</t>
        </is>
      </c>
      <c r="F41" s="52">
        <f>'Compact'!G41 + 'Compact'!I41</f>
        <v/>
      </c>
      <c r="G41" s="50" t="inlineStr">
        <is>
          <t>+</t>
        </is>
      </c>
      <c r="H41" s="53">
        <f>'Compact'!V41</f>
        <v/>
      </c>
      <c r="I41" s="50" t="inlineStr">
        <is>
          <t>)</t>
        </is>
      </c>
      <c r="J41" s="54">
        <f>'Compact'!H41</f>
        <v/>
      </c>
      <c r="K41" s="54" t="n">
        <v>9.3817</v>
      </c>
      <c r="L41" s="54" t="n">
        <v>8.3657</v>
      </c>
    </row>
    <row r="42">
      <c r="A42" s="48" t="n">
        <v>2004</v>
      </c>
      <c r="B42" s="98">
        <f>D42-( F42 + H42)</f>
        <v/>
      </c>
      <c r="C42" s="50" t="inlineStr">
        <is>
          <t>=</t>
        </is>
      </c>
      <c r="D42" s="51" t="n">
        <v>10.627991</v>
      </c>
      <c r="E42" s="50" t="inlineStr">
        <is>
          <t>- (</t>
        </is>
      </c>
      <c r="F42" s="52">
        <f>'Compact'!G42 + 'Compact'!I42</f>
        <v/>
      </c>
      <c r="G42" s="50" t="inlineStr">
        <is>
          <t>+</t>
        </is>
      </c>
      <c r="H42" s="53">
        <f>'Compact'!V42</f>
        <v/>
      </c>
      <c r="I42" s="50" t="inlineStr">
        <is>
          <t>)</t>
        </is>
      </c>
      <c r="J42" s="54">
        <f>'Compact'!H42</f>
        <v/>
      </c>
      <c r="K42" s="54" t="n">
        <v>9.3447</v>
      </c>
      <c r="L42" s="54" t="n">
        <v>8.471399999999999</v>
      </c>
    </row>
    <row r="43">
      <c r="A43" s="48" t="n">
        <v>2005</v>
      </c>
      <c r="B43" s="98">
        <f>D43-( F43 + H43)</f>
        <v/>
      </c>
      <c r="C43" s="50" t="inlineStr">
        <is>
          <t>=</t>
        </is>
      </c>
      <c r="D43" s="51" t="n">
        <v>18.818754</v>
      </c>
      <c r="E43" s="50" t="inlineStr">
        <is>
          <t>- (</t>
        </is>
      </c>
      <c r="F43" s="52">
        <f>'Compact'!G43 + 'Compact'!I43</f>
        <v/>
      </c>
      <c r="G43" s="50" t="inlineStr">
        <is>
          <t>+</t>
        </is>
      </c>
      <c r="H43" s="53">
        <f>'Compact'!V43</f>
        <v/>
      </c>
      <c r="I43" s="50" t="inlineStr">
        <is>
          <t>)</t>
        </is>
      </c>
      <c r="J43" s="54">
        <f>'Compact'!H43</f>
        <v/>
      </c>
      <c r="K43" s="54" t="n">
        <v>8.2738</v>
      </c>
      <c r="L43" s="54" t="n">
        <v>8.251576</v>
      </c>
    </row>
    <row r="44">
      <c r="A44" s="48" t="n">
        <v>2006</v>
      </c>
      <c r="B44" s="98">
        <f>D44-( F44 + H44)</f>
        <v/>
      </c>
      <c r="C44" s="50" t="inlineStr">
        <is>
          <t>=</t>
        </is>
      </c>
      <c r="D44" s="51" t="n">
        <v>13.720968</v>
      </c>
      <c r="E44" s="50" t="inlineStr">
        <is>
          <t>- (</t>
        </is>
      </c>
      <c r="F44" s="52">
        <f>'Compact'!G44 + 'Compact'!I44</f>
        <v/>
      </c>
      <c r="G44" s="50" t="inlineStr">
        <is>
          <t>+</t>
        </is>
      </c>
      <c r="H44" s="53">
        <f>'Compact'!V44</f>
        <v/>
      </c>
      <c r="I44" s="50" t="inlineStr">
        <is>
          <t>)</t>
        </is>
      </c>
      <c r="J44" s="54">
        <f>'Compact'!H44</f>
        <v/>
      </c>
      <c r="K44" s="54" t="n">
        <v>9.2593</v>
      </c>
      <c r="L44" s="54" t="n">
        <v>8.409051</v>
      </c>
    </row>
    <row r="45">
      <c r="A45" s="48" t="n">
        <v>2007</v>
      </c>
      <c r="B45" s="98">
        <f>D45-( F45 + H45)</f>
        <v/>
      </c>
      <c r="C45" s="50" t="inlineStr">
        <is>
          <t>=</t>
        </is>
      </c>
      <c r="D45" s="51" t="n">
        <v>11.717973</v>
      </c>
      <c r="E45" s="50" t="inlineStr">
        <is>
          <t>- (</t>
        </is>
      </c>
      <c r="F45" s="52">
        <f>'Compact'!G45 + 'Compact'!I45</f>
        <v/>
      </c>
      <c r="G45" s="50" t="inlineStr">
        <is>
          <t>+</t>
        </is>
      </c>
      <c r="H45" s="53">
        <f>'Compact'!V45</f>
        <v/>
      </c>
      <c r="I45" s="50" t="inlineStr">
        <is>
          <t>)</t>
        </is>
      </c>
      <c r="J45" s="54">
        <f>'Compact'!H45</f>
        <v/>
      </c>
      <c r="K45" s="54" t="n">
        <v>9.362109999999999</v>
      </c>
      <c r="L45" s="54" t="n">
        <v>8.228299</v>
      </c>
    </row>
    <row r="46">
      <c r="A46" s="48" t="n">
        <v>2008</v>
      </c>
      <c r="B46" s="98">
        <f>D46-( F46 + H46)</f>
        <v/>
      </c>
      <c r="C46" s="50" t="inlineStr">
        <is>
          <t>=</t>
        </is>
      </c>
      <c r="D46" s="51" t="n">
        <v>16.507821</v>
      </c>
      <c r="E46" s="50" t="inlineStr">
        <is>
          <t>- (</t>
        </is>
      </c>
      <c r="F46" s="52">
        <f>'Compact'!G46 + 'Compact'!I46</f>
        <v/>
      </c>
      <c r="G46" s="50" t="inlineStr">
        <is>
          <t>+</t>
        </is>
      </c>
      <c r="H46" s="53">
        <f>'Compact'!V46</f>
        <v/>
      </c>
      <c r="I46" s="50" t="inlineStr">
        <is>
          <t>)</t>
        </is>
      </c>
      <c r="J46" s="54">
        <f>'Compact'!H46</f>
        <v/>
      </c>
      <c r="K46" s="54" t="n">
        <v>9.545339999999999</v>
      </c>
      <c r="L46" s="54" t="n">
        <v>9.123498</v>
      </c>
    </row>
    <row r="47">
      <c r="A47" s="48" t="n">
        <v>2009</v>
      </c>
      <c r="B47" s="98">
        <f>D47-( F47 + H47)</f>
        <v/>
      </c>
      <c r="C47" s="50" t="inlineStr">
        <is>
          <t>=</t>
        </is>
      </c>
      <c r="D47" s="51" t="n">
        <v>14.291779</v>
      </c>
      <c r="E47" s="50" t="inlineStr">
        <is>
          <t>- (</t>
        </is>
      </c>
      <c r="F47" s="52">
        <f>'Compact'!G47 + 'Compact'!I47</f>
        <v/>
      </c>
      <c r="G47" s="50" t="inlineStr">
        <is>
          <t>+</t>
        </is>
      </c>
      <c r="H47" s="53">
        <f>'Compact'!V47</f>
        <v/>
      </c>
      <c r="I47" s="50" t="inlineStr">
        <is>
          <t>)</t>
        </is>
      </c>
      <c r="J47" s="54">
        <f>'Compact'!H47</f>
        <v/>
      </c>
      <c r="K47" s="54" t="n">
        <v>9.480117999999999</v>
      </c>
      <c r="L47" s="54" t="n">
        <v>8.296436999999999</v>
      </c>
    </row>
    <row r="48">
      <c r="A48" s="48" t="n">
        <v>2010</v>
      </c>
      <c r="B48" s="98">
        <f>D48-( F48 + H48)</f>
        <v/>
      </c>
      <c r="C48" s="50" t="inlineStr">
        <is>
          <t>=</t>
        </is>
      </c>
      <c r="D48" s="51" t="n">
        <v>13.527462</v>
      </c>
      <c r="E48" s="50" t="inlineStr">
        <is>
          <t>- (</t>
        </is>
      </c>
      <c r="F48" s="52">
        <f>'Compact'!G48 + 'Compact'!I48</f>
        <v/>
      </c>
      <c r="G48" s="50" t="inlineStr">
        <is>
          <t>+</t>
        </is>
      </c>
      <c r="H48" s="53">
        <f>'Compact'!V48</f>
        <v/>
      </c>
      <c r="I48" s="50" t="inlineStr">
        <is>
          <t>)</t>
        </is>
      </c>
      <c r="J48" s="54">
        <f>'Compact'!H48</f>
        <v/>
      </c>
      <c r="K48" s="54" t="n">
        <v>9.450794</v>
      </c>
      <c r="L48" s="54" t="n">
        <v>8.173804000000001</v>
      </c>
    </row>
    <row r="49">
      <c r="A49" s="48" t="n">
        <v>2011</v>
      </c>
      <c r="B49" s="98">
        <f>D49-( F49 + H49)</f>
        <v/>
      </c>
      <c r="C49" s="50" t="inlineStr">
        <is>
          <t>=</t>
        </is>
      </c>
      <c r="D49" s="51" t="n">
        <v>20.846272</v>
      </c>
      <c r="E49" s="50" t="inlineStr">
        <is>
          <t>- (</t>
        </is>
      </c>
      <c r="F49" s="52">
        <f>'Compact'!G49 + 'Compact'!I49</f>
        <v/>
      </c>
      <c r="G49" s="50" t="inlineStr">
        <is>
          <t>+</t>
        </is>
      </c>
      <c r="H49" s="53">
        <f>'Compact'!V49</f>
        <v/>
      </c>
      <c r="I49" s="50" t="inlineStr">
        <is>
          <t>)</t>
        </is>
      </c>
      <c r="J49" s="54">
        <f>'Compact'!H49</f>
        <v/>
      </c>
      <c r="K49" s="54" t="n">
        <v>9.207000000000001</v>
      </c>
      <c r="L49" s="54" t="n">
        <v>13.848</v>
      </c>
    </row>
    <row r="50">
      <c r="A50" s="48" t="n">
        <v>2012</v>
      </c>
      <c r="B50" s="98">
        <f>D50-( F50 + H50)</f>
        <v/>
      </c>
      <c r="C50" s="50" t="inlineStr">
        <is>
          <t>=</t>
        </is>
      </c>
      <c r="D50" s="51" t="n">
        <v>8.336823000000001</v>
      </c>
      <c r="E50" s="50" t="inlineStr">
        <is>
          <t>- (</t>
        </is>
      </c>
      <c r="F50" s="52">
        <f>'Compact'!G50 + 'Compact'!I50</f>
        <v/>
      </c>
      <c r="G50" s="50" t="inlineStr">
        <is>
          <t>+</t>
        </is>
      </c>
      <c r="H50" s="53">
        <f>'Compact'!V50</f>
        <v/>
      </c>
      <c r="I50" s="50" t="inlineStr">
        <is>
          <t>)</t>
        </is>
      </c>
      <c r="J50" s="54">
        <f>'Compact'!H50</f>
        <v/>
      </c>
      <c r="K50" s="54" t="n">
        <v>9.387256000000001</v>
      </c>
      <c r="L50" s="54" t="n">
        <v>8.248900000000001</v>
      </c>
    </row>
    <row r="51">
      <c r="A51" s="48" t="n">
        <v>2013</v>
      </c>
      <c r="B51" s="98">
        <f>D51-( F51 + H51)</f>
        <v/>
      </c>
      <c r="C51" s="50" t="inlineStr">
        <is>
          <t>=</t>
        </is>
      </c>
      <c r="D51" s="51" t="n">
        <v>10.298778</v>
      </c>
      <c r="E51" s="50" t="inlineStr">
        <is>
          <t>- (</t>
        </is>
      </c>
      <c r="F51" s="52">
        <f>'Compact'!G51 + 'Compact'!I51</f>
        <v/>
      </c>
      <c r="G51" s="50" t="inlineStr">
        <is>
          <t>+</t>
        </is>
      </c>
      <c r="H51" s="53">
        <f>'Compact'!V51</f>
        <v/>
      </c>
      <c r="I51" s="50" t="inlineStr">
        <is>
          <t>)</t>
        </is>
      </c>
      <c r="J51" s="54">
        <f>'Compact'!H51</f>
        <v/>
      </c>
      <c r="K51" s="54" t="n">
        <v>9.375280999999999</v>
      </c>
      <c r="L51" s="54" t="n">
        <v>7.965261</v>
      </c>
    </row>
    <row r="52">
      <c r="A52" s="48" t="n">
        <v>2014</v>
      </c>
      <c r="B52" s="98">
        <f>D52-( F52 + H52)</f>
        <v/>
      </c>
      <c r="C52" s="50" t="inlineStr">
        <is>
          <t>=</t>
        </is>
      </c>
      <c r="D52" s="51" t="n">
        <v>14.56124</v>
      </c>
      <c r="E52" s="50" t="inlineStr">
        <is>
          <t>- (</t>
        </is>
      </c>
      <c r="F52" s="52">
        <f>'Compact'!G52 + 'Compact'!I52</f>
        <v/>
      </c>
      <c r="G52" s="50" t="inlineStr">
        <is>
          <t>+</t>
        </is>
      </c>
      <c r="H52" s="53">
        <f>'Compact'!V52</f>
        <v/>
      </c>
      <c r="I52" s="50" t="inlineStr">
        <is>
          <t>)</t>
        </is>
      </c>
      <c r="J52" s="54">
        <f>'Compact'!H52</f>
        <v/>
      </c>
      <c r="K52" s="54" t="n">
        <v>9.614839999999999</v>
      </c>
      <c r="L52" s="54" t="n">
        <v>7.940865</v>
      </c>
    </row>
    <row r="53">
      <c r="A53" s="48" t="n">
        <v>2015</v>
      </c>
      <c r="B53" s="98">
        <f>D53-( F53 + H53)</f>
        <v/>
      </c>
      <c r="C53" s="50" t="inlineStr">
        <is>
          <t>=</t>
        </is>
      </c>
      <c r="D53" s="51" t="n">
        <v>13.422607</v>
      </c>
      <c r="E53" s="50" t="inlineStr">
        <is>
          <t>- (</t>
        </is>
      </c>
      <c r="F53" s="52">
        <f>'Compact'!G53 + 'Compact'!I53</f>
        <v/>
      </c>
      <c r="G53" s="50" t="inlineStr">
        <is>
          <t>+</t>
        </is>
      </c>
      <c r="H53" s="53">
        <f>'Compact'!V53</f>
        <v/>
      </c>
      <c r="I53" s="50" t="inlineStr">
        <is>
          <t>)</t>
        </is>
      </c>
      <c r="J53" s="54">
        <f>'Compact'!H53</f>
        <v/>
      </c>
      <c r="K53" s="54" t="n">
        <v>9.414</v>
      </c>
      <c r="L53" s="54" t="n">
        <v>8.795661000000001</v>
      </c>
    </row>
    <row r="54">
      <c r="A54" s="48" t="n">
        <v>2016</v>
      </c>
      <c r="B54" s="98">
        <f>D54-( F54 + H54)</f>
        <v/>
      </c>
      <c r="C54" s="50" t="inlineStr">
        <is>
          <t>=</t>
        </is>
      </c>
      <c r="D54" s="51" t="n">
        <v>13.843877</v>
      </c>
      <c r="E54" s="50" t="inlineStr">
        <is>
          <t>- (</t>
        </is>
      </c>
      <c r="F54" s="52">
        <f>'Compact'!G54 + 'Compact'!I54</f>
        <v/>
      </c>
      <c r="G54" s="50" t="inlineStr">
        <is>
          <t>+</t>
        </is>
      </c>
      <c r="H54" s="53">
        <f>'Compact'!V54</f>
        <v/>
      </c>
      <c r="I54" s="50" t="inlineStr">
        <is>
          <t>)</t>
        </is>
      </c>
      <c r="J54" s="54">
        <f>'Compact'!H54</f>
        <v/>
      </c>
      <c r="K54" s="54" t="n">
        <v>9.275998</v>
      </c>
      <c r="L54" s="54" t="n">
        <v>9.214791</v>
      </c>
    </row>
    <row r="55">
      <c r="A55" s="48" t="n">
        <v>2017</v>
      </c>
      <c r="B55" s="98">
        <f>D55-( F55 + H55)</f>
        <v/>
      </c>
      <c r="C55" s="50" t="inlineStr">
        <is>
          <t>=</t>
        </is>
      </c>
      <c r="D55" s="51" t="n">
        <v>16.767842</v>
      </c>
      <c r="E55" s="50" t="inlineStr">
        <is>
          <t>- (</t>
        </is>
      </c>
      <c r="F55" s="52">
        <f>'Compact'!G55 + 'Compact'!I55</f>
        <v/>
      </c>
      <c r="G55" s="50" t="inlineStr">
        <is>
          <t>+</t>
        </is>
      </c>
      <c r="H55" s="53">
        <f>'Compact'!V55</f>
        <v/>
      </c>
      <c r="I55" s="50" t="inlineStr">
        <is>
          <t>)</t>
        </is>
      </c>
      <c r="J55" s="54">
        <f>'Compact'!H55</f>
        <v/>
      </c>
      <c r="K55" s="54" t="n">
        <v>8.730095</v>
      </c>
      <c r="L55" s="54" t="n">
        <v>8.760489</v>
      </c>
    </row>
    <row r="56">
      <c r="A56" s="48" t="n">
        <v>2018</v>
      </c>
      <c r="B56" s="98">
        <f>D56-( F56 + H56)</f>
        <v/>
      </c>
      <c r="C56" s="50" t="inlineStr">
        <is>
          <t>=</t>
        </is>
      </c>
      <c r="D56" s="51" t="n">
        <v>8.645903000000001</v>
      </c>
      <c r="E56" s="50" t="inlineStr">
        <is>
          <t>- (</t>
        </is>
      </c>
      <c r="F56" s="52">
        <f>'Compact'!G56 + 'Compact'!I56</f>
        <v/>
      </c>
      <c r="G56" s="50" t="inlineStr">
        <is>
          <t>+</t>
        </is>
      </c>
      <c r="H56" s="53">
        <f>'Compact'!V56</f>
        <v/>
      </c>
      <c r="I56" s="50" t="inlineStr">
        <is>
          <t>)</t>
        </is>
      </c>
      <c r="J56" s="54">
        <f>'Compact'!H56</f>
        <v/>
      </c>
      <c r="K56" s="54" t="n">
        <v>9.116379999999999</v>
      </c>
      <c r="L56" s="54" t="n">
        <v>9.017773999999999</v>
      </c>
    </row>
    <row r="57">
      <c r="A57" s="48" t="n">
        <v>2019</v>
      </c>
      <c r="B57" s="98">
        <f>D57-( F57 + H57)</f>
        <v/>
      </c>
      <c r="C57" s="50" t="inlineStr">
        <is>
          <t>=</t>
        </is>
      </c>
      <c r="D57" s="51" t="n">
        <v>18.386349</v>
      </c>
      <c r="E57" s="50" t="inlineStr">
        <is>
          <t>- (</t>
        </is>
      </c>
      <c r="F57" s="52">
        <f>'Compact'!G57 + 'Compact'!I57</f>
        <v/>
      </c>
      <c r="G57" s="50" t="inlineStr">
        <is>
          <t>+</t>
        </is>
      </c>
      <c r="H57" s="53">
        <f>'Compact'!V57</f>
        <v/>
      </c>
      <c r="I57" s="50" t="inlineStr">
        <is>
          <t>)</t>
        </is>
      </c>
      <c r="J57" s="54">
        <f>'Compact'!H57</f>
        <v/>
      </c>
      <c r="K57" s="54" t="n">
        <v>8.514582000000001</v>
      </c>
      <c r="L57" s="54" t="n">
        <v>8.975092</v>
      </c>
    </row>
    <row r="58">
      <c r="A58" s="48" t="n">
        <v>2020</v>
      </c>
      <c r="B58" s="98">
        <f>D58-( F58 + H58)</f>
        <v/>
      </c>
      <c r="C58" s="50" t="inlineStr">
        <is>
          <t>=</t>
        </is>
      </c>
      <c r="D58" s="51" t="n">
        <v>9.685005</v>
      </c>
      <c r="E58" s="50" t="inlineStr">
        <is>
          <t>- (</t>
        </is>
      </c>
      <c r="F58" s="52">
        <f>'Compact'!G58 + 'Compact'!I58</f>
        <v/>
      </c>
      <c r="G58" s="50" t="inlineStr">
        <is>
          <t>+</t>
        </is>
      </c>
      <c r="H58" s="53">
        <f>'Compact'!V58</f>
        <v/>
      </c>
      <c r="I58" s="50" t="inlineStr">
        <is>
          <t>)</t>
        </is>
      </c>
      <c r="J58" s="54">
        <f>'Compact'!H58</f>
        <v/>
      </c>
      <c r="K58" s="54" t="n">
        <v>8.7828</v>
      </c>
      <c r="L58" s="54" t="n">
        <v>8.227933999999999</v>
      </c>
    </row>
    <row r="59">
      <c r="A59" s="48" t="n">
        <v>2021</v>
      </c>
      <c r="B59" s="98">
        <f>D59-( F59 + H59)</f>
        <v/>
      </c>
      <c r="C59" s="50" t="inlineStr">
        <is>
          <t>=</t>
        </is>
      </c>
      <c r="D59" s="51" t="n">
        <v>7.818</v>
      </c>
      <c r="E59" s="50" t="inlineStr">
        <is>
          <t>- (</t>
        </is>
      </c>
      <c r="F59" s="52">
        <f>'Compact'!G59 + 'Compact'!I59</f>
        <v/>
      </c>
      <c r="G59" s="50" t="inlineStr">
        <is>
          <t>+</t>
        </is>
      </c>
      <c r="H59" s="53">
        <f>'Compact'!V59</f>
        <v/>
      </c>
      <c r="I59" s="50" t="inlineStr">
        <is>
          <t>)</t>
        </is>
      </c>
      <c r="J59" s="54">
        <f>'Compact'!H59</f>
        <v/>
      </c>
      <c r="K59" s="54" t="n">
        <v>9.144952</v>
      </c>
      <c r="L59" s="54" t="n">
        <v>7.811461</v>
      </c>
    </row>
    <row r="60">
      <c r="A60" s="48" t="n">
        <v>2022</v>
      </c>
      <c r="B60" s="98">
        <f>D60-( F60 + H60)</f>
        <v/>
      </c>
      <c r="C60" s="50" t="inlineStr">
        <is>
          <t>=</t>
        </is>
      </c>
      <c r="D60" s="51" t="n">
        <v>10.11</v>
      </c>
      <c r="E60" s="50" t="inlineStr">
        <is>
          <t>- (</t>
        </is>
      </c>
      <c r="F60" s="52">
        <f>'Compact'!G60 + 'Compact'!I60</f>
        <v/>
      </c>
      <c r="G60" s="50" t="inlineStr">
        <is>
          <t>+</t>
        </is>
      </c>
      <c r="H60" s="53">
        <f>'Compact'!V60</f>
        <v/>
      </c>
      <c r="I60" s="50" t="inlineStr">
        <is>
          <t>)</t>
        </is>
      </c>
      <c r="J60" s="54">
        <f>'Compact'!H60</f>
        <v/>
      </c>
      <c r="K60" s="54" t="n">
        <v>8.74239</v>
      </c>
      <c r="L60" s="54" t="inlineStr"/>
    </row>
    <row r="61">
      <c r="A61" s="48" t="n">
        <v>2023</v>
      </c>
      <c r="B61" s="98">
        <f>D61-( F61 + H61)</f>
        <v/>
      </c>
      <c r="C61" s="50" t="inlineStr">
        <is>
          <t>=</t>
        </is>
      </c>
      <c r="D61" s="51" t="n">
        <v>17.389</v>
      </c>
      <c r="E61" s="50" t="inlineStr">
        <is>
          <t>- (</t>
        </is>
      </c>
      <c r="F61" s="52">
        <f>'Compact'!G61 + 'Compact'!I61</f>
        <v/>
      </c>
      <c r="G61" s="50" t="inlineStr">
        <is>
          <t>+</t>
        </is>
      </c>
      <c r="H61" s="53">
        <f>'Compact'!V61</f>
        <v/>
      </c>
      <c r="I61" s="50" t="inlineStr">
        <is>
          <t>)</t>
        </is>
      </c>
      <c r="J61" s="54">
        <f>'Compact'!H61</f>
        <v/>
      </c>
      <c r="K61" s="54" t="n">
        <v>7.444923</v>
      </c>
      <c r="L61" s="54" t="inlineStr"/>
    </row>
    <row r="62">
      <c r="A62" s="48" t="n">
        <v>2024</v>
      </c>
      <c r="B62" s="98">
        <f>D62-( F62 + H62)</f>
        <v/>
      </c>
      <c r="C62" s="50" t="inlineStr">
        <is>
          <t>=</t>
        </is>
      </c>
      <c r="D62" s="51" t="n">
        <v>12.132</v>
      </c>
      <c r="E62" s="50" t="inlineStr">
        <is>
          <t>- (</t>
        </is>
      </c>
      <c r="F62" s="52">
        <f>'Compact'!G62 + 'Compact'!I62</f>
        <v/>
      </c>
      <c r="G62" s="50" t="inlineStr">
        <is>
          <t>+</t>
        </is>
      </c>
      <c r="H62" s="53">
        <f>'Compact'!V62</f>
        <v/>
      </c>
      <c r="I62" s="50" t="inlineStr">
        <is>
          <t>)</t>
        </is>
      </c>
      <c r="J62" s="54">
        <f>'Compact'!H62</f>
        <v/>
      </c>
      <c r="K62" s="54" t="n">
        <v>7.854363</v>
      </c>
      <c r="L62" s="54" t="inlineStr"/>
    </row>
    <row r="63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</cols>
  <sheetData>
    <row r="1" ht="25" customHeight="1">
      <c r="A1" s="1" t="inlineStr">
        <is>
          <t>Year</t>
        </is>
      </c>
      <c r="B1" s="2" t="inlineStr">
        <is>
          <t>III(d)</t>
        </is>
      </c>
      <c r="C1" s="2" t="inlineStr">
        <is>
          <t>Lees Ferry USGS</t>
        </is>
      </c>
      <c r="D1" s="2" t="inlineStr">
        <is>
          <t>Natural Lees Ferry</t>
        </is>
      </c>
      <c r="E1" s="2" t="inlineStr">
        <is>
          <t>III(c)</t>
        </is>
      </c>
      <c r="F1" s="2" t="inlineStr">
        <is>
          <t>III(c) AZ</t>
        </is>
      </c>
      <c r="G1" s="3" t="inlineStr">
        <is>
          <t>Mexico</t>
        </is>
      </c>
    </row>
    <row r="2">
      <c r="A2" s="48" t="n">
        <v>1964</v>
      </c>
      <c r="B2" s="55" t="n">
        <v>8.96968936920166</v>
      </c>
      <c r="C2" s="55" t="n">
        <v>3.243308544158936</v>
      </c>
      <c r="D2" s="51" t="n">
        <v>10.414057</v>
      </c>
      <c r="E2" s="55" t="inlineStr"/>
      <c r="F2" s="55" t="inlineStr"/>
      <c r="G2" s="55" t="inlineStr"/>
    </row>
    <row r="3">
      <c r="A3" s="48" t="n">
        <v>1965</v>
      </c>
      <c r="B3" s="55" t="n">
        <v>9.431654930114746</v>
      </c>
      <c r="C3" s="55" t="n">
        <v>11.58601856231689</v>
      </c>
      <c r="D3" s="51" t="n">
        <v>19.416659</v>
      </c>
      <c r="E3" s="55" t="inlineStr"/>
      <c r="F3" s="55" t="inlineStr"/>
      <c r="G3" s="55" t="inlineStr"/>
    </row>
    <row r="4">
      <c r="A4" s="48" t="n">
        <v>1966</v>
      </c>
      <c r="B4" s="55" t="n">
        <v>9.339696884155273</v>
      </c>
      <c r="C4" s="55" t="n">
        <v>7.738644123077393</v>
      </c>
      <c r="D4" s="51" t="n">
        <v>10.162126</v>
      </c>
      <c r="E4" s="55" t="inlineStr"/>
      <c r="F4" s="55" t="inlineStr"/>
      <c r="G4" s="55" t="inlineStr"/>
    </row>
    <row r="5">
      <c r="A5" s="48" t="n">
        <v>1967</v>
      </c>
      <c r="B5" s="55" t="n">
        <v>8.225492477416992</v>
      </c>
      <c r="C5" s="55" t="n">
        <v>7.559974193572998</v>
      </c>
      <c r="D5" s="51" t="n">
        <v>11.505464</v>
      </c>
      <c r="E5" s="55" t="inlineStr"/>
      <c r="F5" s="55" t="inlineStr"/>
      <c r="G5" s="55" t="inlineStr"/>
    </row>
    <row r="6">
      <c r="A6" s="48" t="n">
        <v>1968</v>
      </c>
      <c r="B6" s="55" t="n">
        <v>7.791869163513184</v>
      </c>
      <c r="C6" s="55" t="n">
        <v>8.803603172302246</v>
      </c>
      <c r="D6" s="51" t="n">
        <v>13.6545</v>
      </c>
      <c r="E6" s="55" t="inlineStr"/>
      <c r="F6" s="55" t="inlineStr"/>
      <c r="G6" s="55" t="inlineStr"/>
    </row>
    <row r="7">
      <c r="A7" s="48" t="n">
        <v>1969</v>
      </c>
      <c r="B7" s="55" t="n">
        <v>7.993605136871338</v>
      </c>
      <c r="C7" s="55" t="n">
        <v>9.077577590942383</v>
      </c>
      <c r="D7" s="51" t="n">
        <v>14.915964</v>
      </c>
      <c r="E7" s="55" t="inlineStr"/>
      <c r="F7" s="55" t="inlineStr"/>
      <c r="G7" s="55" t="inlineStr"/>
    </row>
    <row r="8">
      <c r="A8" s="48" t="n">
        <v>1970</v>
      </c>
      <c r="B8" s="55" t="n">
        <v>7.928507804870605</v>
      </c>
      <c r="C8" s="55" t="n">
        <v>8.13902473449707</v>
      </c>
      <c r="D8" s="51" t="n">
        <v>14.947995</v>
      </c>
      <c r="E8" s="55" t="inlineStr"/>
      <c r="F8" s="55" t="inlineStr"/>
      <c r="G8" s="55" t="inlineStr"/>
    </row>
    <row r="9">
      <c r="A9" s="48" t="n">
        <v>1971</v>
      </c>
      <c r="B9" s="55" t="n">
        <v>8.122849464416504</v>
      </c>
      <c r="C9" s="55" t="n">
        <v>9.25831127166748</v>
      </c>
      <c r="D9" s="51" t="n">
        <v>14.898633</v>
      </c>
      <c r="E9" s="55" t="inlineStr"/>
      <c r="F9" s="55" t="inlineStr"/>
      <c r="G9" s="55" t="inlineStr"/>
    </row>
    <row r="10">
      <c r="A10" s="48" t="n">
        <v>1972</v>
      </c>
      <c r="B10" s="55" t="n">
        <v>7.613493919372559</v>
      </c>
      <c r="C10" s="55" t="n">
        <v>9.344828605651855</v>
      </c>
      <c r="D10" s="51" t="n">
        <v>13.114747</v>
      </c>
      <c r="E10" s="55" t="inlineStr"/>
      <c r="F10" s="55" t="inlineStr"/>
      <c r="G10" s="55" t="inlineStr"/>
    </row>
    <row r="11">
      <c r="A11" s="48" t="n">
        <v>1973</v>
      </c>
      <c r="B11" s="55" t="n">
        <v>8.379537582397461</v>
      </c>
      <c r="C11" s="55" t="n">
        <v>9.044096946716309</v>
      </c>
      <c r="D11" s="51" t="n">
        <v>18.042449</v>
      </c>
      <c r="E11" s="55" t="inlineStr"/>
      <c r="F11" s="55" t="inlineStr"/>
      <c r="G11" s="55" t="inlineStr"/>
    </row>
    <row r="12">
      <c r="A12" s="48" t="n">
        <v>1974</v>
      </c>
      <c r="B12" s="55" t="n">
        <v>8.943949699401855</v>
      </c>
      <c r="C12" s="55" t="n">
        <v>8.887424468994141</v>
      </c>
      <c r="D12" s="51" t="n">
        <v>12.909536</v>
      </c>
      <c r="E12" s="55" t="inlineStr"/>
      <c r="F12" s="55" t="inlineStr"/>
      <c r="G12" s="55" t="inlineStr"/>
    </row>
    <row r="13">
      <c r="A13" s="48" t="n">
        <v>1975</v>
      </c>
      <c r="B13" s="55" t="n">
        <v>8.681382179260254</v>
      </c>
      <c r="C13" s="55" t="n">
        <v>8.960335731506348</v>
      </c>
      <c r="D13" s="51" t="n">
        <v>16.494364</v>
      </c>
      <c r="E13" s="55" t="inlineStr"/>
      <c r="F13" s="55" t="inlineStr"/>
      <c r="G13" s="55" t="inlineStr"/>
    </row>
    <row r="14">
      <c r="A14" s="48" t="n">
        <v>1976</v>
      </c>
      <c r="B14" s="55" t="n">
        <v>8.847476005554199</v>
      </c>
      <c r="C14" s="55" t="n">
        <v>9.399592399597168</v>
      </c>
      <c r="D14" s="51" t="n">
        <v>11.070775</v>
      </c>
      <c r="E14" s="55" t="inlineStr"/>
      <c r="F14" s="55" t="inlineStr"/>
      <c r="G14" s="55" t="inlineStr"/>
    </row>
    <row r="15">
      <c r="A15" s="48" t="n">
        <v>1977</v>
      </c>
      <c r="B15" s="55" t="n">
        <v>8.826805114746094</v>
      </c>
      <c r="C15" s="55" t="n">
        <v>7.353257656097412</v>
      </c>
      <c r="D15" s="51" t="n">
        <v>5.456316</v>
      </c>
      <c r="E15" s="55" t="inlineStr"/>
      <c r="F15" s="55" t="inlineStr"/>
      <c r="G15" s="55" t="inlineStr"/>
    </row>
    <row r="16">
      <c r="A16" s="48" t="n">
        <v>1978</v>
      </c>
      <c r="B16" s="55" t="n">
        <v>8.847024917602539</v>
      </c>
      <c r="C16" s="55" t="n">
        <v>9.005796432495117</v>
      </c>
      <c r="D16" s="51" t="n">
        <v>15.12154</v>
      </c>
      <c r="E16" s="55" t="inlineStr"/>
      <c r="F16" s="55" t="inlineStr"/>
      <c r="G16" s="55" t="inlineStr"/>
    </row>
    <row r="17">
      <c r="A17" s="48" t="n">
        <v>1979</v>
      </c>
      <c r="B17" s="55" t="n">
        <v>8.750148773193359</v>
      </c>
      <c r="C17" s="55" t="n">
        <v>8.108816146850586</v>
      </c>
      <c r="D17" s="51" t="n">
        <v>17.384185</v>
      </c>
      <c r="E17" s="55" t="inlineStr"/>
      <c r="F17" s="55" t="inlineStr"/>
      <c r="G17" s="55" t="inlineStr"/>
    </row>
    <row r="18">
      <c r="A18" s="48" t="n">
        <v>1980</v>
      </c>
      <c r="B18" s="55" t="n">
        <v>9.069104194641113</v>
      </c>
      <c r="C18" s="55" t="n">
        <v>11.32858562469482</v>
      </c>
      <c r="D18" s="51" t="n">
        <v>17.395909</v>
      </c>
      <c r="E18" s="55" t="inlineStr"/>
      <c r="F18" s="55" t="inlineStr"/>
      <c r="G18" s="55" t="inlineStr"/>
    </row>
    <row r="19">
      <c r="A19" s="48" t="n">
        <v>1981</v>
      </c>
      <c r="B19" s="55" t="n">
        <v>8.928084373474121</v>
      </c>
      <c r="C19" s="55" t="n">
        <v>7.848111152648926</v>
      </c>
      <c r="D19" s="51" t="n">
        <v>8.956329</v>
      </c>
      <c r="E19" s="55" t="inlineStr"/>
      <c r="F19" s="55" t="inlineStr"/>
      <c r="G19" s="55" t="inlineStr"/>
    </row>
    <row r="20">
      <c r="A20" s="48" t="n">
        <v>1982</v>
      </c>
      <c r="B20" s="55" t="n">
        <v>8.895256996154785</v>
      </c>
      <c r="C20" s="55" t="n">
        <v>9.016547203063965</v>
      </c>
      <c r="D20" s="51" t="n">
        <v>17.266265</v>
      </c>
      <c r="E20" s="55" t="inlineStr"/>
      <c r="F20" s="55" t="inlineStr"/>
      <c r="G20" s="55" t="inlineStr"/>
    </row>
    <row r="21">
      <c r="A21" s="48" t="n">
        <v>1983</v>
      </c>
      <c r="B21" s="55" t="n">
        <v>9.909139633178711</v>
      </c>
      <c r="C21" s="55" t="n">
        <v>19.18292427062988</v>
      </c>
      <c r="D21" s="51" t="n">
        <v>23.570803</v>
      </c>
      <c r="E21" s="55" t="inlineStr"/>
      <c r="F21" s="55" t="inlineStr"/>
      <c r="G21" s="55" t="inlineStr"/>
    </row>
    <row r="22">
      <c r="A22" s="48" t="n">
        <v>1984</v>
      </c>
      <c r="B22" s="55" t="n">
        <v>11.05778789520264</v>
      </c>
      <c r="C22" s="55" t="n">
        <v>20.3739128112793</v>
      </c>
      <c r="D22" s="51" t="n">
        <v>24.352649</v>
      </c>
      <c r="E22" s="55" t="inlineStr"/>
      <c r="F22" s="55" t="inlineStr"/>
      <c r="G22" s="55" t="inlineStr"/>
    </row>
    <row r="23">
      <c r="A23" s="48" t="n">
        <v>1985</v>
      </c>
      <c r="B23" s="55" t="n">
        <v>11.85049247741699</v>
      </c>
      <c r="C23" s="55" t="n">
        <v>16.88738822937012</v>
      </c>
      <c r="D23" s="51" t="n">
        <v>21.039546</v>
      </c>
      <c r="E23" s="55" t="inlineStr"/>
      <c r="F23" s="55" t="inlineStr"/>
      <c r="G23" s="55" t="inlineStr"/>
    </row>
    <row r="24">
      <c r="A24" s="48" t="n">
        <v>1986</v>
      </c>
      <c r="B24" s="55" t="n">
        <v>12.77974891662598</v>
      </c>
      <c r="C24" s="55" t="n">
        <v>18.692138671875</v>
      </c>
      <c r="D24" s="51" t="n">
        <v>22.982503</v>
      </c>
      <c r="E24" s="55" t="inlineStr"/>
      <c r="F24" s="55" t="inlineStr"/>
      <c r="G24" s="55" t="inlineStr"/>
    </row>
    <row r="25">
      <c r="A25" s="48" t="n">
        <v>1987</v>
      </c>
      <c r="B25" s="55" t="n">
        <v>13.19587707519531</v>
      </c>
      <c r="C25" s="55" t="n">
        <v>11.51453495025635</v>
      </c>
      <c r="D25" s="51" t="n">
        <v>15.343159</v>
      </c>
      <c r="E25" s="55" t="inlineStr"/>
      <c r="F25" s="55" t="inlineStr"/>
      <c r="G25" s="55" t="inlineStr"/>
    </row>
    <row r="26">
      <c r="A26" s="48" t="n">
        <v>1988</v>
      </c>
      <c r="B26" s="55" t="n">
        <v>13.08012390136719</v>
      </c>
      <c r="C26" s="55" t="n">
        <v>7.848269462585449</v>
      </c>
      <c r="D26" s="51" t="n">
        <v>11.210331</v>
      </c>
      <c r="E26" s="55" t="inlineStr"/>
      <c r="F26" s="55" t="inlineStr"/>
      <c r="G26" s="55" t="inlineStr"/>
    </row>
    <row r="27">
      <c r="A27" s="48" t="n">
        <v>1989</v>
      </c>
      <c r="B27" s="55" t="n">
        <v>13.07095336914062</v>
      </c>
      <c r="C27" s="55" t="n">
        <v>8.017121315002441</v>
      </c>
      <c r="D27" s="51" t="n">
        <v>9.511025999999999</v>
      </c>
      <c r="E27" s="55" t="inlineStr"/>
      <c r="F27" s="55" t="inlineStr"/>
      <c r="G27" s="55" t="inlineStr"/>
    </row>
    <row r="28">
      <c r="A28" s="48" t="n">
        <v>1990</v>
      </c>
      <c r="B28" s="55" t="n">
        <v>12.72821521759033</v>
      </c>
      <c r="C28" s="55" t="n">
        <v>7.90120792388916</v>
      </c>
      <c r="D28" s="51" t="n">
        <v>9.373480000000001</v>
      </c>
      <c r="E28" s="55" t="inlineStr"/>
      <c r="F28" s="55" t="inlineStr"/>
      <c r="G28" s="55" t="inlineStr"/>
    </row>
    <row r="29">
      <c r="A29" s="48" t="n">
        <v>1991</v>
      </c>
      <c r="B29" s="55" t="n">
        <v>12.78181743621826</v>
      </c>
      <c r="C29" s="55" t="n">
        <v>8.384140968322754</v>
      </c>
      <c r="D29" s="51" t="n">
        <v>12.330508</v>
      </c>
      <c r="E29" s="55" t="inlineStr"/>
      <c r="F29" s="55" t="inlineStr"/>
      <c r="G29" s="55" t="inlineStr"/>
    </row>
    <row r="30">
      <c r="A30" s="48" t="n">
        <v>1992</v>
      </c>
      <c r="B30" s="55" t="n">
        <v>12.68053913116455</v>
      </c>
      <c r="C30" s="55" t="n">
        <v>8.003752708435059</v>
      </c>
      <c r="D30" s="51" t="n">
        <v>10.956884</v>
      </c>
      <c r="E30" s="55" t="inlineStr"/>
      <c r="F30" s="55" t="inlineStr"/>
      <c r="G30" s="55" t="inlineStr"/>
    </row>
    <row r="31">
      <c r="A31" s="48" t="n">
        <v>1993</v>
      </c>
      <c r="B31" s="55" t="n">
        <v>11.58687877655029</v>
      </c>
      <c r="C31" s="55" t="n">
        <v>8.246330261230469</v>
      </c>
      <c r="D31" s="51" t="n">
        <v>18.824576</v>
      </c>
      <c r="E31" s="55" t="inlineStr"/>
      <c r="F31" s="55" t="inlineStr"/>
      <c r="G31" s="55" t="inlineStr"/>
    </row>
    <row r="32">
      <c r="A32" s="48" t="n">
        <v>1994</v>
      </c>
      <c r="B32" s="55" t="n">
        <v>10.35268974304199</v>
      </c>
      <c r="C32" s="55" t="n">
        <v>8.032016754150391</v>
      </c>
      <c r="D32" s="51" t="n">
        <v>10.616817</v>
      </c>
      <c r="E32" s="55" t="inlineStr"/>
      <c r="F32" s="55" t="inlineStr"/>
      <c r="G32" s="55" t="inlineStr"/>
    </row>
    <row r="33">
      <c r="A33" s="48" t="n">
        <v>1995</v>
      </c>
      <c r="B33" s="55" t="n">
        <v>9.684470176696777</v>
      </c>
      <c r="C33" s="55" t="n">
        <v>10.2051944732666</v>
      </c>
      <c r="D33" s="51" t="n">
        <v>19.92173</v>
      </c>
      <c r="E33" s="55" t="inlineStr"/>
      <c r="F33" s="55" t="inlineStr"/>
      <c r="G33" s="55" t="inlineStr"/>
    </row>
    <row r="34">
      <c r="A34" s="48" t="n">
        <v>1996</v>
      </c>
      <c r="B34" s="55" t="n">
        <v>8.921266555786133</v>
      </c>
      <c r="C34" s="55" t="n">
        <v>11.0601053237915</v>
      </c>
      <c r="D34" s="51" t="n">
        <v>14.228045</v>
      </c>
      <c r="E34" s="55" t="inlineStr"/>
      <c r="F34" s="55" t="inlineStr"/>
      <c r="G34" s="55" t="inlineStr"/>
    </row>
    <row r="35">
      <c r="A35" s="48" t="n">
        <v>1997</v>
      </c>
      <c r="B35" s="55" t="n">
        <v>9.297266960144043</v>
      </c>
      <c r="C35" s="55" t="n">
        <v>15.27453804016113</v>
      </c>
      <c r="D35" s="51" t="n">
        <v>21.655579</v>
      </c>
      <c r="E35" s="55" t="inlineStr"/>
      <c r="F35" s="55" t="inlineStr"/>
      <c r="G35" s="55" t="inlineStr"/>
    </row>
    <row r="36">
      <c r="A36" s="48" t="n">
        <v>1998</v>
      </c>
      <c r="B36" s="55" t="n">
        <v>9.757685661315918</v>
      </c>
      <c r="C36" s="55" t="n">
        <v>12.45245265960693</v>
      </c>
      <c r="D36" s="51" t="n">
        <v>16.694927</v>
      </c>
      <c r="E36" s="55" t="inlineStr"/>
      <c r="F36" s="55" t="inlineStr"/>
      <c r="G36" s="55" t="inlineStr"/>
    </row>
    <row r="37">
      <c r="A37" s="48" t="n">
        <v>1999</v>
      </c>
      <c r="B37" s="55" t="n">
        <v>10.14341163635254</v>
      </c>
      <c r="C37" s="55" t="n">
        <v>11.87437438964844</v>
      </c>
      <c r="D37" s="51" t="n">
        <v>15.865208</v>
      </c>
      <c r="E37" s="55" t="inlineStr"/>
      <c r="F37" s="55" t="inlineStr"/>
      <c r="G37" s="55" t="inlineStr"/>
    </row>
    <row r="38">
      <c r="A38" s="48" t="n">
        <v>2000</v>
      </c>
      <c r="B38" s="55" t="n">
        <v>10.21885204315186</v>
      </c>
      <c r="C38" s="55" t="n">
        <v>8.655616760253906</v>
      </c>
      <c r="D38" s="51" t="n">
        <v>10.551961</v>
      </c>
      <c r="E38" s="55" t="inlineStr"/>
      <c r="F38" s="55" t="inlineStr"/>
      <c r="G38" s="55" t="inlineStr"/>
    </row>
    <row r="39">
      <c r="A39" s="48" t="n">
        <v>2001</v>
      </c>
      <c r="B39" s="55" t="n">
        <v>10.18950748443604</v>
      </c>
      <c r="C39" s="55" t="n">
        <v>8.09068775177002</v>
      </c>
      <c r="D39" s="51" t="n">
        <v>10.736502</v>
      </c>
      <c r="E39" s="55" t="inlineStr"/>
      <c r="F39" s="55" t="inlineStr"/>
      <c r="G39" s="55" t="inlineStr"/>
    </row>
    <row r="40">
      <c r="A40" s="48" t="n">
        <v>2002</v>
      </c>
      <c r="B40" s="55" t="n">
        <v>10.18031406402588</v>
      </c>
      <c r="C40" s="55" t="n">
        <v>7.911819458007812</v>
      </c>
      <c r="D40" s="51" t="n">
        <v>6.088144</v>
      </c>
      <c r="E40" s="55" t="inlineStr"/>
      <c r="F40" s="55" t="inlineStr"/>
      <c r="G40" s="55" t="inlineStr"/>
    </row>
    <row r="41">
      <c r="A41" s="48" t="n">
        <v>2003</v>
      </c>
      <c r="B41" s="55" t="n">
        <v>10.1922025680542</v>
      </c>
      <c r="C41" s="55" t="n">
        <v>8.365218162536621</v>
      </c>
      <c r="D41" s="51" t="n">
        <v>10.631983</v>
      </c>
      <c r="E41" s="55" t="inlineStr"/>
      <c r="F41" s="55" t="inlineStr"/>
      <c r="G41" s="55" t="inlineStr"/>
    </row>
    <row r="42">
      <c r="A42" s="48" t="n">
        <v>2004</v>
      </c>
      <c r="B42" s="55" t="n">
        <v>10.24483203887939</v>
      </c>
      <c r="C42" s="55" t="n">
        <v>8.558307647705078</v>
      </c>
      <c r="D42" s="51" t="n">
        <v>10.073292</v>
      </c>
      <c r="E42" s="55" t="inlineStr"/>
      <c r="F42" s="55" t="inlineStr"/>
      <c r="G42" s="55" t="inlineStr"/>
    </row>
    <row r="43">
      <c r="A43" s="48" t="n">
        <v>2005</v>
      </c>
      <c r="B43" s="55" t="n">
        <v>10.06734561920166</v>
      </c>
      <c r="C43" s="55" t="n">
        <v>8.43033504486084</v>
      </c>
      <c r="D43" s="51" t="n">
        <v>16.892824</v>
      </c>
      <c r="E43" s="55" t="inlineStr"/>
      <c r="F43" s="55" t="inlineStr"/>
      <c r="G43" s="55" t="inlineStr"/>
    </row>
    <row r="44">
      <c r="A44" s="48" t="n">
        <v>2006</v>
      </c>
      <c r="B44" s="55" t="n">
        <v>9.82901668548584</v>
      </c>
      <c r="C44" s="55" t="n">
        <v>8.676819801330566</v>
      </c>
      <c r="D44" s="51" t="n">
        <v>13.50305</v>
      </c>
      <c r="E44" s="55" t="inlineStr"/>
      <c r="F44" s="55" t="inlineStr"/>
      <c r="G44" s="55" t="inlineStr"/>
    </row>
    <row r="45">
      <c r="A45" s="48" t="n">
        <v>2007</v>
      </c>
      <c r="B45" s="55" t="n">
        <v>9.13813591003418</v>
      </c>
      <c r="C45" s="55" t="n">
        <v>8.365734100341797</v>
      </c>
      <c r="D45" s="51" t="n">
        <v>11.453444</v>
      </c>
      <c r="E45" s="55" t="inlineStr"/>
      <c r="F45" s="55" t="inlineStr"/>
      <c r="G45" s="55" t="inlineStr"/>
    </row>
    <row r="46">
      <c r="A46" s="48" t="n">
        <v>2008</v>
      </c>
      <c r="B46" s="55" t="n">
        <v>8.82429313659668</v>
      </c>
      <c r="C46" s="55" t="n">
        <v>9.31402587890625</v>
      </c>
      <c r="D46" s="51" t="n">
        <v>16.003489</v>
      </c>
      <c r="E46" s="55" t="inlineStr"/>
      <c r="F46" s="55" t="inlineStr"/>
      <c r="G46" s="55" t="inlineStr"/>
    </row>
    <row r="47">
      <c r="A47" s="48" t="n">
        <v>2009</v>
      </c>
      <c r="B47" s="55" t="n">
        <v>8.483368873596191</v>
      </c>
      <c r="C47" s="55" t="n">
        <v>8.46512508392334</v>
      </c>
      <c r="D47" s="51" t="n">
        <v>14.089934</v>
      </c>
      <c r="E47" s="55" t="inlineStr"/>
      <c r="F47" s="55" t="inlineStr"/>
      <c r="G47" s="55" t="inlineStr"/>
    </row>
    <row r="48">
      <c r="A48" s="48" t="n">
        <v>2010</v>
      </c>
      <c r="B48" s="55" t="n">
        <v>8.452951431274414</v>
      </c>
      <c r="C48" s="55" t="n">
        <v>8.351433753967285</v>
      </c>
      <c r="D48" s="51" t="n">
        <v>12.708978</v>
      </c>
      <c r="E48" s="55" t="inlineStr"/>
      <c r="F48" s="55" t="inlineStr"/>
      <c r="G48" s="55" t="inlineStr"/>
    </row>
    <row r="49">
      <c r="A49" s="48" t="n">
        <v>2011</v>
      </c>
      <c r="B49" s="55" t="n">
        <v>9.028514862060547</v>
      </c>
      <c r="C49" s="55" t="n">
        <v>13.84632873535156</v>
      </c>
      <c r="D49" s="51" t="n">
        <v>20.255836</v>
      </c>
      <c r="E49" s="55" t="inlineStr"/>
      <c r="F49" s="55" t="inlineStr"/>
      <c r="G49" s="55" t="inlineStr"/>
    </row>
    <row r="50">
      <c r="A50" s="48" t="n">
        <v>2012</v>
      </c>
      <c r="B50" s="55" t="n">
        <v>9.062180519104004</v>
      </c>
      <c r="C50" s="55" t="n">
        <v>8.248472213745117</v>
      </c>
      <c r="D50" s="51" t="n">
        <v>7.894615</v>
      </c>
      <c r="E50" s="55" t="inlineStr"/>
      <c r="F50" s="55" t="inlineStr"/>
      <c r="G50" s="55" t="inlineStr"/>
    </row>
    <row r="51">
      <c r="A51" s="48" t="n">
        <v>2013</v>
      </c>
      <c r="B51" s="55" t="n">
        <v>9.026281356811523</v>
      </c>
      <c r="C51" s="55" t="n">
        <v>8.006232261657715</v>
      </c>
      <c r="D51" s="51" t="n">
        <v>9.727034</v>
      </c>
      <c r="E51" s="55" t="inlineStr"/>
      <c r="F51" s="55" t="inlineStr"/>
      <c r="G51" s="55" t="inlineStr"/>
    </row>
    <row r="52">
      <c r="A52" s="48" t="n">
        <v>2014</v>
      </c>
      <c r="B52" s="55" t="n">
        <v>8.977139472961426</v>
      </c>
      <c r="C52" s="55" t="n">
        <v>8.066886901855469</v>
      </c>
      <c r="D52" s="51" t="n">
        <v>14.246422</v>
      </c>
      <c r="E52" s="55" t="inlineStr"/>
      <c r="F52" s="55" t="inlineStr"/>
      <c r="G52" s="55" t="inlineStr"/>
    </row>
    <row r="53">
      <c r="A53" s="48" t="n">
        <v>2015</v>
      </c>
      <c r="B53" s="55" t="n">
        <v>9.025979995727539</v>
      </c>
      <c r="C53" s="55" t="n">
        <v>8.918742179870605</v>
      </c>
      <c r="D53" s="51" t="n">
        <v>13.016508</v>
      </c>
      <c r="E53" s="55" t="inlineStr"/>
      <c r="F53" s="55" t="inlineStr"/>
      <c r="G53" s="55" t="inlineStr"/>
    </row>
    <row r="54">
      <c r="A54" s="48" t="n">
        <v>2016</v>
      </c>
      <c r="B54" s="55" t="n">
        <v>9.092201232910156</v>
      </c>
      <c r="C54" s="55" t="n">
        <v>9.33903694152832</v>
      </c>
      <c r="D54" s="51" t="n">
        <v>13.418884</v>
      </c>
      <c r="E54" s="55" t="inlineStr"/>
      <c r="F54" s="55" t="inlineStr"/>
      <c r="G54" s="55" t="inlineStr"/>
    </row>
    <row r="55">
      <c r="A55" s="48" t="n">
        <v>2017</v>
      </c>
      <c r="B55" s="55" t="n">
        <v>9.141752243041992</v>
      </c>
      <c r="C55" s="55" t="n">
        <v>8.861242294311523</v>
      </c>
      <c r="D55" s="51" t="n">
        <v>16.295678</v>
      </c>
      <c r="E55" s="55" t="inlineStr"/>
      <c r="F55" s="55" t="inlineStr"/>
      <c r="G55" s="55" t="inlineStr"/>
    </row>
    <row r="56">
      <c r="A56" s="48" t="n">
        <v>2018</v>
      </c>
      <c r="B56" s="55" t="n">
        <v>9.133803367614746</v>
      </c>
      <c r="C56" s="55" t="n">
        <v>9.234528541564941</v>
      </c>
      <c r="D56" s="51" t="n">
        <v>8.440932</v>
      </c>
      <c r="E56" s="55" t="inlineStr"/>
      <c r="F56" s="55" t="inlineStr"/>
      <c r="G56" s="55" t="inlineStr"/>
    </row>
    <row r="57">
      <c r="A57" s="48" t="n">
        <v>2019</v>
      </c>
      <c r="B57" s="55" t="n">
        <v>9.207034111022949</v>
      </c>
      <c r="C57" s="55" t="n">
        <v>9.19743824005127</v>
      </c>
      <c r="D57" s="51" t="n">
        <v>17.721368</v>
      </c>
      <c r="E57" s="55" t="inlineStr"/>
      <c r="F57" s="55" t="inlineStr"/>
      <c r="G57" s="55" t="inlineStr"/>
    </row>
    <row r="58">
      <c r="A58" s="48" t="n">
        <v>2020</v>
      </c>
      <c r="B58" s="55" t="n">
        <v>9.215779304504395</v>
      </c>
      <c r="C58" s="55" t="n">
        <v>8.438883781433105</v>
      </c>
      <c r="D58" s="51" t="n">
        <v>9.557982000000001</v>
      </c>
      <c r="E58" s="55" t="inlineStr"/>
      <c r="F58" s="55" t="inlineStr"/>
      <c r="G58" s="55" t="inlineStr"/>
    </row>
    <row r="59">
      <c r="A59" s="48" t="n">
        <v>2021</v>
      </c>
      <c r="B59" s="55" t="n">
        <v>8.61418342590332</v>
      </c>
      <c r="C59" s="55" t="n">
        <v>7.830379009246826</v>
      </c>
      <c r="D59" s="51" t="n">
        <v>7.818</v>
      </c>
      <c r="E59" s="55" t="inlineStr"/>
      <c r="F59" s="55" t="inlineStr"/>
      <c r="G59" s="55" t="inlineStr"/>
    </row>
    <row r="60">
      <c r="A60" s="48" t="n">
        <v>2022</v>
      </c>
      <c r="B60" s="55" t="n">
        <v>8.493558883666992</v>
      </c>
      <c r="C60" s="55" t="n">
        <v>7.042211532592773</v>
      </c>
      <c r="D60" s="51" t="n">
        <v>10.11</v>
      </c>
      <c r="E60" s="55" t="inlineStr"/>
      <c r="F60" s="55" t="inlineStr"/>
      <c r="G60" s="55" t="inlineStr"/>
    </row>
    <row r="61">
      <c r="A61" s="48" t="n">
        <v>2023</v>
      </c>
      <c r="B61" s="55" t="n">
        <v>8.569911956787109</v>
      </c>
      <c r="C61" s="55" t="n">
        <v>8.76976490020752</v>
      </c>
      <c r="D61" s="51" t="n">
        <v>17.389</v>
      </c>
      <c r="E61" s="55" t="inlineStr"/>
      <c r="F61" s="55" t="inlineStr"/>
      <c r="G61" s="55" t="inlineStr"/>
    </row>
    <row r="62">
      <c r="A62" s="48" t="n">
        <v>2024</v>
      </c>
      <c r="B62" s="55" t="n">
        <v>8.514723777770996</v>
      </c>
      <c r="C62" s="55" t="n">
        <v>7.515008926391602</v>
      </c>
      <c r="D62" s="51" t="n">
        <v>12.132</v>
      </c>
      <c r="E62" s="55" t="inlineStr"/>
      <c r="F62" s="55" t="inlineStr"/>
      <c r="G62" s="55" t="inlineStr"/>
    </row>
    <row r="63">
      <c r="A63" s="48" t="n">
        <v>2025</v>
      </c>
      <c r="B63" s="55" t="n">
        <v>8.364617347717285</v>
      </c>
      <c r="C63" s="55" t="n">
        <v>7.417680263519287</v>
      </c>
      <c r="D63" s="51" t="inlineStr"/>
      <c r="E63" s="55" t="inlineStr"/>
      <c r="F63" s="55" t="inlineStr"/>
      <c r="G63" s="55" t="inlineStr"/>
    </row>
    <row r="64">
      <c r="A64" s="47" t="n"/>
      <c r="B64" s="47" t="n"/>
      <c r="C64" s="47" t="n"/>
      <c r="D64" s="47" t="n"/>
      <c r="E64" s="47" t="n"/>
      <c r="F64" s="47" t="n"/>
      <c r="G64" s="4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 ht="25" customHeight="1">
      <c r="A1" s="1" t="inlineStr">
        <is>
          <t>Year</t>
        </is>
      </c>
      <c r="B1" s="2" t="inlineStr">
        <is>
          <t>CA Total CUL</t>
        </is>
      </c>
      <c r="C1" s="2" t="inlineStr">
        <is>
          <t>CA Agriculture CUL</t>
        </is>
      </c>
      <c r="D1" s="2" t="inlineStr">
        <is>
          <t>CA M I Other CUL</t>
        </is>
      </c>
      <c r="E1" s="2" t="inlineStr">
        <is>
          <t>CA Outside System CUL</t>
        </is>
      </c>
      <c r="F1" s="2" t="inlineStr">
        <is>
          <t>AZ Total CUL</t>
        </is>
      </c>
      <c r="G1" s="2" t="inlineStr">
        <is>
          <t>AZ Agriculture CUL</t>
        </is>
      </c>
      <c r="H1" s="2" t="inlineStr">
        <is>
          <t>AZ M I Other CUL</t>
        </is>
      </c>
      <c r="I1" s="2" t="inlineStr">
        <is>
          <t>AZ Power CUL</t>
        </is>
      </c>
      <c r="J1" s="2" t="inlineStr">
        <is>
          <t xml:space="preserve">AZ Within SystemCUL </t>
        </is>
      </c>
      <c r="K1" s="2" t="inlineStr">
        <is>
          <t>NV Total CUL</t>
        </is>
      </c>
      <c r="L1" s="2" t="inlineStr">
        <is>
          <t>NV Agriculture CUL</t>
        </is>
      </c>
      <c r="M1" s="2" t="inlineStr">
        <is>
          <t>NV M I Other CUL</t>
        </is>
      </c>
      <c r="N1" s="3" t="inlineStr">
        <is>
          <t>NV Power CUL</t>
        </is>
      </c>
    </row>
    <row r="2">
      <c r="A2" s="4" t="n">
        <v>1971</v>
      </c>
      <c r="B2" s="56">
        <f>SUM(C2:E2)</f>
        <v/>
      </c>
      <c r="C2" s="56" t="n">
        <v>477647</v>
      </c>
      <c r="D2" s="56" t="n">
        <v>4535</v>
      </c>
      <c r="E2" s="56" t="n">
        <v>4650590</v>
      </c>
      <c r="F2" s="56">
        <f>SUM(G2:J2)</f>
        <v/>
      </c>
      <c r="G2" s="56" t="n">
        <v>1169730</v>
      </c>
      <c r="H2" s="56" t="n">
        <v>14323</v>
      </c>
      <c r="I2" s="56" t="n">
        <v>0</v>
      </c>
      <c r="J2" s="56" t="n">
        <v>0</v>
      </c>
      <c r="K2" s="56">
        <f>SUM(L2:N2)</f>
        <v/>
      </c>
      <c r="L2" s="56" t="n">
        <v>0</v>
      </c>
      <c r="M2" s="56" t="n">
        <v>45092</v>
      </c>
      <c r="N2" s="57" t="n">
        <v>5446</v>
      </c>
    </row>
    <row r="3">
      <c r="A3" s="4" t="n">
        <v>1972</v>
      </c>
      <c r="B3" s="56">
        <f>SUM(C3:E3)</f>
        <v/>
      </c>
      <c r="C3" s="56" t="n">
        <v>456036</v>
      </c>
      <c r="D3" s="56" t="n">
        <v>4539</v>
      </c>
      <c r="E3" s="56" t="n">
        <v>4689386</v>
      </c>
      <c r="F3" s="56">
        <f>SUM(G3:J3)</f>
        <v/>
      </c>
      <c r="G3" s="56" t="n">
        <v>1072720</v>
      </c>
      <c r="H3" s="56" t="n">
        <v>16452</v>
      </c>
      <c r="I3" s="56" t="n">
        <v>0</v>
      </c>
      <c r="J3" s="56" t="n">
        <v>0</v>
      </c>
      <c r="K3" s="56">
        <f>SUM(L3:N3)</f>
        <v/>
      </c>
      <c r="L3" s="56" t="n">
        <v>0</v>
      </c>
      <c r="M3" s="56" t="n">
        <v>69816</v>
      </c>
      <c r="N3" s="57" t="n">
        <v>11169</v>
      </c>
    </row>
    <row r="4">
      <c r="A4" s="4" t="n">
        <v>1973</v>
      </c>
      <c r="B4" s="56">
        <f>SUM(C4:E4)</f>
        <v/>
      </c>
      <c r="C4" s="56" t="n">
        <v>485593</v>
      </c>
      <c r="D4" s="56" t="n">
        <v>4702</v>
      </c>
      <c r="E4" s="56" t="n">
        <v>4740395</v>
      </c>
      <c r="F4" s="56">
        <f>SUM(G4:J4)</f>
        <v/>
      </c>
      <c r="G4" s="56" t="n">
        <v>1126177</v>
      </c>
      <c r="H4" s="56" t="n">
        <v>16222</v>
      </c>
      <c r="I4" s="56" t="n">
        <v>0</v>
      </c>
      <c r="J4" s="56" t="n">
        <v>0</v>
      </c>
      <c r="K4" s="56">
        <f>SUM(L4:N4)</f>
        <v/>
      </c>
      <c r="L4" s="56" t="n">
        <v>6</v>
      </c>
      <c r="M4" s="56" t="n">
        <v>80376</v>
      </c>
      <c r="N4" s="57" t="n">
        <v>12187</v>
      </c>
    </row>
    <row r="5">
      <c r="A5" s="4" t="n">
        <v>1974</v>
      </c>
      <c r="B5" s="56">
        <f>SUM(C5:E5)</f>
        <v/>
      </c>
      <c r="C5" s="56" t="n">
        <v>472003</v>
      </c>
      <c r="D5" s="56" t="n">
        <v>4427</v>
      </c>
      <c r="E5" s="56" t="n">
        <v>4852629</v>
      </c>
      <c r="F5" s="56">
        <f>SUM(G5:J5)</f>
        <v/>
      </c>
      <c r="G5" s="56" t="n">
        <v>1181289</v>
      </c>
      <c r="H5" s="56" t="n">
        <v>17559</v>
      </c>
      <c r="I5" s="56" t="n">
        <v>0</v>
      </c>
      <c r="J5" s="56" t="n">
        <v>0</v>
      </c>
      <c r="K5" s="56">
        <f>SUM(L5:N5)</f>
        <v/>
      </c>
      <c r="L5" s="56" t="n">
        <v>38</v>
      </c>
      <c r="M5" s="56" t="n">
        <v>81367</v>
      </c>
      <c r="N5" s="57" t="n">
        <v>13440</v>
      </c>
    </row>
    <row r="6">
      <c r="A6" s="4" t="n">
        <v>1975</v>
      </c>
      <c r="B6" s="56">
        <f>SUM(C6:E6)</f>
        <v/>
      </c>
      <c r="C6" s="56" t="n">
        <v>469329</v>
      </c>
      <c r="D6" s="56" t="n">
        <v>4481</v>
      </c>
      <c r="E6" s="56" t="n">
        <v>4420456</v>
      </c>
      <c r="F6" s="56">
        <f>SUM(G6:J6)</f>
        <v/>
      </c>
      <c r="G6" s="56" t="n">
        <v>1217125</v>
      </c>
      <c r="H6" s="56" t="n">
        <v>12653</v>
      </c>
      <c r="I6" s="56" t="n">
        <v>0</v>
      </c>
      <c r="J6" s="56" t="n">
        <v>0</v>
      </c>
      <c r="K6" s="56">
        <f>SUM(L6:N6)</f>
        <v/>
      </c>
      <c r="L6" s="56" t="n">
        <v>6</v>
      </c>
      <c r="M6" s="56" t="n">
        <v>86783</v>
      </c>
      <c r="N6" s="57" t="n">
        <v>14422</v>
      </c>
    </row>
    <row r="7">
      <c r="A7" s="4" t="n">
        <v>1976</v>
      </c>
      <c r="B7" s="56">
        <f>SUM(C7:E7)</f>
        <v/>
      </c>
      <c r="C7" s="56" t="n">
        <v>419274</v>
      </c>
      <c r="D7" s="56" t="n">
        <v>4296</v>
      </c>
      <c r="E7" s="56" t="n">
        <v>4192642</v>
      </c>
      <c r="F7" s="56">
        <f>SUM(G7:J7)</f>
        <v/>
      </c>
      <c r="G7" s="56" t="n">
        <v>1112531</v>
      </c>
      <c r="H7" s="56" t="n">
        <v>12318</v>
      </c>
      <c r="I7" s="56" t="n">
        <v>0</v>
      </c>
      <c r="J7" s="56" t="n">
        <v>0</v>
      </c>
      <c r="K7" s="56">
        <f>SUM(L7:N7)</f>
        <v/>
      </c>
      <c r="L7" s="56" t="n">
        <v>4</v>
      </c>
      <c r="M7" s="56" t="n">
        <v>58401</v>
      </c>
      <c r="N7" s="57" t="n">
        <v>14709</v>
      </c>
    </row>
    <row r="8">
      <c r="A8" s="4" t="n">
        <v>1977</v>
      </c>
      <c r="B8" s="56">
        <f>SUM(C8:E8)</f>
        <v/>
      </c>
      <c r="C8" s="56" t="n">
        <v>449215</v>
      </c>
      <c r="D8" s="56" t="n">
        <v>4551</v>
      </c>
      <c r="E8" s="56" t="n">
        <v>4557588</v>
      </c>
      <c r="F8" s="56">
        <f>SUM(G8:J8)</f>
        <v/>
      </c>
      <c r="G8" s="56" t="n">
        <v>1091183</v>
      </c>
      <c r="H8" s="56" t="n">
        <v>14245</v>
      </c>
      <c r="I8" s="56" t="n">
        <v>0</v>
      </c>
      <c r="J8" s="56" t="n">
        <v>0</v>
      </c>
      <c r="K8" s="56">
        <f>SUM(L8:N8)</f>
        <v/>
      </c>
      <c r="L8" s="56" t="n">
        <v>5</v>
      </c>
      <c r="M8" s="56" t="n">
        <v>58777</v>
      </c>
      <c r="N8" s="57" t="n">
        <v>14327</v>
      </c>
    </row>
    <row r="9">
      <c r="A9" s="4" t="n">
        <v>1978</v>
      </c>
      <c r="B9" s="56">
        <f>SUM(C9:E9)</f>
        <v/>
      </c>
      <c r="C9" s="56" t="n">
        <v>438979</v>
      </c>
      <c r="D9" s="56" t="n">
        <v>3846</v>
      </c>
      <c r="E9" s="56" t="n">
        <v>3976549</v>
      </c>
      <c r="F9" s="56">
        <f>SUM(G9:J9)</f>
        <v/>
      </c>
      <c r="G9" s="56" t="n">
        <v>1099528</v>
      </c>
      <c r="H9" s="56" t="n">
        <v>15530</v>
      </c>
      <c r="I9" s="56" t="n">
        <v>0</v>
      </c>
      <c r="J9" s="56" t="n">
        <v>0</v>
      </c>
      <c r="K9" s="56">
        <f>SUM(L9:N9)</f>
        <v/>
      </c>
      <c r="L9" s="56" t="n">
        <v>6</v>
      </c>
      <c r="M9" s="56" t="n">
        <v>62168</v>
      </c>
      <c r="N9" s="57" t="n">
        <v>9053</v>
      </c>
    </row>
    <row r="10">
      <c r="A10" s="4" t="n">
        <v>1979</v>
      </c>
      <c r="B10" s="56">
        <f>SUM(C10:E10)</f>
        <v/>
      </c>
      <c r="C10" s="56" t="n">
        <v>476865</v>
      </c>
      <c r="D10" s="56" t="n">
        <v>1982</v>
      </c>
      <c r="E10" s="56" t="n">
        <v>4223725</v>
      </c>
      <c r="F10" s="56">
        <f>SUM(G10:J10)</f>
        <v/>
      </c>
      <c r="G10" s="56" t="n">
        <v>1006709</v>
      </c>
      <c r="H10" s="56" t="n">
        <v>14507</v>
      </c>
      <c r="I10" s="56" t="n">
        <v>0</v>
      </c>
      <c r="J10" s="56" t="n">
        <v>0</v>
      </c>
      <c r="K10" s="56">
        <f>SUM(L10:N10)</f>
        <v/>
      </c>
      <c r="L10" s="56" t="n">
        <v>6</v>
      </c>
      <c r="M10" s="56" t="n">
        <v>76820</v>
      </c>
      <c r="N10" s="57" t="n">
        <v>11934</v>
      </c>
    </row>
    <row r="11">
      <c r="A11" s="4" t="n">
        <v>1980</v>
      </c>
      <c r="B11" s="56">
        <f>SUM(C11:E11)</f>
        <v/>
      </c>
      <c r="C11" s="56" t="n">
        <v>444197</v>
      </c>
      <c r="D11" s="56" t="n">
        <v>2770</v>
      </c>
      <c r="E11" s="56" t="n">
        <v>4194717</v>
      </c>
      <c r="F11" s="56">
        <f>SUM(G11:J11)</f>
        <v/>
      </c>
      <c r="G11" s="56" t="n">
        <v>1061888</v>
      </c>
      <c r="H11" s="56" t="n">
        <v>15538</v>
      </c>
      <c r="I11" s="56" t="n">
        <v>0</v>
      </c>
      <c r="J11" s="56" t="n">
        <v>0</v>
      </c>
      <c r="K11" s="56">
        <f>SUM(L11:N11)</f>
        <v/>
      </c>
      <c r="L11" s="56" t="n">
        <v>5</v>
      </c>
      <c r="M11" s="56" t="n">
        <v>82194</v>
      </c>
      <c r="N11" s="57" t="n">
        <v>10163</v>
      </c>
    </row>
    <row r="12">
      <c r="A12" s="4" t="n">
        <v>1981</v>
      </c>
      <c r="B12" s="56">
        <f>SUM(C12:E12)</f>
        <v/>
      </c>
      <c r="C12" s="56" t="n">
        <v>535481</v>
      </c>
      <c r="D12" s="56" t="n">
        <v>3078</v>
      </c>
      <c r="E12" s="56" t="n">
        <v>4150884</v>
      </c>
      <c r="F12" s="56">
        <f>SUM(G12:J12)</f>
        <v/>
      </c>
      <c r="G12" s="56" t="n">
        <v>1245861</v>
      </c>
      <c r="H12" s="56" t="n">
        <v>16672</v>
      </c>
      <c r="I12" s="56" t="n">
        <v>0</v>
      </c>
      <c r="J12" s="56" t="n">
        <v>0</v>
      </c>
      <c r="K12" s="56">
        <f>SUM(L12:N12)</f>
        <v/>
      </c>
      <c r="L12" s="56" t="n">
        <v>5</v>
      </c>
      <c r="M12" s="56" t="n">
        <v>95957</v>
      </c>
      <c r="N12" s="57" t="n">
        <v>13983</v>
      </c>
    </row>
    <row r="13">
      <c r="A13" s="4" t="n">
        <v>1982</v>
      </c>
      <c r="B13" s="56">
        <f>SUM(C13:E13)</f>
        <v/>
      </c>
      <c r="C13" s="56" t="n">
        <v>473864</v>
      </c>
      <c r="D13" s="56" t="n">
        <v>3450</v>
      </c>
      <c r="E13" s="56" t="n">
        <v>3733397</v>
      </c>
      <c r="F13" s="56">
        <f>SUM(G13:J13)</f>
        <v/>
      </c>
      <c r="G13" s="56" t="n">
        <v>1085897</v>
      </c>
      <c r="H13" s="56" t="n">
        <v>14602</v>
      </c>
      <c r="I13" s="56" t="n">
        <v>0</v>
      </c>
      <c r="J13" s="56" t="n">
        <v>0</v>
      </c>
      <c r="K13" s="56">
        <f>SUM(L13:N13)</f>
        <v/>
      </c>
      <c r="L13" s="56" t="n">
        <v>4</v>
      </c>
      <c r="M13" s="56" t="n">
        <v>84953</v>
      </c>
      <c r="N13" s="57" t="n">
        <v>17294</v>
      </c>
    </row>
    <row r="14">
      <c r="A14" s="4" t="n">
        <v>1983</v>
      </c>
      <c r="B14" s="56">
        <f>SUM(C14:E14)</f>
        <v/>
      </c>
      <c r="C14" s="56" t="n">
        <v>345004</v>
      </c>
      <c r="D14" s="56" t="n">
        <v>3097</v>
      </c>
      <c r="E14" s="56" t="n">
        <v>3821749</v>
      </c>
      <c r="F14" s="56">
        <f>SUM(G14:J14)</f>
        <v/>
      </c>
      <c r="G14" s="56" t="n">
        <v>924575</v>
      </c>
      <c r="H14" s="56" t="n">
        <v>16340</v>
      </c>
      <c r="I14" s="56" t="n">
        <v>0</v>
      </c>
      <c r="J14" s="56" t="n">
        <v>0</v>
      </c>
      <c r="K14" s="56">
        <f>SUM(L14:N14)</f>
        <v/>
      </c>
      <c r="L14" s="56" t="n">
        <v>4</v>
      </c>
      <c r="M14" s="56" t="n">
        <v>71845</v>
      </c>
      <c r="N14" s="57" t="n">
        <v>14676</v>
      </c>
    </row>
    <row r="15">
      <c r="A15" s="4" t="n">
        <v>1984</v>
      </c>
      <c r="B15" s="56">
        <f>SUM(C15:E15)</f>
        <v/>
      </c>
      <c r="C15" s="56" t="n">
        <v>324063</v>
      </c>
      <c r="D15" s="56" t="n">
        <v>3079</v>
      </c>
      <c r="E15" s="56" t="n">
        <v>4255843</v>
      </c>
      <c r="F15" s="56">
        <f>SUM(G15:J15)</f>
        <v/>
      </c>
      <c r="G15" s="56" t="n">
        <v>1011872</v>
      </c>
      <c r="H15" s="56" t="n">
        <v>20501</v>
      </c>
      <c r="I15" s="56" t="n">
        <v>0</v>
      </c>
      <c r="J15" s="56" t="n">
        <v>0</v>
      </c>
      <c r="K15" s="56">
        <f>SUM(L15:N15)</f>
        <v/>
      </c>
      <c r="L15" s="56" t="n">
        <v>4</v>
      </c>
      <c r="M15" s="56" t="n">
        <v>87155</v>
      </c>
      <c r="N15" s="57" t="n">
        <v>14198</v>
      </c>
    </row>
    <row r="16">
      <c r="A16" s="4" t="n">
        <v>1985</v>
      </c>
      <c r="B16" s="56">
        <f>SUM(C16:E16)</f>
        <v/>
      </c>
      <c r="C16" s="56" t="n">
        <v>402790</v>
      </c>
      <c r="D16" s="56" t="n">
        <v>2955</v>
      </c>
      <c r="E16" s="56" t="n">
        <v>4292365</v>
      </c>
      <c r="F16" s="56">
        <f>SUM(G16:J16)</f>
        <v/>
      </c>
      <c r="G16" s="56" t="n">
        <v>1050723</v>
      </c>
      <c r="H16" s="56" t="n">
        <v>23095</v>
      </c>
      <c r="I16" s="56" t="n">
        <v>0</v>
      </c>
      <c r="J16" s="56" t="n">
        <v>33502</v>
      </c>
      <c r="K16" s="56">
        <f>SUM(L16:N16)</f>
        <v/>
      </c>
      <c r="L16" s="56" t="n">
        <v>4</v>
      </c>
      <c r="M16" s="56" t="n">
        <v>95369</v>
      </c>
      <c r="N16" s="57" t="n">
        <v>6255</v>
      </c>
    </row>
    <row r="17">
      <c r="A17" s="4" t="n">
        <v>1986</v>
      </c>
      <c r="B17" s="56">
        <f>SUM(C17:E17)</f>
        <v/>
      </c>
      <c r="C17" s="56" t="n">
        <v>404328</v>
      </c>
      <c r="D17" s="56" t="n">
        <v>2666</v>
      </c>
      <c r="E17" s="56" t="n">
        <v>4317726</v>
      </c>
      <c r="F17" s="56">
        <f>SUM(G17:J17)</f>
        <v/>
      </c>
      <c r="G17" s="56" t="n">
        <v>1097948</v>
      </c>
      <c r="H17" s="56" t="n">
        <v>21682</v>
      </c>
      <c r="I17" s="56" t="n">
        <v>0</v>
      </c>
      <c r="J17" s="56" t="n">
        <v>107636</v>
      </c>
      <c r="K17" s="56">
        <f>SUM(L17:N17)</f>
        <v/>
      </c>
      <c r="L17" s="56" t="n">
        <v>5</v>
      </c>
      <c r="M17" s="56" t="n">
        <v>98869</v>
      </c>
      <c r="N17" s="57" t="n">
        <v>13262</v>
      </c>
    </row>
    <row r="18">
      <c r="A18" s="4" t="n">
        <v>1987</v>
      </c>
      <c r="B18" s="56">
        <f>SUM(C18:E18)</f>
        <v/>
      </c>
      <c r="C18" s="56" t="n">
        <v>419939</v>
      </c>
      <c r="D18" s="56" t="n">
        <v>2793</v>
      </c>
      <c r="E18" s="56" t="n">
        <v>4376336</v>
      </c>
      <c r="F18" s="56">
        <f>SUM(G18:J18)</f>
        <v/>
      </c>
      <c r="G18" s="56" t="n">
        <v>1175612</v>
      </c>
      <c r="H18" s="56" t="n">
        <v>22294</v>
      </c>
      <c r="I18" s="56" t="n">
        <v>0</v>
      </c>
      <c r="J18" s="56" t="n">
        <v>354565</v>
      </c>
      <c r="K18" s="56">
        <f>SUM(L18:N18)</f>
        <v/>
      </c>
      <c r="L18" s="56" t="n">
        <v>6</v>
      </c>
      <c r="M18" s="56" t="n">
        <v>95164</v>
      </c>
      <c r="N18" s="57" t="n">
        <v>13655</v>
      </c>
    </row>
    <row r="19">
      <c r="A19" s="4" t="n">
        <v>1988</v>
      </c>
      <c r="B19" s="56">
        <f>SUM(C19:E19)</f>
        <v/>
      </c>
      <c r="C19" s="56" t="n">
        <v>456905</v>
      </c>
      <c r="D19" s="56" t="n">
        <v>3505</v>
      </c>
      <c r="E19" s="56" t="n">
        <v>4479583</v>
      </c>
      <c r="F19" s="56">
        <f>SUM(G19:J19)</f>
        <v/>
      </c>
      <c r="G19" s="56" t="n">
        <v>1206510</v>
      </c>
      <c r="H19" s="56" t="n">
        <v>23436</v>
      </c>
      <c r="I19" s="56" t="n">
        <v>0</v>
      </c>
      <c r="J19" s="56" t="n">
        <v>499325</v>
      </c>
      <c r="K19" s="56">
        <f>SUM(L19:N19)</f>
        <v/>
      </c>
      <c r="L19" s="56" t="n">
        <v>22</v>
      </c>
      <c r="M19" s="56" t="n">
        <v>112902</v>
      </c>
      <c r="N19" s="57" t="n">
        <v>15985</v>
      </c>
    </row>
    <row r="20">
      <c r="A20" s="4" t="n">
        <v>1989</v>
      </c>
      <c r="B20" s="56">
        <f>SUM(C20:E20)</f>
        <v/>
      </c>
      <c r="C20" s="56" t="n">
        <v>467068</v>
      </c>
      <c r="D20" s="56" t="n">
        <v>3668</v>
      </c>
      <c r="E20" s="56" t="n">
        <v>4570260</v>
      </c>
      <c r="F20" s="56">
        <f>SUM(G20:J20)</f>
        <v/>
      </c>
      <c r="G20" s="56" t="n">
        <v>1236687</v>
      </c>
      <c r="H20" s="56" t="n">
        <v>24427</v>
      </c>
      <c r="I20" s="56" t="n">
        <v>0</v>
      </c>
      <c r="J20" s="56" t="n">
        <v>759007</v>
      </c>
      <c r="K20" s="56">
        <f>SUM(L20:N20)</f>
        <v/>
      </c>
      <c r="L20" s="56" t="n">
        <v>4</v>
      </c>
      <c r="M20" s="56" t="n">
        <v>138249</v>
      </c>
      <c r="N20" s="57" t="n">
        <v>14265</v>
      </c>
    </row>
    <row r="21">
      <c r="A21" s="4" t="n">
        <v>1990</v>
      </c>
      <c r="B21" s="56">
        <f>SUM(C21:E21)</f>
        <v/>
      </c>
      <c r="C21" s="56" t="n">
        <v>486319</v>
      </c>
      <c r="D21" s="56" t="n">
        <v>1979</v>
      </c>
      <c r="E21" s="56" t="n">
        <v>4638844</v>
      </c>
      <c r="F21" s="56">
        <f>SUM(G21:J21)</f>
        <v/>
      </c>
      <c r="G21" s="56" t="n">
        <v>1292853</v>
      </c>
      <c r="H21" s="56" t="n">
        <v>24431</v>
      </c>
      <c r="I21" s="56" t="n">
        <v>0</v>
      </c>
      <c r="J21" s="56" t="n">
        <v>779054</v>
      </c>
      <c r="K21" s="56">
        <f>SUM(L21:N21)</f>
        <v/>
      </c>
      <c r="L21" s="56" t="n">
        <v>4</v>
      </c>
      <c r="M21" s="56" t="n">
        <v>150041</v>
      </c>
      <c r="N21" s="57" t="n">
        <v>17273</v>
      </c>
    </row>
    <row r="22">
      <c r="A22" s="4" t="n">
        <v>1991</v>
      </c>
      <c r="B22" s="56">
        <f>SUM(C22:E22)</f>
        <v/>
      </c>
      <c r="C22" s="56" t="n">
        <v>437903</v>
      </c>
      <c r="D22" s="56" t="n">
        <v>5447</v>
      </c>
      <c r="E22" s="56" t="n">
        <v>4468878</v>
      </c>
      <c r="F22" s="56">
        <f>SUM(G22:J22)</f>
        <v/>
      </c>
      <c r="G22" s="56" t="n">
        <v>1220848</v>
      </c>
      <c r="H22" s="56" t="n">
        <v>25281</v>
      </c>
      <c r="I22" s="56" t="n">
        <v>0</v>
      </c>
      <c r="J22" s="56" t="n">
        <v>453831</v>
      </c>
      <c r="K22" s="56">
        <f>SUM(L22:N22)</f>
        <v/>
      </c>
      <c r="L22" s="56" t="n">
        <v>14</v>
      </c>
      <c r="M22" s="56" t="n">
        <v>149321</v>
      </c>
      <c r="N22" s="57" t="n">
        <v>14821</v>
      </c>
    </row>
    <row r="23">
      <c r="A23" s="4" t="n">
        <v>1992</v>
      </c>
      <c r="B23" s="56">
        <f>SUM(C23:E23)</f>
        <v/>
      </c>
      <c r="C23" s="56" t="n">
        <v>383837</v>
      </c>
      <c r="D23" s="56" t="n">
        <v>1366</v>
      </c>
      <c r="E23" s="56" t="n">
        <v>4075856</v>
      </c>
      <c r="F23" s="56">
        <f>SUM(G23:J23)</f>
        <v/>
      </c>
      <c r="G23" s="56" t="n">
        <v>1121547</v>
      </c>
      <c r="H23" s="56" t="n">
        <v>26229</v>
      </c>
      <c r="I23" s="56" t="n">
        <v>0</v>
      </c>
      <c r="J23" s="56" t="n">
        <v>592081</v>
      </c>
      <c r="K23" s="56">
        <f>SUM(L23:N23)</f>
        <v/>
      </c>
      <c r="L23" s="56" t="n">
        <v>15</v>
      </c>
      <c r="M23" s="56" t="n">
        <v>146604</v>
      </c>
      <c r="N23" s="57" t="n">
        <v>13931</v>
      </c>
    </row>
    <row r="24">
      <c r="A24" s="4" t="n">
        <v>1993</v>
      </c>
      <c r="B24" s="56">
        <f>SUM(C24:E24)</f>
        <v/>
      </c>
      <c r="C24" s="56" t="n">
        <v>452614</v>
      </c>
      <c r="D24" s="56" t="n">
        <v>5564</v>
      </c>
      <c r="E24" s="56" t="n">
        <v>4295141</v>
      </c>
      <c r="F24" s="56">
        <f>SUM(G24:J24)</f>
        <v/>
      </c>
      <c r="G24" s="56" t="n">
        <v>1018987</v>
      </c>
      <c r="H24" s="56" t="n">
        <v>34535</v>
      </c>
      <c r="I24" s="56" t="n">
        <v>0</v>
      </c>
      <c r="J24" s="56" t="n">
        <v>1024800</v>
      </c>
      <c r="K24" s="56">
        <f>SUM(L24:N24)</f>
        <v/>
      </c>
      <c r="L24" s="56" t="n">
        <v>30</v>
      </c>
      <c r="M24" s="56" t="n">
        <v>165031</v>
      </c>
      <c r="N24" s="57" t="n">
        <v>14807</v>
      </c>
    </row>
    <row r="25">
      <c r="A25" s="4" t="n">
        <v>1994</v>
      </c>
      <c r="B25" s="56">
        <f>SUM(C25:E25)</f>
        <v/>
      </c>
      <c r="C25" s="56" t="n">
        <v>467904</v>
      </c>
      <c r="D25" s="56" t="n">
        <v>4520</v>
      </c>
      <c r="E25" s="56" t="n">
        <v>4674381</v>
      </c>
      <c r="F25" s="56">
        <f>SUM(G25:J25)</f>
        <v/>
      </c>
      <c r="G25" s="56" t="n">
        <v>1305879</v>
      </c>
      <c r="H25" s="56" t="n">
        <v>39799</v>
      </c>
      <c r="I25" s="56" t="n">
        <v>0</v>
      </c>
      <c r="J25" s="56" t="n">
        <v>731598</v>
      </c>
      <c r="K25" s="56">
        <f>SUM(L25:N25)</f>
        <v/>
      </c>
      <c r="L25" s="56" t="n">
        <v>24</v>
      </c>
      <c r="M25" s="56" t="n">
        <v>191638</v>
      </c>
      <c r="N25" s="57" t="n">
        <v>13982</v>
      </c>
    </row>
    <row r="26">
      <c r="A26" s="4" t="n">
        <v>1995</v>
      </c>
      <c r="B26" s="56">
        <f>SUM(C26:E26)</f>
        <v/>
      </c>
      <c r="C26" s="56" t="n">
        <v>438868</v>
      </c>
      <c r="D26" s="56" t="n">
        <v>6075</v>
      </c>
      <c r="E26" s="56" t="n">
        <v>4391652</v>
      </c>
      <c r="F26" s="56">
        <f>SUM(G26:J26)</f>
        <v/>
      </c>
      <c r="G26" s="56" t="n">
        <v>1216064</v>
      </c>
      <c r="H26" s="56" t="n">
        <v>40675</v>
      </c>
      <c r="I26" s="56" t="n">
        <v>0</v>
      </c>
      <c r="J26" s="56" t="n">
        <v>785262</v>
      </c>
      <c r="K26" s="56">
        <f>SUM(L26:N26)</f>
        <v/>
      </c>
      <c r="L26" s="56" t="n">
        <v>26</v>
      </c>
      <c r="M26" s="56" t="n">
        <v>187908</v>
      </c>
      <c r="N26" s="57" t="n">
        <v>13281</v>
      </c>
    </row>
    <row r="27">
      <c r="A27" s="4" t="n">
        <v>1996</v>
      </c>
      <c r="B27" s="56">
        <f>SUM(C27:E27)</f>
        <v/>
      </c>
      <c r="C27" s="56" t="n">
        <v>505492</v>
      </c>
      <c r="D27" s="56" t="n">
        <v>1892</v>
      </c>
      <c r="E27" s="56" t="n">
        <v>4718361</v>
      </c>
      <c r="F27" s="56">
        <f>SUM(G27:J27)</f>
        <v/>
      </c>
      <c r="G27" s="56" t="n">
        <v>1311275</v>
      </c>
      <c r="H27" s="56" t="n">
        <v>36792</v>
      </c>
      <c r="I27" s="56" t="n">
        <v>0</v>
      </c>
      <c r="J27" s="56" t="n">
        <v>1196059</v>
      </c>
      <c r="K27" s="56">
        <f>SUM(L27:N27)</f>
        <v/>
      </c>
      <c r="L27" s="56" t="n">
        <v>98</v>
      </c>
      <c r="M27" s="56" t="n">
        <v>224131</v>
      </c>
      <c r="N27" s="57" t="n">
        <v>13149</v>
      </c>
    </row>
    <row r="28">
      <c r="A28" s="4" t="n">
        <v>1997</v>
      </c>
      <c r="B28" s="56">
        <f>SUM(C28:E28)</f>
        <v/>
      </c>
      <c r="C28" s="56" t="n">
        <v>422730</v>
      </c>
      <c r="D28" s="56" t="n">
        <v>3850</v>
      </c>
      <c r="E28" s="56" t="n">
        <v>4735174</v>
      </c>
      <c r="F28" s="56">
        <f>SUM(G28:J28)</f>
        <v/>
      </c>
      <c r="G28" s="56" t="n">
        <v>1250386</v>
      </c>
      <c r="H28" s="56" t="n">
        <v>35066</v>
      </c>
      <c r="I28" s="56" t="n">
        <v>0</v>
      </c>
      <c r="J28" s="56" t="n">
        <v>1413930</v>
      </c>
      <c r="K28" s="56">
        <f>SUM(L28:N28)</f>
        <v/>
      </c>
      <c r="L28" s="56" t="n">
        <v>1505</v>
      </c>
      <c r="M28" s="56" t="n">
        <v>208721</v>
      </c>
      <c r="N28" s="57" t="n">
        <v>13127</v>
      </c>
    </row>
    <row r="29">
      <c r="A29" s="4" t="n">
        <v>1998</v>
      </c>
      <c r="B29" s="56">
        <f>SUM(C29:E29)</f>
        <v/>
      </c>
      <c r="C29" s="56" t="n">
        <v>433470</v>
      </c>
      <c r="D29" s="56" t="n">
        <v>7309</v>
      </c>
      <c r="E29" s="56" t="n">
        <v>4512139</v>
      </c>
      <c r="F29" s="56">
        <f>SUM(G29:J29)</f>
        <v/>
      </c>
      <c r="G29" s="56" t="n">
        <v>1157742</v>
      </c>
      <c r="H29" s="56" t="n">
        <v>33964</v>
      </c>
      <c r="I29" s="56" t="n">
        <v>0</v>
      </c>
      <c r="J29" s="56" t="n">
        <v>1228233</v>
      </c>
      <c r="K29" s="56">
        <f>SUM(L29:N29)</f>
        <v/>
      </c>
      <c r="L29" s="56" t="n">
        <v>1640</v>
      </c>
      <c r="M29" s="56" t="n">
        <v>202453</v>
      </c>
      <c r="N29" s="57" t="n">
        <v>12851</v>
      </c>
    </row>
    <row r="30">
      <c r="A30" s="4" t="n">
        <v>1999</v>
      </c>
      <c r="B30" s="56">
        <f>SUM(C30:E30)</f>
        <v/>
      </c>
      <c r="C30" s="56" t="n">
        <v>469925</v>
      </c>
      <c r="D30" s="56" t="n">
        <v>2204</v>
      </c>
      <c r="E30" s="56" t="n">
        <v>4634855</v>
      </c>
      <c r="F30" s="56">
        <f>SUM(G30:J30)</f>
        <v/>
      </c>
      <c r="G30" s="56" t="n">
        <v>1154645</v>
      </c>
      <c r="H30" s="56" t="n">
        <v>35433</v>
      </c>
      <c r="I30" s="56" t="n">
        <v>0</v>
      </c>
      <c r="J30" s="56" t="n">
        <v>1388165</v>
      </c>
      <c r="K30" s="56">
        <f>SUM(L30:N30)</f>
        <v/>
      </c>
      <c r="L30" s="56" t="n">
        <v>3301</v>
      </c>
      <c r="M30" s="56" t="n">
        <v>241713</v>
      </c>
      <c r="N30" s="57" t="n">
        <v>12149</v>
      </c>
    </row>
    <row r="31">
      <c r="A31" s="4" t="n">
        <v>2000</v>
      </c>
      <c r="B31" s="56">
        <f>SUM(C31:E31)</f>
        <v/>
      </c>
      <c r="C31" s="56" t="n">
        <v>511055</v>
      </c>
      <c r="D31" s="56" t="n">
        <v>1914</v>
      </c>
      <c r="E31" s="56" t="n">
        <v>4755655</v>
      </c>
      <c r="F31" s="56">
        <f>SUM(G31:J31)</f>
        <v/>
      </c>
      <c r="G31" s="56" t="n">
        <v>1172391</v>
      </c>
      <c r="H31" s="56" t="n">
        <v>44557</v>
      </c>
      <c r="I31" s="56" t="n">
        <v>0</v>
      </c>
      <c r="J31" s="56" t="n">
        <v>1424158</v>
      </c>
      <c r="K31" s="56">
        <f>SUM(L31:N31)</f>
        <v/>
      </c>
      <c r="L31" s="56" t="n">
        <v>4333</v>
      </c>
      <c r="M31" s="56" t="n">
        <v>272336</v>
      </c>
      <c r="N31" s="57" t="n">
        <v>13402</v>
      </c>
    </row>
    <row r="32">
      <c r="A32" s="4" t="n">
        <v>2001</v>
      </c>
      <c r="B32" s="56">
        <f>SUM(C32:E32)</f>
        <v/>
      </c>
      <c r="C32" s="56" t="n">
        <v>499903</v>
      </c>
      <c r="D32" s="56" t="n">
        <v>3052</v>
      </c>
      <c r="E32" s="56" t="n">
        <v>4665510</v>
      </c>
      <c r="F32" s="56">
        <f>SUM(G32:J32)</f>
        <v/>
      </c>
      <c r="G32" s="56" t="n">
        <v>1127979</v>
      </c>
      <c r="H32" s="56" t="n">
        <v>36747</v>
      </c>
      <c r="I32" s="56" t="n">
        <v>0</v>
      </c>
      <c r="J32" s="56" t="n">
        <v>1523092</v>
      </c>
      <c r="K32" s="56">
        <f>SUM(L32:N32)</f>
        <v/>
      </c>
      <c r="L32" s="56" t="n">
        <v>3051</v>
      </c>
      <c r="M32" s="56" t="n">
        <v>277040</v>
      </c>
      <c r="N32" s="57" t="n">
        <v>12968</v>
      </c>
    </row>
    <row r="33">
      <c r="A33" s="4" t="n">
        <v>2002</v>
      </c>
      <c r="B33" s="56">
        <f>SUM(C33:E33)</f>
        <v/>
      </c>
      <c r="C33" s="56" t="n">
        <v>551425</v>
      </c>
      <c r="D33" s="56" t="n">
        <v>1985</v>
      </c>
      <c r="E33" s="56" t="n">
        <v>4722085</v>
      </c>
      <c r="F33" s="56">
        <f>SUM(G33:J33)</f>
        <v/>
      </c>
      <c r="G33" s="56" t="n">
        <v>1181802</v>
      </c>
      <c r="H33" s="56" t="n">
        <v>38275</v>
      </c>
      <c r="I33" s="56" t="n">
        <v>0</v>
      </c>
      <c r="J33" s="56" t="n">
        <v>1581595</v>
      </c>
      <c r="K33" s="56">
        <f>SUM(L33:N33)</f>
        <v/>
      </c>
      <c r="L33" s="56" t="n">
        <v>3040</v>
      </c>
      <c r="M33" s="56" t="n">
        <v>309907</v>
      </c>
      <c r="N33" s="57" t="n">
        <v>12297</v>
      </c>
    </row>
    <row r="34">
      <c r="A34" s="4" t="n">
        <v>2003</v>
      </c>
      <c r="B34" s="56">
        <f>SUM(C34:E34)</f>
        <v/>
      </c>
      <c r="C34" s="56" t="n">
        <v>447005</v>
      </c>
      <c r="D34" s="56" t="n">
        <v>2923</v>
      </c>
      <c r="E34" s="56" t="n">
        <v>3958817</v>
      </c>
      <c r="F34" s="56">
        <f>SUM(G34:J34)</f>
        <v/>
      </c>
      <c r="G34" s="56" t="n">
        <v>1102989</v>
      </c>
      <c r="H34" s="56" t="n">
        <v>40737</v>
      </c>
      <c r="I34" s="56" t="n">
        <v>0</v>
      </c>
      <c r="J34" s="56" t="n">
        <v>1685190</v>
      </c>
      <c r="K34" s="56">
        <f>SUM(L34:N34)</f>
        <v/>
      </c>
      <c r="L34" s="56" t="n">
        <v>2925</v>
      </c>
      <c r="M34" s="56" t="n">
        <v>256185</v>
      </c>
      <c r="N34" s="57" t="n">
        <v>11564</v>
      </c>
    </row>
    <row r="35">
      <c r="A35" s="4" t="n">
        <v>2004</v>
      </c>
      <c r="B35" s="56">
        <f>SUM(C35:E35)</f>
        <v/>
      </c>
      <c r="C35" s="56" t="n">
        <v>475886</v>
      </c>
      <c r="D35" s="56" t="n">
        <v>3383</v>
      </c>
      <c r="E35" s="56" t="n">
        <v>3836916</v>
      </c>
      <c r="F35" s="56">
        <f>SUM(G35:J35)</f>
        <v/>
      </c>
      <c r="G35" s="56" t="n">
        <v>1076976</v>
      </c>
      <c r="H35" s="56" t="n">
        <v>40039</v>
      </c>
      <c r="I35" s="56" t="n">
        <v>0</v>
      </c>
      <c r="J35" s="56" t="n">
        <v>1666327</v>
      </c>
      <c r="K35" s="56">
        <f>SUM(L35:N35)</f>
        <v/>
      </c>
      <c r="L35" s="56" t="n">
        <v>2604</v>
      </c>
      <c r="M35" s="56" t="n">
        <v>252177</v>
      </c>
      <c r="N35" s="57" t="n">
        <v>12038</v>
      </c>
    </row>
    <row r="36">
      <c r="A36" s="4" t="n">
        <v>2005</v>
      </c>
      <c r="B36" s="56">
        <f>SUM(C36:E36)</f>
        <v/>
      </c>
      <c r="C36" s="56" t="n">
        <v>388784</v>
      </c>
      <c r="D36" s="56" t="n">
        <v>3608</v>
      </c>
      <c r="E36" s="56" t="n">
        <v>3936866</v>
      </c>
      <c r="F36" s="56">
        <f>SUM(G36:J36)</f>
        <v/>
      </c>
      <c r="G36" s="56" t="n">
        <v>1072388</v>
      </c>
      <c r="H36" s="56" t="n">
        <v>35184</v>
      </c>
      <c r="I36" s="56" t="n">
        <v>0</v>
      </c>
      <c r="J36" s="56" t="n">
        <v>1319871</v>
      </c>
      <c r="K36" s="56">
        <f>SUM(L36:N36)</f>
        <v/>
      </c>
      <c r="L36" s="56" t="n">
        <v>3615</v>
      </c>
      <c r="M36" s="56" t="n">
        <v>260466</v>
      </c>
      <c r="N36" s="57" t="n">
        <v>12401</v>
      </c>
    </row>
    <row r="37">
      <c r="A37" s="4" t="n">
        <v>2006</v>
      </c>
      <c r="B37" s="56">
        <f>SUM(C37:E37)</f>
        <v/>
      </c>
      <c r="C37" s="56" t="n">
        <v>419337</v>
      </c>
      <c r="D37" s="56" t="n">
        <v>2888</v>
      </c>
      <c r="E37" s="56" t="n">
        <v>3871426</v>
      </c>
      <c r="F37" s="56">
        <f>SUM(G37:J37)</f>
        <v/>
      </c>
      <c r="G37" s="56" t="n">
        <v>1123743</v>
      </c>
      <c r="H37" s="56" t="n">
        <v>40285</v>
      </c>
      <c r="I37" s="56" t="n">
        <v>0</v>
      </c>
      <c r="J37" s="56" t="n">
        <v>1616713</v>
      </c>
      <c r="K37" s="56">
        <f>SUM(L37:N37)</f>
        <v/>
      </c>
      <c r="L37" s="56" t="n">
        <v>3378</v>
      </c>
      <c r="M37" s="56" t="n">
        <v>269077</v>
      </c>
      <c r="N37" s="57" t="n">
        <v>1248</v>
      </c>
    </row>
    <row r="38">
      <c r="A38" s="4" t="n">
        <v>2007</v>
      </c>
      <c r="B38" s="56">
        <f>SUM(C38:E38)</f>
        <v/>
      </c>
      <c r="C38" s="56" t="n">
        <v>445998</v>
      </c>
      <c r="D38" s="56" t="n">
        <v>3210</v>
      </c>
      <c r="E38" s="56" t="n">
        <v>3921487</v>
      </c>
      <c r="F38" s="56">
        <f>SUM(G38:J38)</f>
        <v/>
      </c>
      <c r="G38" s="56" t="n">
        <v>1135257</v>
      </c>
      <c r="H38" s="56" t="n">
        <v>35564</v>
      </c>
      <c r="I38" s="56" t="n">
        <v>0</v>
      </c>
      <c r="J38" s="56" t="n">
        <v>1610753</v>
      </c>
      <c r="K38" s="56">
        <f>SUM(L38:N38)</f>
        <v/>
      </c>
      <c r="L38" s="56" t="n">
        <v>2870</v>
      </c>
      <c r="M38" s="56" t="n">
        <v>280255</v>
      </c>
      <c r="N38" s="57" t="n">
        <v>396</v>
      </c>
    </row>
    <row r="39">
      <c r="A39" s="4" t="n">
        <v>2008</v>
      </c>
      <c r="B39" s="56">
        <f>SUM(C39:E39)</f>
        <v/>
      </c>
      <c r="C39" s="56" t="n">
        <v>440833</v>
      </c>
      <c r="D39" s="56" t="n">
        <v>2862</v>
      </c>
      <c r="E39" s="56" t="n">
        <v>4055115</v>
      </c>
      <c r="F39" s="56">
        <f>SUM(G39:J39)</f>
        <v/>
      </c>
      <c r="G39" s="56" t="n">
        <v>1151340</v>
      </c>
      <c r="H39" s="56" t="n">
        <v>38782</v>
      </c>
      <c r="I39" s="56" t="n">
        <v>0</v>
      </c>
      <c r="J39" s="56" t="n">
        <v>1561719</v>
      </c>
      <c r="K39" s="56">
        <f>SUM(L39:N39)</f>
        <v/>
      </c>
      <c r="L39" s="56" t="n">
        <v>3780</v>
      </c>
      <c r="M39" s="56" t="n">
        <v>261189</v>
      </c>
      <c r="N39" s="57" t="n">
        <v>491</v>
      </c>
    </row>
    <row r="40">
      <c r="A40" s="4" t="n">
        <v>2009</v>
      </c>
      <c r="B40" s="56">
        <f>SUM(C40:E40)</f>
        <v/>
      </c>
      <c r="C40" s="56" t="n">
        <v>344423</v>
      </c>
      <c r="D40" s="56" t="n">
        <v>2988</v>
      </c>
      <c r="E40" s="56" t="n">
        <v>4010662</v>
      </c>
      <c r="F40" s="56">
        <f>SUM(G40:J40)</f>
        <v/>
      </c>
      <c r="G40" s="56" t="n">
        <v>1133450</v>
      </c>
      <c r="H40" s="56" t="n">
        <v>37780</v>
      </c>
      <c r="I40" s="56" t="n">
        <v>0</v>
      </c>
      <c r="J40" s="56" t="n">
        <v>1659808</v>
      </c>
      <c r="K40" s="56">
        <f>SUM(L40:N40)</f>
        <v/>
      </c>
      <c r="L40" s="56" t="n">
        <v>3261</v>
      </c>
      <c r="M40" s="56" t="n">
        <v>245366</v>
      </c>
      <c r="N40" s="57" t="n">
        <v>520</v>
      </c>
    </row>
    <row r="41">
      <c r="A41" s="4" t="n">
        <v>2010</v>
      </c>
      <c r="B41" s="56">
        <f>SUM(C41:E41)</f>
        <v/>
      </c>
      <c r="C41" s="56" t="n">
        <v>323008</v>
      </c>
      <c r="D41" s="56" t="n">
        <v>2754</v>
      </c>
      <c r="E41" s="56" t="n">
        <v>4031077</v>
      </c>
      <c r="F41" s="56">
        <f>SUM(G41:J41)</f>
        <v/>
      </c>
      <c r="G41" s="56" t="n">
        <v>1091593</v>
      </c>
      <c r="H41" s="56" t="n">
        <v>35222</v>
      </c>
      <c r="I41" s="56" t="n">
        <v>0</v>
      </c>
      <c r="J41" s="56" t="n">
        <v>1652767</v>
      </c>
      <c r="K41" s="56">
        <f>SUM(L41:N41)</f>
        <v/>
      </c>
      <c r="L41" s="56" t="n">
        <v>2844</v>
      </c>
      <c r="M41" s="56" t="n">
        <v>229928</v>
      </c>
      <c r="N41" s="57" t="n">
        <v>370</v>
      </c>
    </row>
    <row r="42">
      <c r="A42" s="4" t="n">
        <v>2011</v>
      </c>
      <c r="B42" s="56">
        <f>SUM(C42:E42)</f>
        <v/>
      </c>
      <c r="C42" s="56" t="n">
        <v>386113</v>
      </c>
      <c r="D42" s="56" t="n">
        <v>2426</v>
      </c>
      <c r="E42" s="56" t="n">
        <v>3924122</v>
      </c>
      <c r="F42" s="56">
        <f>SUM(G42:J42)</f>
        <v/>
      </c>
      <c r="G42" s="56" t="n">
        <v>1119452</v>
      </c>
      <c r="H42" s="56" t="n">
        <v>35940</v>
      </c>
      <c r="I42" s="56" t="n">
        <v>0</v>
      </c>
      <c r="J42" s="56" t="n">
        <v>1625043</v>
      </c>
      <c r="K42" s="56">
        <f>SUM(L42:N42)</f>
        <v/>
      </c>
      <c r="L42" s="56" t="n">
        <v>3191</v>
      </c>
      <c r="M42" s="56" t="n">
        <v>216798</v>
      </c>
      <c r="N42" s="57" t="n">
        <v>97</v>
      </c>
    </row>
    <row r="43">
      <c r="A43" s="4" t="n">
        <v>2012</v>
      </c>
      <c r="B43" s="56">
        <f>SUM(C43:E43)</f>
        <v/>
      </c>
      <c r="C43" s="56" t="n">
        <v>429729</v>
      </c>
      <c r="D43" s="56" t="n">
        <v>2968</v>
      </c>
      <c r="E43" s="56" t="n">
        <v>3984021</v>
      </c>
      <c r="F43" s="56">
        <f>SUM(G43:J43)</f>
        <v/>
      </c>
      <c r="G43" s="56" t="n">
        <v>1129237</v>
      </c>
      <c r="H43" s="56" t="n">
        <v>33817</v>
      </c>
      <c r="I43" s="56" t="n">
        <v>0</v>
      </c>
      <c r="J43" s="56" t="n">
        <v>1626062</v>
      </c>
      <c r="K43" s="56">
        <f>SUM(L43:N43)</f>
        <v/>
      </c>
      <c r="L43" s="56" t="n">
        <v>3141</v>
      </c>
      <c r="M43" s="56" t="n">
        <v>234464</v>
      </c>
      <c r="N43" s="57" t="n">
        <v>0</v>
      </c>
    </row>
    <row r="44">
      <c r="A44" s="4" t="n">
        <v>2013</v>
      </c>
      <c r="B44" s="56">
        <f>SUM(C44:E44)</f>
        <v/>
      </c>
      <c r="C44" s="56" t="n">
        <v>502683</v>
      </c>
      <c r="D44" s="56" t="n">
        <v>2930</v>
      </c>
      <c r="E44" s="56" t="n">
        <v>3970176</v>
      </c>
      <c r="F44" s="56">
        <f>SUM(G44:J44)</f>
        <v/>
      </c>
      <c r="G44" s="56" t="n">
        <v>1093411</v>
      </c>
      <c r="H44" s="56" t="n">
        <v>33640</v>
      </c>
      <c r="I44" s="56" t="n">
        <v>0</v>
      </c>
      <c r="J44" s="56" t="n">
        <v>1651267</v>
      </c>
      <c r="K44" s="56">
        <f>SUM(L44:N44)</f>
        <v/>
      </c>
      <c r="L44" s="56" t="n">
        <v>3434</v>
      </c>
      <c r="M44" s="56" t="n">
        <v>220473</v>
      </c>
      <c r="N44" s="57" t="n">
        <v>0</v>
      </c>
    </row>
    <row r="45">
      <c r="A45" s="4" t="n">
        <v>2014</v>
      </c>
      <c r="B45" s="56">
        <f>SUM(C45:E45)</f>
        <v/>
      </c>
      <c r="C45" s="56" t="n">
        <v>498702</v>
      </c>
      <c r="D45" s="56" t="n">
        <v>2744</v>
      </c>
      <c r="E45" s="56" t="n">
        <v>4148288</v>
      </c>
      <c r="F45" s="56">
        <f>SUM(G45:J45)</f>
        <v/>
      </c>
      <c r="G45" s="56" t="n">
        <v>1109621</v>
      </c>
      <c r="H45" s="56" t="n">
        <v>33940</v>
      </c>
      <c r="I45" s="56" t="n">
        <v>0</v>
      </c>
      <c r="J45" s="56" t="n">
        <v>1630677</v>
      </c>
      <c r="K45" s="56">
        <f>SUM(L45:N45)</f>
        <v/>
      </c>
      <c r="L45" s="56" t="n">
        <v>2604</v>
      </c>
      <c r="M45" s="56" t="n">
        <v>222502</v>
      </c>
      <c r="N45" s="57" t="n">
        <v>0</v>
      </c>
    </row>
    <row r="46">
      <c r="A46" s="4" t="n">
        <v>2015</v>
      </c>
      <c r="B46" s="56">
        <f>SUM(C46:E46)</f>
        <v/>
      </c>
      <c r="C46" s="56" t="n">
        <v>463371</v>
      </c>
      <c r="D46" s="56" t="n">
        <v>2129</v>
      </c>
      <c r="E46" s="56" t="n">
        <v>4155256</v>
      </c>
      <c r="F46" s="56">
        <f>SUM(G46:J46)</f>
        <v/>
      </c>
      <c r="G46" s="56" t="n">
        <v>1052802</v>
      </c>
      <c r="H46" s="56" t="n">
        <v>33413</v>
      </c>
      <c r="I46" s="56" t="n">
        <v>0</v>
      </c>
      <c r="J46" s="56" t="n">
        <v>1518022</v>
      </c>
      <c r="K46" s="56">
        <f>SUM(L46:N46)</f>
        <v/>
      </c>
      <c r="L46" s="56" t="n">
        <v>3148</v>
      </c>
      <c r="M46" s="56" t="n">
        <v>219927</v>
      </c>
      <c r="N46" s="57" t="n">
        <v>0</v>
      </c>
    </row>
    <row r="47">
      <c r="A47" s="4" t="n">
        <v>2016</v>
      </c>
      <c r="B47" s="56">
        <f>SUM(C47:E47)</f>
        <v/>
      </c>
      <c r="C47" s="56" t="n">
        <v>390074</v>
      </c>
      <c r="D47" s="56" t="n">
        <v>2592</v>
      </c>
      <c r="E47" s="56" t="n">
        <v>3988435</v>
      </c>
      <c r="F47" s="56">
        <f>SUM(G47:J47)</f>
        <v/>
      </c>
      <c r="G47" s="56" t="n">
        <v>1084485</v>
      </c>
      <c r="H47" s="56" t="n">
        <v>35165</v>
      </c>
      <c r="I47" s="56" t="n">
        <v>32</v>
      </c>
      <c r="J47" s="56" t="n">
        <v>1493151</v>
      </c>
      <c r="K47" s="56">
        <f>SUM(L47:N47)</f>
        <v/>
      </c>
      <c r="L47" s="56" t="n">
        <v>3358</v>
      </c>
      <c r="M47" s="56" t="n">
        <v>235412</v>
      </c>
      <c r="N47" s="57" t="n">
        <v>0</v>
      </c>
    </row>
    <row r="48">
      <c r="A48" s="4" t="n">
        <v>2017</v>
      </c>
      <c r="B48" s="56">
        <f>SUM(C48:E48)</f>
        <v/>
      </c>
      <c r="C48" s="56" t="n">
        <v>358136</v>
      </c>
      <c r="D48" s="56" t="n">
        <v>2705</v>
      </c>
      <c r="E48" s="56" t="n">
        <v>3665674</v>
      </c>
      <c r="F48" s="56">
        <f>SUM(G48:J48)</f>
        <v/>
      </c>
      <c r="G48" s="56" t="n">
        <v>1055294</v>
      </c>
      <c r="H48" s="56" t="n">
        <v>38582</v>
      </c>
      <c r="I48" s="56" t="n">
        <v>14</v>
      </c>
      <c r="J48" s="56" t="n">
        <v>1415613</v>
      </c>
      <c r="K48" s="56">
        <f>SUM(L48:N48)</f>
        <v/>
      </c>
      <c r="L48" s="56" t="n">
        <v>1795</v>
      </c>
      <c r="M48" s="56" t="n">
        <v>242212</v>
      </c>
      <c r="N48" s="57" t="n">
        <v>0</v>
      </c>
    </row>
    <row r="49">
      <c r="A49" s="4" t="n">
        <v>2018</v>
      </c>
      <c r="B49" s="56">
        <f>SUM(C49:E49)</f>
        <v/>
      </c>
      <c r="C49" s="56" t="n">
        <v>410472</v>
      </c>
      <c r="D49" s="56" t="n">
        <v>2339</v>
      </c>
      <c r="E49" s="56" t="n">
        <v>3852714</v>
      </c>
      <c r="F49" s="56">
        <f>SUM(G49:J49)</f>
        <v/>
      </c>
      <c r="G49" s="56" t="n">
        <v>1071242</v>
      </c>
      <c r="H49" s="56" t="n">
        <v>38620</v>
      </c>
      <c r="I49" s="56" t="n">
        <v>25</v>
      </c>
      <c r="J49" s="56" t="n">
        <v>1522373</v>
      </c>
      <c r="K49" s="56">
        <f>SUM(L49:N49)</f>
        <v/>
      </c>
      <c r="L49" s="56" t="n">
        <v>2041</v>
      </c>
      <c r="M49" s="56" t="n">
        <v>242470</v>
      </c>
      <c r="N49" s="57" t="n">
        <v>0</v>
      </c>
    </row>
    <row r="50">
      <c r="A50" s="4" t="n">
        <v>2019</v>
      </c>
      <c r="B50" s="56">
        <f>SUM(C50:E50)</f>
        <v/>
      </c>
      <c r="C50" s="56" t="n">
        <v>398777</v>
      </c>
      <c r="D50" s="56" t="n">
        <v>2179</v>
      </c>
      <c r="E50" s="56" t="n">
        <v>3439730</v>
      </c>
      <c r="F50" s="56">
        <f>SUM(G50:J50)</f>
        <v/>
      </c>
      <c r="G50" s="56" t="n">
        <v>1024624</v>
      </c>
      <c r="H50" s="56" t="n">
        <v>39491</v>
      </c>
      <c r="I50" s="56" t="n">
        <v>0</v>
      </c>
      <c r="J50" s="56" t="n">
        <v>1427592</v>
      </c>
      <c r="K50" s="56">
        <f>SUM(L50:N50)</f>
        <v/>
      </c>
      <c r="L50" s="56" t="n">
        <v>1838</v>
      </c>
      <c r="M50" s="56" t="n">
        <v>232480</v>
      </c>
      <c r="N50" s="57" t="n">
        <v>0</v>
      </c>
    </row>
    <row r="51">
      <c r="A51" s="4" t="n">
        <v>2020</v>
      </c>
      <c r="B51" s="56">
        <f>SUM(C51:E51)</f>
        <v/>
      </c>
      <c r="C51" s="56" t="n">
        <v>397713</v>
      </c>
      <c r="D51" s="56" t="n">
        <v>2293</v>
      </c>
      <c r="E51" s="56" t="n">
        <v>3659859</v>
      </c>
      <c r="F51" s="56">
        <f>SUM(G51:J51)</f>
        <v/>
      </c>
      <c r="G51" s="56" t="n">
        <v>1028143</v>
      </c>
      <c r="H51" s="56" t="n">
        <v>40083</v>
      </c>
      <c r="I51" s="56" t="n">
        <v>0</v>
      </c>
      <c r="J51" s="56" t="n">
        <v>1402537</v>
      </c>
      <c r="K51" s="56">
        <f>SUM(L51:N51)</f>
        <v/>
      </c>
      <c r="L51" s="56" t="n">
        <v>1862</v>
      </c>
      <c r="M51" s="56" t="n">
        <v>254378</v>
      </c>
      <c r="N51" s="57" t="n">
        <v>0</v>
      </c>
    </row>
    <row r="52">
      <c r="A52" s="4" t="n">
        <v>2021</v>
      </c>
      <c r="B52" s="56">
        <f>SUM(C52:E52)</f>
        <v/>
      </c>
      <c r="C52" s="56" t="n">
        <v>417552</v>
      </c>
      <c r="D52" s="56" t="n">
        <v>2466</v>
      </c>
      <c r="E52" s="56" t="n">
        <v>3984709</v>
      </c>
      <c r="F52" s="56">
        <f>SUM(G52:J52)</f>
        <v/>
      </c>
      <c r="G52" s="56" t="n">
        <v>1026911</v>
      </c>
      <c r="H52" s="56" t="n">
        <v>40957</v>
      </c>
      <c r="I52" s="56" t="n">
        <v>0</v>
      </c>
      <c r="J52" s="56" t="n">
        <v>1357868</v>
      </c>
      <c r="K52" s="56">
        <f>SUM(L52:N52)</f>
        <v/>
      </c>
      <c r="L52" s="56" t="n">
        <v>2437</v>
      </c>
      <c r="M52" s="56" t="n">
        <v>240419</v>
      </c>
      <c r="N52" s="57" t="n">
        <v>0</v>
      </c>
    </row>
    <row r="53">
      <c r="A53" s="4" t="n">
        <v>2022</v>
      </c>
      <c r="B53" s="56">
        <f>SUM(C53:E53)</f>
        <v/>
      </c>
      <c r="C53" s="56" t="n">
        <v>387248</v>
      </c>
      <c r="D53" s="56" t="n">
        <v>2311</v>
      </c>
      <c r="E53" s="56" t="n">
        <v>4034688</v>
      </c>
      <c r="F53" s="56">
        <f>SUM(G53:J53)</f>
        <v/>
      </c>
      <c r="G53" s="56" t="n">
        <v>1014857</v>
      </c>
      <c r="H53" s="56" t="n">
        <v>42071</v>
      </c>
      <c r="I53" s="56" t="n">
        <v>0</v>
      </c>
      <c r="J53" s="56" t="n">
        <v>957248</v>
      </c>
      <c r="K53" s="56">
        <f>SUM(L53:N53)</f>
        <v/>
      </c>
      <c r="L53" s="56" t="n">
        <v>1924</v>
      </c>
      <c r="M53" s="56" t="n">
        <v>222543</v>
      </c>
      <c r="N53" s="57" t="n">
        <v>0</v>
      </c>
    </row>
    <row r="54">
      <c r="A54" s="4" t="n">
        <v>2023</v>
      </c>
      <c r="B54" s="56">
        <f>SUM(C54:E54)</f>
        <v/>
      </c>
      <c r="C54" s="56" t="n">
        <v>331529</v>
      </c>
      <c r="D54" s="56" t="n">
        <v>2512</v>
      </c>
      <c r="E54" s="56" t="n">
        <v>3365114</v>
      </c>
      <c r="F54" s="56">
        <f>SUM(G54:J54)</f>
        <v/>
      </c>
      <c r="G54" s="56" t="n">
        <v>1029331</v>
      </c>
      <c r="H54" s="56" t="n">
        <v>41921</v>
      </c>
      <c r="I54" s="56" t="n">
        <v>0</v>
      </c>
      <c r="J54" s="56" t="n">
        <v>818265</v>
      </c>
      <c r="K54" s="56">
        <f>SUM(L54:N54)</f>
        <v/>
      </c>
      <c r="L54" s="56" t="n">
        <v>1836</v>
      </c>
      <c r="M54" s="56" t="n">
        <v>185636</v>
      </c>
      <c r="N54" s="57" t="n">
        <v>0</v>
      </c>
    </row>
    <row r="55">
      <c r="A55" s="22" t="n">
        <v>2024</v>
      </c>
      <c r="B55" s="58">
        <f>SUM(C55:E55)</f>
        <v/>
      </c>
      <c r="C55" s="58" t="n">
        <v>353361</v>
      </c>
      <c r="D55" s="58" t="n">
        <v>2295</v>
      </c>
      <c r="E55" s="58" t="n">
        <v>3588082</v>
      </c>
      <c r="F55" s="58">
        <f>SUM(G55:J55)</f>
        <v/>
      </c>
      <c r="G55" s="58" t="n">
        <v>1006460</v>
      </c>
      <c r="H55" s="58" t="n">
        <v>44374</v>
      </c>
      <c r="I55" s="58" t="n">
        <v>0</v>
      </c>
      <c r="J55" s="58" t="n">
        <v>883684</v>
      </c>
      <c r="K55" s="58">
        <f>SUM(L55:N55)</f>
        <v/>
      </c>
      <c r="L55" s="58" t="n">
        <v>1632</v>
      </c>
      <c r="M55" s="58" t="n">
        <v>211604</v>
      </c>
      <c r="N55" s="59" t="n">
        <v>0</v>
      </c>
    </row>
    <row r="56">
      <c r="A56" s="31" t="inlineStr">
        <is>
          <t>Avg</t>
        </is>
      </c>
      <c r="B56" s="60">
        <f>AVERAGE(B2:B55)</f>
        <v/>
      </c>
      <c r="C56" s="60">
        <f>AVERAGE(C2:C55)</f>
        <v/>
      </c>
      <c r="D56" s="60">
        <f>AVERAGE(D2:D55)</f>
        <v/>
      </c>
      <c r="E56" s="60">
        <f>AVERAGE(E2:E55)</f>
        <v/>
      </c>
      <c r="F56" s="60">
        <f>AVERAGE(F2:F55)</f>
        <v/>
      </c>
      <c r="G56" s="60">
        <f>AVERAGE(G2:G55)</f>
        <v/>
      </c>
      <c r="H56" s="60">
        <f>AVERAGE(H2:H55)</f>
        <v/>
      </c>
      <c r="I56" s="60">
        <f>AVERAGE(I2:I55)</f>
        <v/>
      </c>
      <c r="J56" s="60">
        <f>AVERAGE(J2:J55)</f>
        <v/>
      </c>
      <c r="K56" s="60">
        <f>AVERAGE(K2:K55)</f>
        <v/>
      </c>
      <c r="L56" s="60">
        <f>AVERAGE(L2:L55)</f>
        <v/>
      </c>
      <c r="M56" s="60">
        <f>AVERAGE(M2:M55)</f>
        <v/>
      </c>
      <c r="N56" s="61">
        <f>AVERAGE(N2:N55)</f>
        <v/>
      </c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</cols>
  <sheetData>
    <row r="1" ht="25" customHeight="1">
      <c r="A1" s="1" t="inlineStr">
        <is>
          <t>Year</t>
        </is>
      </c>
      <c r="B1" s="2" t="inlineStr">
        <is>
          <t>LB Tributary CUL</t>
        </is>
      </c>
      <c r="C1" s="2" t="inlineStr">
        <is>
          <t>AZ Tributary CUL</t>
        </is>
      </c>
      <c r="D1" s="2" t="inlineStr">
        <is>
          <t>NV Tributary CUL</t>
        </is>
      </c>
      <c r="E1" s="2" t="inlineStr">
        <is>
          <t>UT Tributary CUL</t>
        </is>
      </c>
      <c r="F1" s="2" t="inlineStr">
        <is>
          <t>NM Tributary CUL</t>
        </is>
      </c>
      <c r="G1" s="2" t="inlineStr">
        <is>
          <t>USGS Gila Dome</t>
        </is>
      </c>
      <c r="H1" s="2" t="inlineStr">
        <is>
          <t>Gila CUL</t>
        </is>
      </c>
      <c r="I1" s="2" t="inlineStr">
        <is>
          <t>AZ Gila CUL</t>
        </is>
      </c>
      <c r="J1" s="2" t="inlineStr">
        <is>
          <t>NM Gila CUL</t>
        </is>
      </c>
      <c r="K1" s="2" t="inlineStr">
        <is>
          <t>USGS LC Cameron</t>
        </is>
      </c>
      <c r="L1" s="2" t="inlineStr">
        <is>
          <t>Little Colorado CUL</t>
        </is>
      </c>
      <c r="M1" s="2" t="inlineStr">
        <is>
          <t>AZ LC CUL</t>
        </is>
      </c>
      <c r="N1" s="2" t="inlineStr">
        <is>
          <t>NM LC CUL</t>
        </is>
      </c>
      <c r="O1" s="2" t="inlineStr">
        <is>
          <t>USGS Virgin Littlefield</t>
        </is>
      </c>
      <c r="P1" s="2" t="inlineStr">
        <is>
          <t>Virgin CUL</t>
        </is>
      </c>
      <c r="Q1" s="2" t="inlineStr">
        <is>
          <t>AZ Virgin CUL</t>
        </is>
      </c>
      <c r="R1" s="2" t="inlineStr">
        <is>
          <t>NV Virgin CUL</t>
        </is>
      </c>
      <c r="S1" s="2" t="inlineStr">
        <is>
          <t>UT Virgin CUL</t>
        </is>
      </c>
      <c r="T1" s="2" t="inlineStr">
        <is>
          <t>USGS Bill Williams</t>
        </is>
      </c>
      <c r="U1" s="2" t="inlineStr">
        <is>
          <t>AZ Bill Williams CUL</t>
        </is>
      </c>
      <c r="V1" s="2" t="inlineStr">
        <is>
          <t>USGS Muddy Moapa</t>
        </is>
      </c>
      <c r="W1" s="2" t="inlineStr">
        <is>
          <t>NV Muddy CUL</t>
        </is>
      </c>
      <c r="X1" s="2" t="inlineStr">
        <is>
          <t>AZ Trib Below Lake Mead CUL</t>
        </is>
      </c>
      <c r="Y1" s="2" t="inlineStr">
        <is>
          <t>NV Trib Above Lake Mead  CUL</t>
        </is>
      </c>
      <c r="Z1" s="3" t="inlineStr">
        <is>
          <t>UT Trib Above Lake Mead CUL</t>
        </is>
      </c>
    </row>
    <row r="2">
      <c r="A2" s="4" t="n">
        <v>1971</v>
      </c>
      <c r="B2" s="62">
        <f>C2+D2+E2+F2</f>
        <v/>
      </c>
      <c r="C2" s="62">
        <f>I2+M2+Q2+U2+X2</f>
        <v/>
      </c>
      <c r="D2" s="62">
        <f>R2+W2+Y2</f>
        <v/>
      </c>
      <c r="E2" s="62">
        <f>S2+Z2</f>
        <v/>
      </c>
      <c r="F2" s="62">
        <f>J2+N2</f>
        <v/>
      </c>
      <c r="G2" s="63" t="n">
        <v>3759.684326171875</v>
      </c>
      <c r="H2" s="62">
        <f>I2+J2</f>
        <v/>
      </c>
      <c r="I2" s="62" t="n">
        <v>2781390</v>
      </c>
      <c r="J2" s="62" t="n">
        <v>17552</v>
      </c>
      <c r="K2" s="63" t="inlineStr"/>
      <c r="L2" s="62">
        <f>M2+N2</f>
        <v/>
      </c>
      <c r="M2" s="62" t="n">
        <v>81305</v>
      </c>
      <c r="N2" s="62" t="n">
        <v>10656</v>
      </c>
      <c r="O2" s="63" t="n">
        <v>113572.859375</v>
      </c>
      <c r="P2" s="62">
        <f>Q2+R2+S2</f>
        <v/>
      </c>
      <c r="Q2" s="62" t="n">
        <v>5293</v>
      </c>
      <c r="R2" s="62" t="n">
        <v>9357</v>
      </c>
      <c r="S2" s="62" t="n">
        <v>35245</v>
      </c>
      <c r="T2" s="63" t="inlineStr"/>
      <c r="U2" s="62" t="n">
        <v>16206</v>
      </c>
      <c r="V2" s="63" t="n">
        <v>28466.603515625</v>
      </c>
      <c r="W2" s="62" t="n">
        <v>53875</v>
      </c>
      <c r="X2" s="62" t="n">
        <v>5903</v>
      </c>
      <c r="Y2" s="62" t="n">
        <v>39077</v>
      </c>
      <c r="Z2" s="64" t="n">
        <v>5257</v>
      </c>
    </row>
    <row r="3">
      <c r="A3" s="4" t="n">
        <v>1972</v>
      </c>
      <c r="B3" s="62">
        <f>C3+D3+E3+F3</f>
        <v/>
      </c>
      <c r="C3" s="62">
        <f>I3+M3+Q3+U3+X3</f>
        <v/>
      </c>
      <c r="D3" s="62">
        <f>R3+W3+Y3</f>
        <v/>
      </c>
      <c r="E3" s="62">
        <f>S3+Z3</f>
        <v/>
      </c>
      <c r="F3" s="62">
        <f>J3+N3</f>
        <v/>
      </c>
      <c r="G3" s="63" t="n">
        <v>3362.35791015625</v>
      </c>
      <c r="H3" s="62">
        <f>I3+J3</f>
        <v/>
      </c>
      <c r="I3" s="62" t="n">
        <v>3020368</v>
      </c>
      <c r="J3" s="62" t="n">
        <v>19540</v>
      </c>
      <c r="K3" s="63" t="inlineStr"/>
      <c r="L3" s="62">
        <f>M3+N3</f>
        <v/>
      </c>
      <c r="M3" s="62" t="n">
        <v>88042</v>
      </c>
      <c r="N3" s="62" t="n">
        <v>11058</v>
      </c>
      <c r="O3" s="63" t="n">
        <v>128371.453125</v>
      </c>
      <c r="P3" s="62">
        <f>Q3+R3+S3</f>
        <v/>
      </c>
      <c r="Q3" s="62" t="n">
        <v>5810</v>
      </c>
      <c r="R3" s="62" t="n">
        <v>10341</v>
      </c>
      <c r="S3" s="62" t="n">
        <v>39017</v>
      </c>
      <c r="T3" s="63" t="inlineStr"/>
      <c r="U3" s="62" t="n">
        <v>17350</v>
      </c>
      <c r="V3" s="63" t="n">
        <v>33151.53515625</v>
      </c>
      <c r="W3" s="62" t="n">
        <v>58922</v>
      </c>
      <c r="X3" s="62" t="n">
        <v>6035</v>
      </c>
      <c r="Y3" s="62" t="n">
        <v>21177</v>
      </c>
      <c r="Z3" s="64" t="n">
        <v>5824</v>
      </c>
    </row>
    <row r="4">
      <c r="A4" s="4" t="n">
        <v>1973</v>
      </c>
      <c r="B4" s="62">
        <f>C4+D4+E4+F4</f>
        <v/>
      </c>
      <c r="C4" s="62">
        <f>I4+M4+Q4+U4+X4</f>
        <v/>
      </c>
      <c r="D4" s="62">
        <f>R4+W4+Y4</f>
        <v/>
      </c>
      <c r="E4" s="62">
        <f>S4+Z4</f>
        <v/>
      </c>
      <c r="F4" s="62">
        <f>J4+N4</f>
        <v/>
      </c>
      <c r="G4" s="63" t="n">
        <v>104580.859375</v>
      </c>
      <c r="H4" s="62">
        <f>I4+J4</f>
        <v/>
      </c>
      <c r="I4" s="62" t="n">
        <v>3184411</v>
      </c>
      <c r="J4" s="62" t="n">
        <v>21298</v>
      </c>
      <c r="K4" s="63" t="inlineStr"/>
      <c r="L4" s="62">
        <f>M4+N4</f>
        <v/>
      </c>
      <c r="M4" s="62" t="n">
        <v>97963</v>
      </c>
      <c r="N4" s="62" t="n">
        <v>11247</v>
      </c>
      <c r="O4" s="63" t="n">
        <v>306434.5</v>
      </c>
      <c r="P4" s="62">
        <f>Q4+R4+S4</f>
        <v/>
      </c>
      <c r="Q4" s="62" t="n">
        <v>5933</v>
      </c>
      <c r="R4" s="62" t="n">
        <v>10484</v>
      </c>
      <c r="S4" s="62" t="n">
        <v>43818</v>
      </c>
      <c r="T4" s="63" t="inlineStr"/>
      <c r="U4" s="62" t="n">
        <v>17772</v>
      </c>
      <c r="V4" s="63" t="n">
        <v>31455.67578125</v>
      </c>
      <c r="W4" s="62" t="n">
        <v>59205</v>
      </c>
      <c r="X4" s="62" t="n">
        <v>6339</v>
      </c>
      <c r="Y4" s="62" t="n">
        <v>17142</v>
      </c>
      <c r="Z4" s="64" t="n">
        <v>5913</v>
      </c>
    </row>
    <row r="5">
      <c r="A5" s="4" t="n">
        <v>1974</v>
      </c>
      <c r="B5" s="62">
        <f>C5+D5+E5+F5</f>
        <v/>
      </c>
      <c r="C5" s="62">
        <f>I5+M5+Q5+U5+X5</f>
        <v/>
      </c>
      <c r="D5" s="62">
        <f>R5+W5+Y5</f>
        <v/>
      </c>
      <c r="E5" s="62">
        <f>S5+Z5</f>
        <v/>
      </c>
      <c r="F5" s="62">
        <f>J5+N5</f>
        <v/>
      </c>
      <c r="G5" s="63" t="n">
        <v>1360.533935546875</v>
      </c>
      <c r="H5" s="62">
        <f>I5+J5</f>
        <v/>
      </c>
      <c r="I5" s="62" t="n">
        <v>3275182</v>
      </c>
      <c r="J5" s="62" t="n">
        <v>23334</v>
      </c>
      <c r="K5" s="63" t="inlineStr"/>
      <c r="L5" s="62">
        <f>M5+N5</f>
        <v/>
      </c>
      <c r="M5" s="62" t="n">
        <v>103213</v>
      </c>
      <c r="N5" s="62" t="n">
        <v>11551</v>
      </c>
      <c r="O5" s="63" t="n">
        <v>92873.484375</v>
      </c>
      <c r="P5" s="62">
        <f>Q5+R5+S5</f>
        <v/>
      </c>
      <c r="Q5" s="62" t="n">
        <v>6380</v>
      </c>
      <c r="R5" s="62" t="n">
        <v>10996</v>
      </c>
      <c r="S5" s="62" t="n">
        <v>49343</v>
      </c>
      <c r="T5" s="63" t="inlineStr"/>
      <c r="U5" s="62" t="n">
        <v>21849</v>
      </c>
      <c r="V5" s="63" t="n">
        <v>29051.724609375</v>
      </c>
      <c r="W5" s="62" t="n">
        <v>76608</v>
      </c>
      <c r="X5" s="62" t="n">
        <v>6045</v>
      </c>
      <c r="Y5" s="62" t="n">
        <v>22183</v>
      </c>
      <c r="Z5" s="64" t="n">
        <v>6158</v>
      </c>
    </row>
    <row r="6">
      <c r="A6" s="4" t="n">
        <v>1975</v>
      </c>
      <c r="B6" s="62">
        <f>C6+D6+E6+F6</f>
        <v/>
      </c>
      <c r="C6" s="62">
        <f>I6+M6+Q6+U6+X6</f>
        <v/>
      </c>
      <c r="D6" s="62">
        <f>R6+W6+Y6</f>
        <v/>
      </c>
      <c r="E6" s="62">
        <f>S6+Z6</f>
        <v/>
      </c>
      <c r="F6" s="62">
        <f>J6+N6</f>
        <v/>
      </c>
      <c r="G6" s="63" t="n">
        <v>1158.597534179688</v>
      </c>
      <c r="H6" s="62">
        <f>I6+J6</f>
        <v/>
      </c>
      <c r="I6" s="62" t="n">
        <v>3507102</v>
      </c>
      <c r="J6" s="62" t="n">
        <v>21182</v>
      </c>
      <c r="K6" s="63" t="inlineStr"/>
      <c r="L6" s="62">
        <f>M6+N6</f>
        <v/>
      </c>
      <c r="M6" s="62" t="n">
        <v>115855</v>
      </c>
      <c r="N6" s="62" t="n">
        <v>12072</v>
      </c>
      <c r="O6" s="63" t="n">
        <v>102550.78125</v>
      </c>
      <c r="P6" s="62">
        <f>Q6+R6+S6</f>
        <v/>
      </c>
      <c r="Q6" s="62" t="n">
        <v>6141</v>
      </c>
      <c r="R6" s="62" t="n">
        <v>11018</v>
      </c>
      <c r="S6" s="62" t="n">
        <v>52721</v>
      </c>
      <c r="T6" s="63" t="inlineStr"/>
      <c r="U6" s="62" t="n">
        <v>18237</v>
      </c>
      <c r="V6" s="63" t="n">
        <v>28301.9765625</v>
      </c>
      <c r="W6" s="62" t="n">
        <v>82853</v>
      </c>
      <c r="X6" s="62" t="n">
        <v>8085</v>
      </c>
      <c r="Y6" s="62" t="n">
        <v>45833</v>
      </c>
      <c r="Z6" s="64" t="n">
        <v>8662</v>
      </c>
    </row>
    <row r="7">
      <c r="A7" s="4" t="n">
        <v>1976</v>
      </c>
      <c r="B7" s="62">
        <f>C7+D7+E7+F7</f>
        <v/>
      </c>
      <c r="C7" s="62">
        <f>I7+M7+Q7+U7+X7</f>
        <v/>
      </c>
      <c r="D7" s="62">
        <f>R7+W7+Y7</f>
        <v/>
      </c>
      <c r="E7" s="62">
        <f>S7+Z7</f>
        <v/>
      </c>
      <c r="F7" s="62">
        <f>J7+N7</f>
        <v/>
      </c>
      <c r="G7" s="63" t="n">
        <v>1251.820556640625</v>
      </c>
      <c r="H7" s="62">
        <f>I7+J7</f>
        <v/>
      </c>
      <c r="I7" s="62" t="n">
        <v>3278065</v>
      </c>
      <c r="J7" s="62" t="n">
        <v>23250</v>
      </c>
      <c r="K7" s="63" t="inlineStr"/>
      <c r="L7" s="62">
        <f>M7+N7</f>
        <v/>
      </c>
      <c r="M7" s="62" t="n">
        <v>114509</v>
      </c>
      <c r="N7" s="62" t="n">
        <v>10527</v>
      </c>
      <c r="O7" s="63" t="n">
        <v>97179.5703125</v>
      </c>
      <c r="P7" s="62">
        <f>Q7+R7+S7</f>
        <v/>
      </c>
      <c r="Q7" s="62" t="n">
        <v>6216</v>
      </c>
      <c r="R7" s="62" t="n">
        <v>11697</v>
      </c>
      <c r="S7" s="62" t="n">
        <v>47791</v>
      </c>
      <c r="T7" s="63" t="inlineStr"/>
      <c r="U7" s="62" t="n">
        <v>21144</v>
      </c>
      <c r="V7" s="63" t="n">
        <v>30440.14453125</v>
      </c>
      <c r="W7" s="62" t="n">
        <v>77904</v>
      </c>
      <c r="X7" s="62" t="n">
        <v>7273</v>
      </c>
      <c r="Y7" s="62" t="n">
        <v>44798</v>
      </c>
      <c r="Z7" s="64" t="n">
        <v>6499</v>
      </c>
    </row>
    <row r="8">
      <c r="A8" s="4" t="n">
        <v>1977</v>
      </c>
      <c r="B8" s="62">
        <f>C8+D8+E8+F8</f>
        <v/>
      </c>
      <c r="C8" s="62">
        <f>I8+M8+Q8+U8+X8</f>
        <v/>
      </c>
      <c r="D8" s="62">
        <f>R8+W8+Y8</f>
        <v/>
      </c>
      <c r="E8" s="62">
        <f>S8+Z8</f>
        <v/>
      </c>
      <c r="F8" s="62">
        <f>J8+N8</f>
        <v/>
      </c>
      <c r="G8" s="63" t="n">
        <v>3077.792724609375</v>
      </c>
      <c r="H8" s="62">
        <f>I8+J8</f>
        <v/>
      </c>
      <c r="I8" s="62" t="n">
        <v>3294186</v>
      </c>
      <c r="J8" s="62" t="n">
        <v>21495</v>
      </c>
      <c r="K8" s="63" t="inlineStr"/>
      <c r="L8" s="62">
        <f>M8+N8</f>
        <v/>
      </c>
      <c r="M8" s="62" t="n">
        <v>100981</v>
      </c>
      <c r="N8" s="62" t="n">
        <v>10693</v>
      </c>
      <c r="O8" s="63" t="n">
        <v>73078.5625</v>
      </c>
      <c r="P8" s="62">
        <f>Q8+R8+S8</f>
        <v/>
      </c>
      <c r="Q8" s="62" t="n">
        <v>7024</v>
      </c>
      <c r="R8" s="62" t="n">
        <v>12954</v>
      </c>
      <c r="S8" s="62" t="n">
        <v>57854</v>
      </c>
      <c r="T8" s="63" t="inlineStr"/>
      <c r="U8" s="62" t="n">
        <v>23376</v>
      </c>
      <c r="V8" s="63" t="n">
        <v>25749.265625</v>
      </c>
      <c r="W8" s="62" t="n">
        <v>95385</v>
      </c>
      <c r="X8" s="62" t="n">
        <v>9828</v>
      </c>
      <c r="Y8" s="62" t="n">
        <v>45133</v>
      </c>
      <c r="Z8" s="64" t="n">
        <v>12087</v>
      </c>
    </row>
    <row r="9">
      <c r="A9" s="4" t="n">
        <v>1978</v>
      </c>
      <c r="B9" s="62">
        <f>C9+D9+E9+F9</f>
        <v/>
      </c>
      <c r="C9" s="62">
        <f>I9+M9+Q9+U9+X9</f>
        <v/>
      </c>
      <c r="D9" s="62">
        <f>R9+W9+Y9</f>
        <v/>
      </c>
      <c r="E9" s="62">
        <f>S9+Z9</f>
        <v/>
      </c>
      <c r="F9" s="62">
        <f>J9+N9</f>
        <v/>
      </c>
      <c r="G9" s="63" t="n">
        <v>773.806884765625</v>
      </c>
      <c r="H9" s="62">
        <f>I9+J9</f>
        <v/>
      </c>
      <c r="I9" s="62" t="n">
        <v>3091635</v>
      </c>
      <c r="J9" s="62" t="n">
        <v>23263</v>
      </c>
      <c r="K9" s="63" t="inlineStr"/>
      <c r="L9" s="62">
        <f>M9+N9</f>
        <v/>
      </c>
      <c r="M9" s="62" t="n">
        <v>108736</v>
      </c>
      <c r="N9" s="62" t="n">
        <v>10358</v>
      </c>
      <c r="O9" s="63" t="n">
        <v>269589.75</v>
      </c>
      <c r="P9" s="62">
        <f>Q9+R9+S9</f>
        <v/>
      </c>
      <c r="Q9" s="62" t="n">
        <v>6780</v>
      </c>
      <c r="R9" s="62" t="n">
        <v>11886</v>
      </c>
      <c r="S9" s="62" t="n">
        <v>64792</v>
      </c>
      <c r="T9" s="63" t="inlineStr"/>
      <c r="U9" s="62" t="n">
        <v>40475</v>
      </c>
      <c r="V9" s="63" t="n">
        <v>26713.2265625</v>
      </c>
      <c r="W9" s="62" t="n">
        <v>79203</v>
      </c>
      <c r="X9" s="62" t="n">
        <v>10009</v>
      </c>
      <c r="Y9" s="62" t="n">
        <v>44330</v>
      </c>
      <c r="Z9" s="64" t="n">
        <v>10153</v>
      </c>
    </row>
    <row r="10">
      <c r="A10" s="4" t="n">
        <v>1979</v>
      </c>
      <c r="B10" s="62">
        <f>C10+D10+E10+F10</f>
        <v/>
      </c>
      <c r="C10" s="62">
        <f>I10+M10+Q10+U10+X10</f>
        <v/>
      </c>
      <c r="D10" s="62">
        <f>R10+W10+Y10</f>
        <v/>
      </c>
      <c r="E10" s="62">
        <f>S10+Z10</f>
        <v/>
      </c>
      <c r="F10" s="62">
        <f>J10+N10</f>
        <v/>
      </c>
      <c r="G10" s="63" t="n">
        <v>1442992.75</v>
      </c>
      <c r="H10" s="62">
        <f>I10+J10</f>
        <v/>
      </c>
      <c r="I10" s="62" t="n">
        <v>3481764</v>
      </c>
      <c r="J10" s="62" t="n">
        <v>16962</v>
      </c>
      <c r="K10" s="63" t="inlineStr"/>
      <c r="L10" s="62">
        <f>M10+N10</f>
        <v/>
      </c>
      <c r="M10" s="62" t="n">
        <v>114526</v>
      </c>
      <c r="N10" s="62" t="n">
        <v>10805</v>
      </c>
      <c r="O10" s="63" t="n">
        <v>305260.28125</v>
      </c>
      <c r="P10" s="62">
        <f>Q10+R10+S10</f>
        <v/>
      </c>
      <c r="Q10" s="62" t="n">
        <v>7567</v>
      </c>
      <c r="R10" s="62" t="n">
        <v>11525</v>
      </c>
      <c r="S10" s="62" t="n">
        <v>61340</v>
      </c>
      <c r="T10" s="63" t="inlineStr"/>
      <c r="U10" s="62" t="n">
        <v>46992</v>
      </c>
      <c r="V10" s="63" t="n">
        <v>28829.576171875</v>
      </c>
      <c r="W10" s="62" t="n">
        <v>81791</v>
      </c>
      <c r="X10" s="62" t="n">
        <v>10088</v>
      </c>
      <c r="Y10" s="62" t="n">
        <v>48624</v>
      </c>
      <c r="Z10" s="64" t="n">
        <v>6141</v>
      </c>
    </row>
    <row r="11">
      <c r="A11" s="4" t="n">
        <v>1980</v>
      </c>
      <c r="B11" s="62">
        <f>C11+D11+E11+F11</f>
        <v/>
      </c>
      <c r="C11" s="62">
        <f>I11+M11+Q11+U11+X11</f>
        <v/>
      </c>
      <c r="D11" s="62">
        <f>R11+W11+Y11</f>
        <v/>
      </c>
      <c r="E11" s="62">
        <f>S11+Z11</f>
        <v/>
      </c>
      <c r="F11" s="62">
        <f>J11+N11</f>
        <v/>
      </c>
      <c r="G11" s="63" t="n">
        <v>1844579.125</v>
      </c>
      <c r="H11" s="62">
        <f>I11+J11</f>
        <v/>
      </c>
      <c r="I11" s="62" t="n">
        <v>3589613</v>
      </c>
      <c r="J11" s="62" t="n">
        <v>22072</v>
      </c>
      <c r="K11" s="63" t="inlineStr"/>
      <c r="L11" s="62">
        <f>M11+N11</f>
        <v/>
      </c>
      <c r="M11" s="62" t="n">
        <v>126317</v>
      </c>
      <c r="N11" s="62" t="n">
        <v>10961</v>
      </c>
      <c r="O11" s="63" t="n">
        <v>469415.3125</v>
      </c>
      <c r="P11" s="62">
        <f>Q11+R11+S11</f>
        <v/>
      </c>
      <c r="Q11" s="62" t="n">
        <v>8210</v>
      </c>
      <c r="R11" s="62" t="n">
        <v>12940</v>
      </c>
      <c r="S11" s="62" t="n">
        <v>81570</v>
      </c>
      <c r="T11" s="63" t="inlineStr"/>
      <c r="U11" s="62" t="n">
        <v>47780</v>
      </c>
      <c r="V11" s="63" t="n">
        <v>28704.619140625</v>
      </c>
      <c r="W11" s="62" t="n">
        <v>109971</v>
      </c>
      <c r="X11" s="62" t="n">
        <v>11846</v>
      </c>
      <c r="Y11" s="62" t="n">
        <v>46624</v>
      </c>
      <c r="Z11" s="64" t="n">
        <v>14377</v>
      </c>
    </row>
    <row r="12">
      <c r="A12" s="4" t="n">
        <v>1981</v>
      </c>
      <c r="B12" s="62">
        <f>C12+D12+E12+F12</f>
        <v/>
      </c>
      <c r="C12" s="62">
        <f>I12+M12+Q12+U12+X12</f>
        <v/>
      </c>
      <c r="D12" s="62">
        <f>R12+W12+Y12</f>
        <v/>
      </c>
      <c r="E12" s="62">
        <f>S12+Z12</f>
        <v/>
      </c>
      <c r="F12" s="62">
        <f>J12+N12</f>
        <v/>
      </c>
      <c r="G12" s="63" t="n">
        <v>28605.4375</v>
      </c>
      <c r="H12" s="62">
        <f>I12+J12</f>
        <v/>
      </c>
      <c r="I12" s="62" t="n">
        <v>3638134</v>
      </c>
      <c r="J12" s="62" t="n">
        <v>22939</v>
      </c>
      <c r="K12" s="63" t="n">
        <v>68512.0546875</v>
      </c>
      <c r="L12" s="62">
        <f>M12+N12</f>
        <v/>
      </c>
      <c r="M12" s="62" t="n">
        <v>123668</v>
      </c>
      <c r="N12" s="62" t="n">
        <v>11400</v>
      </c>
      <c r="O12" s="63" t="n">
        <v>151647.34375</v>
      </c>
      <c r="P12" s="62">
        <f>Q12+R12+S12</f>
        <v/>
      </c>
      <c r="Q12" s="62" t="n">
        <v>8338</v>
      </c>
      <c r="R12" s="62" t="n">
        <v>11845</v>
      </c>
      <c r="S12" s="62" t="n">
        <v>68667</v>
      </c>
      <c r="T12" s="63" t="inlineStr"/>
      <c r="U12" s="62" t="n">
        <v>37586</v>
      </c>
      <c r="V12" s="63" t="n">
        <v>27496.69140625</v>
      </c>
      <c r="W12" s="62" t="n">
        <v>103659</v>
      </c>
      <c r="X12" s="62" t="n">
        <v>11410</v>
      </c>
      <c r="Y12" s="62" t="n">
        <v>46800</v>
      </c>
      <c r="Z12" s="64" t="n">
        <v>11767</v>
      </c>
    </row>
    <row r="13">
      <c r="A13" s="4" t="n">
        <v>1982</v>
      </c>
      <c r="B13" s="62">
        <f>C13+D13+E13+F13</f>
        <v/>
      </c>
      <c r="C13" s="62">
        <f>I13+M13+Q13+U13+X13</f>
        <v/>
      </c>
      <c r="D13" s="62">
        <f>R13+W13+Y13</f>
        <v/>
      </c>
      <c r="E13" s="62">
        <f>S13+Z13</f>
        <v/>
      </c>
      <c r="F13" s="62">
        <f>J13+N13</f>
        <v/>
      </c>
      <c r="G13" s="63" t="n">
        <v>4773.5888671875</v>
      </c>
      <c r="H13" s="62">
        <f>I13+J13</f>
        <v/>
      </c>
      <c r="I13" s="62" t="n">
        <v>3162957</v>
      </c>
      <c r="J13" s="62" t="n">
        <v>19607</v>
      </c>
      <c r="K13" s="63" t="n">
        <v>231172.125</v>
      </c>
      <c r="L13" s="62">
        <f>M13+N13</f>
        <v/>
      </c>
      <c r="M13" s="62" t="n">
        <v>117870</v>
      </c>
      <c r="N13" s="62" t="n">
        <v>11432</v>
      </c>
      <c r="O13" s="63" t="n">
        <v>191019</v>
      </c>
      <c r="P13" s="62">
        <f>Q13+R13+S13</f>
        <v/>
      </c>
      <c r="Q13" s="62" t="n">
        <v>7122</v>
      </c>
      <c r="R13" s="62" t="n">
        <v>10018</v>
      </c>
      <c r="S13" s="62" t="n">
        <v>56835</v>
      </c>
      <c r="T13" s="63" t="inlineStr"/>
      <c r="U13" s="62" t="n">
        <v>32725</v>
      </c>
      <c r="V13" s="63" t="n">
        <v>27254.7109375</v>
      </c>
      <c r="W13" s="62" t="n">
        <v>81035</v>
      </c>
      <c r="X13" s="62" t="n">
        <v>10235</v>
      </c>
      <c r="Y13" s="62" t="n">
        <v>39420</v>
      </c>
      <c r="Z13" s="64" t="n">
        <v>9950</v>
      </c>
    </row>
    <row r="14">
      <c r="A14" s="4" t="n">
        <v>1983</v>
      </c>
      <c r="B14" s="62">
        <f>C14+D14+E14+F14</f>
        <v/>
      </c>
      <c r="C14" s="62">
        <f>I14+M14+Q14+U14+X14</f>
        <v/>
      </c>
      <c r="D14" s="62">
        <f>R14+W14+Y14</f>
        <v/>
      </c>
      <c r="E14" s="62">
        <f>S14+Z14</f>
        <v/>
      </c>
      <c r="F14" s="62">
        <f>J14+N14</f>
        <v/>
      </c>
      <c r="G14" s="63" t="n">
        <v>928380.0625</v>
      </c>
      <c r="H14" s="62">
        <f>I14+J14</f>
        <v/>
      </c>
      <c r="I14" s="62" t="n">
        <v>3425072</v>
      </c>
      <c r="J14" s="62" t="n">
        <v>18351</v>
      </c>
      <c r="K14" s="63" t="n">
        <v>351255.71875</v>
      </c>
      <c r="L14" s="62">
        <f>M14+N14</f>
        <v/>
      </c>
      <c r="M14" s="62" t="n">
        <v>121200</v>
      </c>
      <c r="N14" s="62" t="n">
        <v>11473</v>
      </c>
      <c r="O14" s="63" t="n">
        <v>506426.65625</v>
      </c>
      <c r="P14" s="62">
        <f>Q14+R14+S14</f>
        <v/>
      </c>
      <c r="Q14" s="62" t="n">
        <v>7132</v>
      </c>
      <c r="R14" s="62" t="n">
        <v>12058</v>
      </c>
      <c r="S14" s="62" t="n">
        <v>74665</v>
      </c>
      <c r="T14" s="63" t="inlineStr"/>
      <c r="U14" s="62" t="n">
        <v>40684</v>
      </c>
      <c r="V14" s="63" t="n">
        <v>28793.875</v>
      </c>
      <c r="W14" s="62" t="n">
        <v>98854</v>
      </c>
      <c r="X14" s="62" t="n">
        <v>10258</v>
      </c>
      <c r="Y14" s="62" t="n">
        <v>62327</v>
      </c>
      <c r="Z14" s="64" t="n">
        <v>11014</v>
      </c>
    </row>
    <row r="15">
      <c r="A15" s="4" t="n">
        <v>1984</v>
      </c>
      <c r="B15" s="62">
        <f>C15+D15+E15+F15</f>
        <v/>
      </c>
      <c r="C15" s="62">
        <f>I15+M15+Q15+U15+X15</f>
        <v/>
      </c>
      <c r="D15" s="62">
        <f>R15+W15+Y15</f>
        <v/>
      </c>
      <c r="E15" s="62">
        <f>S15+Z15</f>
        <v/>
      </c>
      <c r="F15" s="62">
        <f>J15+N15</f>
        <v/>
      </c>
      <c r="G15" s="63" t="n">
        <v>266011.84375</v>
      </c>
      <c r="H15" s="62">
        <f>I15+J15</f>
        <v/>
      </c>
      <c r="I15" s="62" t="n">
        <v>3094634</v>
      </c>
      <c r="J15" s="62" t="n">
        <v>17983</v>
      </c>
      <c r="K15" s="63" t="n">
        <v>196133.03125</v>
      </c>
      <c r="L15" s="62">
        <f>M15+N15</f>
        <v/>
      </c>
      <c r="M15" s="62" t="n">
        <v>140775</v>
      </c>
      <c r="N15" s="62" t="n">
        <v>11620</v>
      </c>
      <c r="O15" s="63" t="n">
        <v>170555.65625</v>
      </c>
      <c r="P15" s="62">
        <f>Q15+R15+S15</f>
        <v/>
      </c>
      <c r="Q15" s="62" t="n">
        <v>6422</v>
      </c>
      <c r="R15" s="62" t="n">
        <v>11542</v>
      </c>
      <c r="S15" s="62" t="n">
        <v>68336</v>
      </c>
      <c r="T15" s="63" t="inlineStr"/>
      <c r="U15" s="62" t="n">
        <v>35207</v>
      </c>
      <c r="V15" s="63" t="n">
        <v>28428.91796875</v>
      </c>
      <c r="W15" s="62" t="n">
        <v>97417</v>
      </c>
      <c r="X15" s="62" t="n">
        <v>10733</v>
      </c>
      <c r="Y15" s="62" t="n">
        <v>61894</v>
      </c>
      <c r="Z15" s="64" t="n">
        <v>10011</v>
      </c>
    </row>
    <row r="16">
      <c r="A16" s="4" t="n">
        <v>1985</v>
      </c>
      <c r="B16" s="62">
        <f>C16+D16+E16+F16</f>
        <v/>
      </c>
      <c r="C16" s="62">
        <f>I16+M16+Q16+U16+X16</f>
        <v/>
      </c>
      <c r="D16" s="62">
        <f>R16+W16+Y16</f>
        <v/>
      </c>
      <c r="E16" s="62">
        <f>S16+Z16</f>
        <v/>
      </c>
      <c r="F16" s="62">
        <f>J16+N16</f>
        <v/>
      </c>
      <c r="G16" s="63" t="n">
        <v>785187.9375</v>
      </c>
      <c r="H16" s="62">
        <f>I16+J16</f>
        <v/>
      </c>
      <c r="I16" s="62" t="n">
        <v>3499646</v>
      </c>
      <c r="J16" s="62" t="n">
        <v>19127</v>
      </c>
      <c r="K16" s="63" t="n">
        <v>252668.6875</v>
      </c>
      <c r="L16" s="62">
        <f>M16+N16</f>
        <v/>
      </c>
      <c r="M16" s="62" t="n">
        <v>131908</v>
      </c>
      <c r="N16" s="62" t="n">
        <v>16397</v>
      </c>
      <c r="O16" s="63" t="n">
        <v>171017.796875</v>
      </c>
      <c r="P16" s="62">
        <f>Q16+R16+S16</f>
        <v/>
      </c>
      <c r="Q16" s="62" t="n">
        <v>10663</v>
      </c>
      <c r="R16" s="62" t="n">
        <v>13520</v>
      </c>
      <c r="S16" s="62" t="n">
        <v>99392</v>
      </c>
      <c r="T16" s="63" t="inlineStr"/>
      <c r="U16" s="62" t="n">
        <v>46744</v>
      </c>
      <c r="V16" s="63" t="n">
        <v>27397.51953125</v>
      </c>
      <c r="W16" s="62" t="n">
        <v>104855</v>
      </c>
      <c r="X16" s="62" t="n">
        <v>12197</v>
      </c>
      <c r="Y16" s="62" t="n">
        <v>60324</v>
      </c>
      <c r="Z16" s="64" t="n">
        <v>10601</v>
      </c>
    </row>
    <row r="17">
      <c r="A17" s="4" t="n">
        <v>1986</v>
      </c>
      <c r="B17" s="62">
        <f>C17+D17+E17+F17</f>
        <v/>
      </c>
      <c r="C17" s="62">
        <f>I17+M17+Q17+U17+X17</f>
        <v/>
      </c>
      <c r="D17" s="62">
        <f>R17+W17+Y17</f>
        <v/>
      </c>
      <c r="E17" s="62">
        <f>S17+Z17</f>
        <v/>
      </c>
      <c r="F17" s="62">
        <f>J17+N17</f>
        <v/>
      </c>
      <c r="G17" s="63" t="n">
        <v>15688.365234375</v>
      </c>
      <c r="H17" s="62">
        <f>I17+J17</f>
        <v/>
      </c>
      <c r="I17" s="62" t="n">
        <v>3341719</v>
      </c>
      <c r="J17" s="62" t="n">
        <v>17994</v>
      </c>
      <c r="K17" s="63" t="n">
        <v>110490.5390625</v>
      </c>
      <c r="L17" s="62">
        <f>M17+N17</f>
        <v/>
      </c>
      <c r="M17" s="62" t="n">
        <v>129457</v>
      </c>
      <c r="N17" s="62" t="n">
        <v>15429</v>
      </c>
      <c r="O17" s="63" t="n">
        <v>147194.46875</v>
      </c>
      <c r="P17" s="62">
        <f>Q17+R17+S17</f>
        <v/>
      </c>
      <c r="Q17" s="62" t="n">
        <v>10564</v>
      </c>
      <c r="R17" s="62" t="n">
        <v>14676</v>
      </c>
      <c r="S17" s="62" t="n">
        <v>105247</v>
      </c>
      <c r="T17" s="63" t="inlineStr"/>
      <c r="U17" s="62" t="n">
        <v>47308</v>
      </c>
      <c r="V17" s="63" t="n">
        <v>26524.796875</v>
      </c>
      <c r="W17" s="62" t="n">
        <v>132781</v>
      </c>
      <c r="X17" s="62" t="n">
        <v>14455</v>
      </c>
      <c r="Y17" s="62" t="n">
        <v>60178</v>
      </c>
      <c r="Z17" s="64" t="n">
        <v>14972</v>
      </c>
    </row>
    <row r="18">
      <c r="A18" s="4" t="n">
        <v>1987</v>
      </c>
      <c r="B18" s="62">
        <f>C18+D18+E18+F18</f>
        <v/>
      </c>
      <c r="C18" s="62">
        <f>I18+M18+Q18+U18+X18</f>
        <v/>
      </c>
      <c r="D18" s="62">
        <f>R18+W18+Y18</f>
        <v/>
      </c>
      <c r="E18" s="62">
        <f>S18+Z18</f>
        <v/>
      </c>
      <c r="F18" s="62">
        <f>J18+N18</f>
        <v/>
      </c>
      <c r="G18" s="63" t="n">
        <v>8253.9658203125</v>
      </c>
      <c r="H18" s="62">
        <f>I18+J18</f>
        <v/>
      </c>
      <c r="I18" s="62" t="n">
        <v>2895791</v>
      </c>
      <c r="J18" s="62" t="n">
        <v>17313</v>
      </c>
      <c r="K18" s="63" t="n">
        <v>173433.25</v>
      </c>
      <c r="L18" s="62">
        <f>M18+N18</f>
        <v/>
      </c>
      <c r="M18" s="62" t="n">
        <v>132687</v>
      </c>
      <c r="N18" s="62" t="n">
        <v>14199</v>
      </c>
      <c r="O18" s="63" t="n">
        <v>133566.125</v>
      </c>
      <c r="P18" s="62">
        <f>Q18+R18+S18</f>
        <v/>
      </c>
      <c r="Q18" s="62" t="n">
        <v>9612</v>
      </c>
      <c r="R18" s="62" t="n">
        <v>13247</v>
      </c>
      <c r="S18" s="62" t="n">
        <v>94123</v>
      </c>
      <c r="T18" s="63" t="inlineStr"/>
      <c r="U18" s="62" t="n">
        <v>37186</v>
      </c>
      <c r="V18" s="63" t="n">
        <v>28383.298828125</v>
      </c>
      <c r="W18" s="62" t="n">
        <v>105598</v>
      </c>
      <c r="X18" s="62" t="n">
        <v>13107</v>
      </c>
      <c r="Y18" s="62" t="n">
        <v>61416</v>
      </c>
      <c r="Z18" s="64" t="n">
        <v>11035</v>
      </c>
    </row>
    <row r="19">
      <c r="A19" s="4" t="n">
        <v>1988</v>
      </c>
      <c r="B19" s="62">
        <f>C19+D19+E19+F19</f>
        <v/>
      </c>
      <c r="C19" s="62">
        <f>I19+M19+Q19+U19+X19</f>
        <v/>
      </c>
      <c r="D19" s="62">
        <f>R19+W19+Y19</f>
        <v/>
      </c>
      <c r="E19" s="62">
        <f>S19+Z19</f>
        <v/>
      </c>
      <c r="F19" s="62">
        <f>J19+N19</f>
        <v/>
      </c>
      <c r="G19" s="63" t="n">
        <v>4722.41650390625</v>
      </c>
      <c r="H19" s="62">
        <f>I19+J19</f>
        <v/>
      </c>
      <c r="I19" s="62" t="n">
        <v>2815286</v>
      </c>
      <c r="J19" s="62" t="n">
        <v>16425</v>
      </c>
      <c r="K19" s="63" t="n">
        <v>135493.125</v>
      </c>
      <c r="L19" s="62">
        <f>M19+N19</f>
        <v/>
      </c>
      <c r="M19" s="62" t="n">
        <v>133692</v>
      </c>
      <c r="N19" s="62" t="n">
        <v>13010</v>
      </c>
      <c r="O19" s="63" t="n">
        <v>175790</v>
      </c>
      <c r="P19" s="62">
        <f>Q19+R19+S19</f>
        <v/>
      </c>
      <c r="Q19" s="62" t="n">
        <v>8612</v>
      </c>
      <c r="R19" s="62" t="n">
        <v>8159</v>
      </c>
      <c r="S19" s="62" t="n">
        <v>85482</v>
      </c>
      <c r="T19" s="63" t="n">
        <v>2729.239501953125</v>
      </c>
      <c r="U19" s="62" t="n">
        <v>34841</v>
      </c>
      <c r="V19" s="63" t="n">
        <v>27175.37109375</v>
      </c>
      <c r="W19" s="62" t="n">
        <v>112425</v>
      </c>
      <c r="X19" s="62" t="n">
        <v>12487</v>
      </c>
      <c r="Y19" s="62" t="n">
        <v>63648</v>
      </c>
      <c r="Z19" s="64" t="n">
        <v>9106</v>
      </c>
    </row>
    <row r="20">
      <c r="A20" s="4" t="n">
        <v>1989</v>
      </c>
      <c r="B20" s="62">
        <f>C20+D20+E20+F20</f>
        <v/>
      </c>
      <c r="C20" s="62">
        <f>I20+M20+Q20+U20+X20</f>
        <v/>
      </c>
      <c r="D20" s="62">
        <f>R20+W20+Y20</f>
        <v/>
      </c>
      <c r="E20" s="62">
        <f>S20+Z20</f>
        <v/>
      </c>
      <c r="F20" s="62">
        <f>J20+N20</f>
        <v/>
      </c>
      <c r="G20" s="63" t="n">
        <v>11455.0498046875</v>
      </c>
      <c r="H20" s="62">
        <f>I20+J20</f>
        <v/>
      </c>
      <c r="I20" s="62" t="n">
        <v>2484238</v>
      </c>
      <c r="J20" s="62" t="n">
        <v>20999</v>
      </c>
      <c r="K20" s="63" t="n">
        <v>36536.18359375</v>
      </c>
      <c r="L20" s="62">
        <f>M20+N20</f>
        <v/>
      </c>
      <c r="M20" s="62" t="n">
        <v>131141</v>
      </c>
      <c r="N20" s="62" t="n">
        <v>12175</v>
      </c>
      <c r="O20" s="63" t="n">
        <v>116409.2109375</v>
      </c>
      <c r="P20" s="62">
        <f>Q20+R20+S20</f>
        <v/>
      </c>
      <c r="Q20" s="62" t="n">
        <v>9747</v>
      </c>
      <c r="R20" s="62" t="n">
        <v>12358</v>
      </c>
      <c r="S20" s="62" t="n">
        <v>77658</v>
      </c>
      <c r="T20" s="63" t="n">
        <v>3711.26953125</v>
      </c>
      <c r="U20" s="62" t="n">
        <v>36088</v>
      </c>
      <c r="V20" s="63" t="n">
        <v>23985.96875</v>
      </c>
      <c r="W20" s="62" t="n">
        <v>105978</v>
      </c>
      <c r="X20" s="62" t="n">
        <v>12171</v>
      </c>
      <c r="Y20" s="62" t="n">
        <v>62596</v>
      </c>
      <c r="Z20" s="64" t="n">
        <v>8588</v>
      </c>
    </row>
    <row r="21">
      <c r="A21" s="4" t="n">
        <v>1990</v>
      </c>
      <c r="B21" s="62">
        <f>C21+D21+E21+F21</f>
        <v/>
      </c>
      <c r="C21" s="62">
        <f>I21+M21+Q21+U21+X21</f>
        <v/>
      </c>
      <c r="D21" s="62">
        <f>R21+W21+Y21</f>
        <v/>
      </c>
      <c r="E21" s="62">
        <f>S21+Z21</f>
        <v/>
      </c>
      <c r="F21" s="62">
        <f>J21+N21</f>
        <v/>
      </c>
      <c r="G21" s="63" t="n">
        <v>6030.685546875</v>
      </c>
      <c r="H21" s="62">
        <f>I21+J21</f>
        <v/>
      </c>
      <c r="I21" s="62" t="n">
        <v>2381000</v>
      </c>
      <c r="J21" s="62" t="n">
        <v>20124</v>
      </c>
      <c r="K21" s="63" t="n">
        <v>42202.5703125</v>
      </c>
      <c r="L21" s="62">
        <f>M21+N21</f>
        <v/>
      </c>
      <c r="M21" s="62" t="n">
        <v>118194</v>
      </c>
      <c r="N21" s="62" t="n">
        <v>11012</v>
      </c>
      <c r="O21" s="63" t="n">
        <v>76099.375</v>
      </c>
      <c r="P21" s="62">
        <f>Q21+R21+S21</f>
        <v/>
      </c>
      <c r="Q21" s="62" t="n">
        <v>9793</v>
      </c>
      <c r="R21" s="62" t="n">
        <v>9260</v>
      </c>
      <c r="S21" s="62" t="n">
        <v>76381</v>
      </c>
      <c r="T21" s="63" t="n">
        <v>645.2589721679688</v>
      </c>
      <c r="U21" s="62" t="n">
        <v>34870</v>
      </c>
      <c r="V21" s="63" t="n">
        <v>26598.185546875</v>
      </c>
      <c r="W21" s="62" t="n">
        <v>119792</v>
      </c>
      <c r="X21" s="62" t="n">
        <v>12823</v>
      </c>
      <c r="Y21" s="62" t="n">
        <v>55375</v>
      </c>
      <c r="Z21" s="64" t="n">
        <v>8149</v>
      </c>
    </row>
    <row r="22">
      <c r="A22" s="4" t="n">
        <v>1991</v>
      </c>
      <c r="B22" s="62">
        <f>C22+D22+E22+F22</f>
        <v/>
      </c>
      <c r="C22" s="62">
        <f>I22+M22+Q22+U22+X22</f>
        <v/>
      </c>
      <c r="D22" s="62">
        <f>R22+W22+Y22</f>
        <v/>
      </c>
      <c r="E22" s="62">
        <f>S22+Z22</f>
        <v/>
      </c>
      <c r="F22" s="62">
        <f>J22+N22</f>
        <v/>
      </c>
      <c r="G22" s="63" t="n">
        <v>2340.9580078125</v>
      </c>
      <c r="H22" s="62">
        <f>I22+J22</f>
        <v/>
      </c>
      <c r="I22" s="62" t="n">
        <v>2843793</v>
      </c>
      <c r="J22" s="62" t="n">
        <v>18708</v>
      </c>
      <c r="K22" s="63" t="n">
        <v>128717.078125</v>
      </c>
      <c r="L22" s="62">
        <f>M22+N22</f>
        <v/>
      </c>
      <c r="M22" s="62" t="n">
        <v>117020</v>
      </c>
      <c r="N22" s="62" t="n">
        <v>11534</v>
      </c>
      <c r="O22" s="63" t="n">
        <v>75643.171875</v>
      </c>
      <c r="P22" s="62">
        <f>Q22+R22+S22</f>
        <v/>
      </c>
      <c r="Q22" s="62" t="n">
        <v>8595</v>
      </c>
      <c r="R22" s="62" t="n">
        <v>9821</v>
      </c>
      <c r="S22" s="62" t="n">
        <v>80525</v>
      </c>
      <c r="T22" s="63" t="n">
        <v>64690.68359375</v>
      </c>
      <c r="U22" s="62" t="n">
        <v>37751</v>
      </c>
      <c r="V22" s="63" t="n">
        <v>26072.568359375</v>
      </c>
      <c r="W22" s="62" t="n">
        <v>105565</v>
      </c>
      <c r="X22" s="62" t="n">
        <v>11680</v>
      </c>
      <c r="Y22" s="62" t="n">
        <v>59255</v>
      </c>
      <c r="Z22" s="64" t="n">
        <v>6756</v>
      </c>
    </row>
    <row r="23">
      <c r="A23" s="4" t="n">
        <v>1992</v>
      </c>
      <c r="B23" s="62">
        <f>C23+D23+E23+F23</f>
        <v/>
      </c>
      <c r="C23" s="62">
        <f>I23+M23+Q23+U23+X23</f>
        <v/>
      </c>
      <c r="D23" s="62">
        <f>R23+W23+Y23</f>
        <v/>
      </c>
      <c r="E23" s="62">
        <f>S23+Z23</f>
        <v/>
      </c>
      <c r="F23" s="62">
        <f>J23+N23</f>
        <v/>
      </c>
      <c r="G23" s="63" t="n">
        <v>184149.609375</v>
      </c>
      <c r="H23" s="62">
        <f>I23+J23</f>
        <v/>
      </c>
      <c r="I23" s="62" t="n">
        <v>3027252</v>
      </c>
      <c r="J23" s="62" t="n">
        <v>15087</v>
      </c>
      <c r="K23" s="63" t="n">
        <v>223096.015625</v>
      </c>
      <c r="L23" s="62">
        <f>M23+N23</f>
        <v/>
      </c>
      <c r="M23" s="62" t="n">
        <v>137999</v>
      </c>
      <c r="N23" s="62" t="n">
        <v>11715</v>
      </c>
      <c r="O23" s="63" t="n">
        <v>152200.71875</v>
      </c>
      <c r="P23" s="62">
        <f>Q23+R23+S23</f>
        <v/>
      </c>
      <c r="Q23" s="62" t="n">
        <v>9177</v>
      </c>
      <c r="R23" s="62" t="n">
        <v>9903</v>
      </c>
      <c r="S23" s="62" t="n">
        <v>97865</v>
      </c>
      <c r="T23" s="63" t="n">
        <v>73488.1171875</v>
      </c>
      <c r="U23" s="62" t="n">
        <v>47122</v>
      </c>
      <c r="V23" s="63" t="n">
        <v>26943.306640625</v>
      </c>
      <c r="W23" s="62" t="n">
        <v>115800</v>
      </c>
      <c r="X23" s="62" t="n">
        <v>17111</v>
      </c>
      <c r="Y23" s="62" t="n">
        <v>66806</v>
      </c>
      <c r="Z23" s="64" t="n">
        <v>12904</v>
      </c>
    </row>
    <row r="24">
      <c r="A24" s="4" t="n">
        <v>1993</v>
      </c>
      <c r="B24" s="62">
        <f>C24+D24+E24+F24</f>
        <v/>
      </c>
      <c r="C24" s="62">
        <f>I24+M24+Q24+U24+X24</f>
        <v/>
      </c>
      <c r="D24" s="62">
        <f>R24+W24+Y24</f>
        <v/>
      </c>
      <c r="E24" s="62">
        <f>S24+Z24</f>
        <v/>
      </c>
      <c r="F24" s="62">
        <f>J24+N24</f>
        <v/>
      </c>
      <c r="G24" s="63" t="n">
        <v>4731732</v>
      </c>
      <c r="H24" s="62">
        <f>I24+J24</f>
        <v/>
      </c>
      <c r="I24" s="62" t="n">
        <v>2721953</v>
      </c>
      <c r="J24" s="62" t="n">
        <v>16615</v>
      </c>
      <c r="K24" s="63" t="n">
        <v>603044.875</v>
      </c>
      <c r="L24" s="62">
        <f>M24+N24</f>
        <v/>
      </c>
      <c r="M24" s="62" t="n">
        <v>143454</v>
      </c>
      <c r="N24" s="62" t="n">
        <v>11861</v>
      </c>
      <c r="O24" s="63" t="n">
        <v>439119.96875</v>
      </c>
      <c r="P24" s="62">
        <f>Q24+R24+S24</f>
        <v/>
      </c>
      <c r="Q24" s="62" t="n">
        <v>8851</v>
      </c>
      <c r="R24" s="62" t="n">
        <v>11978</v>
      </c>
      <c r="S24" s="62" t="n">
        <v>96493</v>
      </c>
      <c r="T24" s="63" t="n">
        <v>625946.125</v>
      </c>
      <c r="U24" s="62" t="n">
        <v>55398</v>
      </c>
      <c r="V24" s="63" t="n">
        <v>29293.705078125</v>
      </c>
      <c r="W24" s="62" t="n">
        <v>112967</v>
      </c>
      <c r="X24" s="62" t="n">
        <v>16777</v>
      </c>
      <c r="Y24" s="62" t="n">
        <v>66283</v>
      </c>
      <c r="Z24" s="64" t="n">
        <v>11160</v>
      </c>
    </row>
    <row r="25">
      <c r="A25" s="4" t="n">
        <v>1994</v>
      </c>
      <c r="B25" s="62">
        <f>C25+D25+E25+F25</f>
        <v/>
      </c>
      <c r="C25" s="62">
        <f>I25+M25+Q25+U25+X25</f>
        <v/>
      </c>
      <c r="D25" s="62">
        <f>R25+W25+Y25</f>
        <v/>
      </c>
      <c r="E25" s="62">
        <f>S25+Z25</f>
        <v/>
      </c>
      <c r="F25" s="62">
        <f>J25+N25</f>
        <v/>
      </c>
      <c r="G25" s="63" t="n">
        <v>64316.44140625</v>
      </c>
      <c r="H25" s="62">
        <f>I25+J25</f>
        <v/>
      </c>
      <c r="I25" s="62" t="n">
        <v>2910038</v>
      </c>
      <c r="J25" s="62" t="n">
        <v>16620</v>
      </c>
      <c r="K25" s="63" t="n">
        <v>65628.21875</v>
      </c>
      <c r="L25" s="62">
        <f>M25+N25</f>
        <v/>
      </c>
      <c r="M25" s="62" t="n">
        <v>157096</v>
      </c>
      <c r="N25" s="62" t="n">
        <v>11749</v>
      </c>
      <c r="O25" s="63" t="n">
        <v>125548.984375</v>
      </c>
      <c r="P25" s="62">
        <f>Q25+R25+S25</f>
        <v/>
      </c>
      <c r="Q25" s="62" t="n">
        <v>8456</v>
      </c>
      <c r="R25" s="62" t="n">
        <v>10876</v>
      </c>
      <c r="S25" s="62" t="n">
        <v>97307</v>
      </c>
      <c r="T25" s="63" t="n">
        <v>9758.224609375</v>
      </c>
      <c r="U25" s="62" t="n">
        <v>45456</v>
      </c>
      <c r="V25" s="63" t="n">
        <v>28492.388671875</v>
      </c>
      <c r="W25" s="62" t="n">
        <v>104078</v>
      </c>
      <c r="X25" s="62" t="n">
        <v>15504</v>
      </c>
      <c r="Y25" s="62" t="n">
        <v>68792</v>
      </c>
      <c r="Z25" s="64" t="n">
        <v>10008</v>
      </c>
    </row>
    <row r="26">
      <c r="A26" s="4" t="n">
        <v>1995</v>
      </c>
      <c r="B26" s="62">
        <f>C26+D26+E26+F26</f>
        <v/>
      </c>
      <c r="C26" s="62">
        <f>I26+M26+Q26+U26+X26</f>
        <v/>
      </c>
      <c r="D26" s="62">
        <f>R26+W26+Y26</f>
        <v/>
      </c>
      <c r="E26" s="62">
        <f>S26+Z26</f>
        <v/>
      </c>
      <c r="F26" s="62">
        <f>J26+N26</f>
        <v/>
      </c>
      <c r="G26" s="63" t="n">
        <v>527845.0625</v>
      </c>
      <c r="H26" s="62">
        <f>I26+J26</f>
        <v/>
      </c>
      <c r="I26" s="62" t="n">
        <v>3389124</v>
      </c>
      <c r="J26" s="62" t="n">
        <v>20303</v>
      </c>
      <c r="K26" s="63" t="n">
        <v>172464.03125</v>
      </c>
      <c r="L26" s="62">
        <f>M26+N26</f>
        <v/>
      </c>
      <c r="M26" s="62" t="n">
        <v>135103</v>
      </c>
      <c r="N26" s="62" t="n">
        <v>12112</v>
      </c>
      <c r="O26" s="63" t="n">
        <v>357990.5625</v>
      </c>
      <c r="P26" s="62">
        <f>Q26+R26+S26</f>
        <v/>
      </c>
      <c r="Q26" s="62" t="n">
        <v>8189</v>
      </c>
      <c r="R26" s="62" t="n">
        <v>9625</v>
      </c>
      <c r="S26" s="62" t="n">
        <v>104370</v>
      </c>
      <c r="T26" s="63" t="n">
        <v>163939.578125</v>
      </c>
      <c r="U26" s="62" t="n">
        <v>53775</v>
      </c>
      <c r="V26" s="63" t="n">
        <v>24075.224609375</v>
      </c>
      <c r="W26" s="62" t="n">
        <v>110437</v>
      </c>
      <c r="X26" s="62" t="n">
        <v>14957</v>
      </c>
      <c r="Y26" s="62" t="n">
        <v>67765</v>
      </c>
      <c r="Z26" s="64" t="n">
        <v>11567</v>
      </c>
    </row>
    <row r="27">
      <c r="A27" s="4" t="n">
        <v>1996</v>
      </c>
      <c r="B27" s="62">
        <f>C27+D27+E27+F27</f>
        <v/>
      </c>
      <c r="C27" s="62">
        <f>I27+M27+Q27+U27+X27</f>
        <v/>
      </c>
      <c r="D27" s="62">
        <f>R27+W27+Y27</f>
        <v/>
      </c>
      <c r="E27" s="62">
        <f>S27+Z27</f>
        <v/>
      </c>
      <c r="F27" s="62">
        <f>J27+N27</f>
        <v/>
      </c>
      <c r="G27" s="63" t="n">
        <v>9411.07421875</v>
      </c>
      <c r="H27" s="62">
        <f>I27+J27</f>
        <v/>
      </c>
      <c r="I27" s="62" t="n">
        <v>2722888</v>
      </c>
      <c r="J27" s="62" t="n">
        <v>18920</v>
      </c>
      <c r="K27" s="63" t="n">
        <v>16992.314453125</v>
      </c>
      <c r="L27" s="62">
        <f>M27+N27</f>
        <v/>
      </c>
      <c r="M27" s="62" t="n">
        <v>135931</v>
      </c>
      <c r="N27" s="62" t="n">
        <v>12118</v>
      </c>
      <c r="O27" s="63" t="n">
        <v>113626.4140625</v>
      </c>
      <c r="P27" s="62">
        <f>Q27+R27+S27</f>
        <v/>
      </c>
      <c r="Q27" s="62" t="n">
        <v>6271</v>
      </c>
      <c r="R27" s="62" t="n">
        <v>9005</v>
      </c>
      <c r="S27" s="62" t="n">
        <v>88528</v>
      </c>
      <c r="T27" s="63" t="n">
        <v>6286.17529296875</v>
      </c>
      <c r="U27" s="62" t="n">
        <v>51092</v>
      </c>
      <c r="V27" s="63" t="n">
        <v>23862.99609375</v>
      </c>
      <c r="W27" s="62" t="n">
        <v>105501</v>
      </c>
      <c r="X27" s="62" t="n">
        <v>15143</v>
      </c>
      <c r="Y27" s="62" t="n">
        <v>72574</v>
      </c>
      <c r="Z27" s="64" t="n">
        <v>7735</v>
      </c>
    </row>
    <row r="28">
      <c r="A28" s="4" t="n">
        <v>1997</v>
      </c>
      <c r="B28" s="62">
        <f>C28+D28+E28+F28</f>
        <v/>
      </c>
      <c r="C28" s="62">
        <f>I28+M28+Q28+U28+X28</f>
        <v/>
      </c>
      <c r="D28" s="62">
        <f>R28+W28+Y28</f>
        <v/>
      </c>
      <c r="E28" s="62">
        <f>S28+Z28</f>
        <v/>
      </c>
      <c r="F28" s="62">
        <f>J28+N28</f>
        <v/>
      </c>
      <c r="G28" s="63" t="n">
        <v>16823.76171875</v>
      </c>
      <c r="H28" s="62">
        <f>I28+J28</f>
        <v/>
      </c>
      <c r="I28" s="62" t="n">
        <v>2119522</v>
      </c>
      <c r="J28" s="62" t="n">
        <v>18996</v>
      </c>
      <c r="K28" s="63" t="n">
        <v>70603.1875</v>
      </c>
      <c r="L28" s="62">
        <f>M28+N28</f>
        <v/>
      </c>
      <c r="M28" s="62" t="n">
        <v>147018</v>
      </c>
      <c r="N28" s="62" t="n">
        <v>12100</v>
      </c>
      <c r="O28" s="63" t="n">
        <v>154033.4375</v>
      </c>
      <c r="P28" s="62">
        <f>Q28+R28+S28</f>
        <v/>
      </c>
      <c r="Q28" s="62" t="n">
        <v>6886</v>
      </c>
      <c r="R28" s="62" t="n">
        <v>9910</v>
      </c>
      <c r="S28" s="62" t="n">
        <v>103370</v>
      </c>
      <c r="T28" s="63" t="n">
        <v>4417.16015625</v>
      </c>
      <c r="U28" s="62" t="n">
        <v>46442</v>
      </c>
      <c r="V28" s="63" t="n">
        <v>25043.15234375</v>
      </c>
      <c r="W28" s="62" t="n">
        <v>107227</v>
      </c>
      <c r="X28" s="62" t="n">
        <v>14750</v>
      </c>
      <c r="Y28" s="62" t="n">
        <v>72145</v>
      </c>
      <c r="Z28" s="64" t="n">
        <v>12527</v>
      </c>
    </row>
    <row r="29">
      <c r="A29" s="4" t="n">
        <v>1998</v>
      </c>
      <c r="B29" s="62">
        <f>C29+D29+E29+F29</f>
        <v/>
      </c>
      <c r="C29" s="62">
        <f>I29+M29+Q29+U29+X29</f>
        <v/>
      </c>
      <c r="D29" s="62">
        <f>R29+W29+Y29</f>
        <v/>
      </c>
      <c r="E29" s="62">
        <f>S29+Z29</f>
        <v/>
      </c>
      <c r="F29" s="62">
        <f>J29+N29</f>
        <v/>
      </c>
      <c r="G29" s="63" t="n">
        <v>7995.00830078125</v>
      </c>
      <c r="H29" s="62">
        <f>I29+J29</f>
        <v/>
      </c>
      <c r="I29" s="62" t="n">
        <v>2445918</v>
      </c>
      <c r="J29" s="62" t="n">
        <v>21657</v>
      </c>
      <c r="K29" s="63" t="n">
        <v>137971.1875</v>
      </c>
      <c r="L29" s="62">
        <f>M29+N29</f>
        <v/>
      </c>
      <c r="M29" s="62" t="n">
        <v>153086</v>
      </c>
      <c r="N29" s="62" t="n">
        <v>12219</v>
      </c>
      <c r="O29" s="63" t="n">
        <v>284592.65625</v>
      </c>
      <c r="P29" s="62">
        <f>Q29+R29+S29</f>
        <v/>
      </c>
      <c r="Q29" s="62" t="n">
        <v>7435</v>
      </c>
      <c r="R29" s="62" t="n">
        <v>9682</v>
      </c>
      <c r="S29" s="62" t="n">
        <v>104195</v>
      </c>
      <c r="T29" s="63" t="n">
        <v>4420.93212890625</v>
      </c>
      <c r="U29" s="62" t="n">
        <v>51909</v>
      </c>
      <c r="V29" s="63" t="n">
        <v>25076.873046875</v>
      </c>
      <c r="W29" s="62" t="n">
        <v>120686</v>
      </c>
      <c r="X29" s="62" t="n">
        <v>15015</v>
      </c>
      <c r="Y29" s="62" t="n">
        <v>68887</v>
      </c>
      <c r="Z29" s="64" t="n">
        <v>11534</v>
      </c>
    </row>
    <row r="30">
      <c r="A30" s="4" t="n">
        <v>1999</v>
      </c>
      <c r="B30" s="62">
        <f>C30+D30+E30+F30</f>
        <v/>
      </c>
      <c r="C30" s="62">
        <f>I30+M30+Q30+U30+X30</f>
        <v/>
      </c>
      <c r="D30" s="62">
        <f>R30+W30+Y30</f>
        <v/>
      </c>
      <c r="E30" s="62">
        <f>S30+Z30</f>
        <v/>
      </c>
      <c r="F30" s="62">
        <f>J30+N30</f>
        <v/>
      </c>
      <c r="G30" s="63" t="n">
        <v>7014.50439453125</v>
      </c>
      <c r="H30" s="62">
        <f>I30+J30</f>
        <v/>
      </c>
      <c r="I30" s="62" t="n">
        <v>2057892</v>
      </c>
      <c r="J30" s="62" t="n">
        <v>18960</v>
      </c>
      <c r="K30" s="63" t="n">
        <v>93748.59375</v>
      </c>
      <c r="L30" s="62">
        <f>M30+N30</f>
        <v/>
      </c>
      <c r="M30" s="62" t="n">
        <v>150888</v>
      </c>
      <c r="N30" s="62" t="n">
        <v>12505</v>
      </c>
      <c r="O30" s="63" t="n">
        <v>118212.171875</v>
      </c>
      <c r="P30" s="62">
        <f>Q30+R30+S30</f>
        <v/>
      </c>
      <c r="Q30" s="62" t="n">
        <v>6865</v>
      </c>
      <c r="R30" s="62" t="n">
        <v>9875</v>
      </c>
      <c r="S30" s="62" t="n">
        <v>96974</v>
      </c>
      <c r="T30" s="63" t="n">
        <v>3347.0869140625</v>
      </c>
      <c r="U30" s="62" t="n">
        <v>49905</v>
      </c>
      <c r="V30" s="63" t="n">
        <v>24775.38671875</v>
      </c>
      <c r="W30" s="62" t="n">
        <v>106782</v>
      </c>
      <c r="X30" s="62" t="n">
        <v>13877</v>
      </c>
      <c r="Y30" s="62" t="n">
        <v>71824</v>
      </c>
      <c r="Z30" s="64" t="n">
        <v>9992</v>
      </c>
    </row>
    <row r="31">
      <c r="A31" s="4" t="n">
        <v>2000</v>
      </c>
      <c r="B31" s="62">
        <f>C31+D31+E31+F31</f>
        <v/>
      </c>
      <c r="C31" s="62">
        <f>I31+M31+Q31+U31+X31</f>
        <v/>
      </c>
      <c r="D31" s="62">
        <f>R31+W31+Y31</f>
        <v/>
      </c>
      <c r="E31" s="62">
        <f>S31+Z31</f>
        <v/>
      </c>
      <c r="F31" s="62">
        <f>J31+N31</f>
        <v/>
      </c>
      <c r="G31" s="63" t="n">
        <v>6582.802734375</v>
      </c>
      <c r="H31" s="62">
        <f>I31+J31</f>
        <v/>
      </c>
      <c r="I31" s="62" t="n">
        <v>1867955</v>
      </c>
      <c r="J31" s="62" t="n">
        <v>20232</v>
      </c>
      <c r="K31" s="63" t="n">
        <v>35475.890625</v>
      </c>
      <c r="L31" s="62">
        <f>M31+N31</f>
        <v/>
      </c>
      <c r="M31" s="62" t="n">
        <v>130161</v>
      </c>
      <c r="N31" s="62" t="n">
        <v>12587</v>
      </c>
      <c r="O31" s="63" t="n">
        <v>110899.15625</v>
      </c>
      <c r="P31" s="62">
        <f>Q31+R31+S31</f>
        <v/>
      </c>
      <c r="Q31" s="62" t="n">
        <v>5874</v>
      </c>
      <c r="R31" s="62" t="n">
        <v>9881</v>
      </c>
      <c r="S31" s="62" t="n">
        <v>91519</v>
      </c>
      <c r="T31" s="63" t="n">
        <v>2600.1162109375</v>
      </c>
      <c r="U31" s="62" t="n">
        <v>45666</v>
      </c>
      <c r="V31" s="63" t="n">
        <v>24809.10546875</v>
      </c>
      <c r="W31" s="62" t="n">
        <v>107503</v>
      </c>
      <c r="X31" s="62" t="n">
        <v>13263</v>
      </c>
      <c r="Y31" s="62" t="n">
        <v>72688</v>
      </c>
      <c r="Z31" s="64" t="n">
        <v>7891</v>
      </c>
    </row>
    <row r="32">
      <c r="A32" s="4" t="n">
        <v>2001</v>
      </c>
      <c r="B32" s="62">
        <f>C32+D32+E32+F32</f>
        <v/>
      </c>
      <c r="C32" s="62">
        <f>I32+M32+Q32+U32+X32</f>
        <v/>
      </c>
      <c r="D32" s="62">
        <f>R32+W32+Y32</f>
        <v/>
      </c>
      <c r="E32" s="62">
        <f>S32+Z32</f>
        <v/>
      </c>
      <c r="F32" s="62">
        <f>J32+N32</f>
        <v/>
      </c>
      <c r="G32" s="63" t="n">
        <v>6959.18359375</v>
      </c>
      <c r="H32" s="62">
        <f>I32+J32</f>
        <v/>
      </c>
      <c r="I32" s="62" t="n">
        <v>1962025</v>
      </c>
      <c r="J32" s="62" t="n">
        <v>16522</v>
      </c>
      <c r="K32" s="63" t="n">
        <v>57769.953125</v>
      </c>
      <c r="L32" s="62">
        <f>M32+N32</f>
        <v/>
      </c>
      <c r="M32" s="62" t="n">
        <v>139947</v>
      </c>
      <c r="N32" s="62" t="n">
        <v>12397</v>
      </c>
      <c r="O32" s="63" t="n">
        <v>103535.578125</v>
      </c>
      <c r="P32" s="62">
        <f>Q32+R32+S32</f>
        <v/>
      </c>
      <c r="Q32" s="62" t="n">
        <v>6969</v>
      </c>
      <c r="R32" s="62" t="n">
        <v>10078</v>
      </c>
      <c r="S32" s="62" t="n">
        <v>100357</v>
      </c>
      <c r="T32" s="63" t="n">
        <v>2152.568603515625</v>
      </c>
      <c r="U32" s="62" t="n">
        <v>50217</v>
      </c>
      <c r="V32" s="63" t="n">
        <v>22726.076171875</v>
      </c>
      <c r="W32" s="62" t="n">
        <v>110033</v>
      </c>
      <c r="X32" s="62" t="n">
        <v>15077</v>
      </c>
      <c r="Y32" s="62" t="n">
        <v>74012</v>
      </c>
      <c r="Z32" s="64" t="n">
        <v>10851</v>
      </c>
    </row>
    <row r="33">
      <c r="A33" s="4" t="n">
        <v>2002</v>
      </c>
      <c r="B33" s="62">
        <f>C33+D33+E33+F33</f>
        <v/>
      </c>
      <c r="C33" s="62">
        <f>I33+M33+Q33+U33+X33</f>
        <v/>
      </c>
      <c r="D33" s="62">
        <f>R33+W33+Y33</f>
        <v/>
      </c>
      <c r="E33" s="62">
        <f>S33+Z33</f>
        <v/>
      </c>
      <c r="F33" s="62">
        <f>J33+N33</f>
        <v/>
      </c>
      <c r="G33" s="63" t="n">
        <v>13180.896484375</v>
      </c>
      <c r="H33" s="62">
        <f>I33+J33</f>
        <v/>
      </c>
      <c r="I33" s="62" t="n">
        <v>1749142</v>
      </c>
      <c r="J33" s="62" t="n">
        <v>18956</v>
      </c>
      <c r="K33" s="63" t="n">
        <v>74527.1640625</v>
      </c>
      <c r="L33" s="62">
        <f>M33+N33</f>
        <v/>
      </c>
      <c r="M33" s="62" t="n">
        <v>132264</v>
      </c>
      <c r="N33" s="62" t="n">
        <v>12109</v>
      </c>
      <c r="O33" s="63" t="n">
        <v>77089.1171875</v>
      </c>
      <c r="P33" s="62">
        <f>Q33+R33+S33</f>
        <v/>
      </c>
      <c r="Q33" s="62" t="n">
        <v>5423</v>
      </c>
      <c r="R33" s="62" t="n">
        <v>10092</v>
      </c>
      <c r="S33" s="62" t="n">
        <v>91799</v>
      </c>
      <c r="T33" s="63" t="n">
        <v>2079.656005859375</v>
      </c>
      <c r="U33" s="62" t="n">
        <v>44278</v>
      </c>
      <c r="V33" s="63" t="n">
        <v>23548.61328125</v>
      </c>
      <c r="W33" s="62" t="n">
        <v>107904</v>
      </c>
      <c r="X33" s="62" t="n">
        <v>13455</v>
      </c>
      <c r="Y33" s="62" t="n">
        <v>75618</v>
      </c>
      <c r="Z33" s="64" t="n">
        <v>7235</v>
      </c>
    </row>
    <row r="34">
      <c r="A34" s="4" t="n">
        <v>2003</v>
      </c>
      <c r="B34" s="62">
        <f>C34+D34+E34+F34</f>
        <v/>
      </c>
      <c r="C34" s="62">
        <f>I34+M34+Q34+U34+X34</f>
        <v/>
      </c>
      <c r="D34" s="62">
        <f>R34+W34+Y34</f>
        <v/>
      </c>
      <c r="E34" s="62">
        <f>S34+Z34</f>
        <v/>
      </c>
      <c r="F34" s="62">
        <f>J34+N34</f>
        <v/>
      </c>
      <c r="G34" s="63" t="n">
        <v>9388.6875</v>
      </c>
      <c r="H34" s="62">
        <f>I34+J34</f>
        <v/>
      </c>
      <c r="I34" s="62" t="n">
        <v>1721778</v>
      </c>
      <c r="J34" s="62" t="n">
        <v>21237</v>
      </c>
      <c r="K34" s="63" t="n">
        <v>53912.36328125</v>
      </c>
      <c r="L34" s="62">
        <f>M34+N34</f>
        <v/>
      </c>
      <c r="M34" s="62" t="n">
        <v>131689</v>
      </c>
      <c r="N34" s="62" t="n">
        <v>12040</v>
      </c>
      <c r="O34" s="63" t="n">
        <v>78490.4453125</v>
      </c>
      <c r="P34" s="62">
        <f>Q34+R34+S34</f>
        <v/>
      </c>
      <c r="Q34" s="62" t="n">
        <v>6435</v>
      </c>
      <c r="R34" s="62" t="n">
        <v>10619</v>
      </c>
      <c r="S34" s="62" t="n">
        <v>97415</v>
      </c>
      <c r="T34" s="63" t="n">
        <v>1250.888305664062</v>
      </c>
      <c r="U34" s="62" t="n">
        <v>45667</v>
      </c>
      <c r="V34" s="63" t="n">
        <v>21981.8828125</v>
      </c>
      <c r="W34" s="62" t="n">
        <v>109469</v>
      </c>
      <c r="X34" s="62" t="n">
        <v>14609</v>
      </c>
      <c r="Y34" s="62" t="n">
        <v>76620</v>
      </c>
      <c r="Z34" s="64" t="n">
        <v>9264</v>
      </c>
    </row>
    <row r="35">
      <c r="A35" s="4" t="n">
        <v>2004</v>
      </c>
      <c r="B35" s="62">
        <f>C35+D35+E35+F35</f>
        <v/>
      </c>
      <c r="C35" s="62">
        <f>I35+M35+Q35+U35+X35</f>
        <v/>
      </c>
      <c r="D35" s="62">
        <f>R35+W35+Y35</f>
        <v/>
      </c>
      <c r="E35" s="62">
        <f>S35+Z35</f>
        <v/>
      </c>
      <c r="F35" s="62">
        <f>J35+N35</f>
        <v/>
      </c>
      <c r="G35" s="63" t="n">
        <v>12555.580078125</v>
      </c>
      <c r="H35" s="62">
        <f>I35+J35</f>
        <v/>
      </c>
      <c r="I35" s="62" t="n">
        <v>1707569</v>
      </c>
      <c r="J35" s="62" t="n">
        <v>18885</v>
      </c>
      <c r="K35" s="63" t="n">
        <v>58782.92578125</v>
      </c>
      <c r="L35" s="62">
        <f>M35+N35</f>
        <v/>
      </c>
      <c r="M35" s="62" t="n">
        <v>129386</v>
      </c>
      <c r="N35" s="62" t="n">
        <v>12017</v>
      </c>
      <c r="O35" s="63" t="n">
        <v>131844.484375</v>
      </c>
      <c r="P35" s="62">
        <f>Q35+R35+S35</f>
        <v/>
      </c>
      <c r="Q35" s="62" t="n">
        <v>5139</v>
      </c>
      <c r="R35" s="62" t="n">
        <v>10150</v>
      </c>
      <c r="S35" s="62" t="n">
        <v>95055</v>
      </c>
      <c r="T35" s="63" t="n">
        <v>51878.22265625</v>
      </c>
      <c r="U35" s="62" t="n">
        <v>38327</v>
      </c>
      <c r="V35" s="63" t="n">
        <v>22875.228515625</v>
      </c>
      <c r="W35" s="62" t="n">
        <v>107687</v>
      </c>
      <c r="X35" s="62" t="n">
        <v>14798</v>
      </c>
      <c r="Y35" s="62" t="n">
        <v>75669</v>
      </c>
      <c r="Z35" s="64" t="n">
        <v>9359</v>
      </c>
    </row>
    <row r="36">
      <c r="A36" s="4" t="n">
        <v>2005</v>
      </c>
      <c r="B36" s="62">
        <f>C36+D36+E36+F36</f>
        <v/>
      </c>
      <c r="C36" s="62">
        <f>I36+M36+Q36+U36+X36</f>
        <v/>
      </c>
      <c r="D36" s="62">
        <f>R36+W36+Y36</f>
        <v/>
      </c>
      <c r="E36" s="62">
        <f>S36+Z36</f>
        <v/>
      </c>
      <c r="F36" s="62">
        <f>J36+N36</f>
        <v/>
      </c>
      <c r="G36" s="63" t="n">
        <v>263392.28125</v>
      </c>
      <c r="H36" s="62">
        <f>I36+J36</f>
        <v/>
      </c>
      <c r="I36" s="62" t="n">
        <v>2306021</v>
      </c>
      <c r="J36" s="62" t="n">
        <v>19094</v>
      </c>
      <c r="K36" s="63" t="n">
        <v>266948.65625</v>
      </c>
      <c r="L36" s="62">
        <f>M36+N36</f>
        <v/>
      </c>
      <c r="M36" s="62" t="n">
        <v>134823</v>
      </c>
      <c r="N36" s="62" t="n">
        <v>12207</v>
      </c>
      <c r="O36" s="63" t="n">
        <v>565825.6875</v>
      </c>
      <c r="P36" s="62">
        <f>Q36+R36+S36</f>
        <v/>
      </c>
      <c r="Q36" s="62" t="n">
        <v>6049</v>
      </c>
      <c r="R36" s="62" t="n">
        <v>10053</v>
      </c>
      <c r="S36" s="62" t="n">
        <v>111444</v>
      </c>
      <c r="T36" s="63" t="n">
        <v>433603.96875</v>
      </c>
      <c r="U36" s="62" t="n">
        <v>54096</v>
      </c>
      <c r="V36" s="63" t="n">
        <v>24332.876953125</v>
      </c>
      <c r="W36" s="62" t="n">
        <v>118874</v>
      </c>
      <c r="X36" s="62" t="n">
        <v>17190</v>
      </c>
      <c r="Y36" s="62" t="n">
        <v>65257</v>
      </c>
      <c r="Z36" s="64" t="n">
        <v>11587</v>
      </c>
    </row>
    <row r="37">
      <c r="A37" s="4" t="n">
        <v>2006</v>
      </c>
      <c r="B37" s="62">
        <f>C37+D37+E37+F37</f>
        <v/>
      </c>
      <c r="C37" s="62">
        <f>I37+M37+Q37+U37+X37</f>
        <v/>
      </c>
      <c r="D37" s="62">
        <f>R37+W37+Y37</f>
        <v/>
      </c>
      <c r="E37" s="62">
        <f>S37+Z37</f>
        <v/>
      </c>
      <c r="F37" s="62">
        <f>J37+N37</f>
        <v/>
      </c>
      <c r="G37" s="63" t="n">
        <v>8190.57177734375</v>
      </c>
      <c r="H37" s="62">
        <f>I37+J37</f>
        <v/>
      </c>
      <c r="I37" s="62" t="n">
        <v>1726882</v>
      </c>
      <c r="J37" s="62" t="n">
        <v>15098</v>
      </c>
      <c r="K37" s="63" t="n">
        <v>103748.21875</v>
      </c>
      <c r="L37" s="62">
        <f>M37+N37</f>
        <v/>
      </c>
      <c r="M37" s="62" t="n">
        <v>132802</v>
      </c>
      <c r="N37" s="62" t="n">
        <v>11521</v>
      </c>
      <c r="O37" s="63" t="n">
        <v>157060.5625</v>
      </c>
      <c r="P37" s="62">
        <f>Q37+R37+S37</f>
        <v/>
      </c>
      <c r="Q37" s="62" t="n">
        <v>3878</v>
      </c>
      <c r="R37" s="62" t="n">
        <v>9912</v>
      </c>
      <c r="S37" s="62" t="n">
        <v>103057</v>
      </c>
      <c r="T37" s="63" t="n">
        <v>25190.724609375</v>
      </c>
      <c r="U37" s="62" t="n">
        <v>50053</v>
      </c>
      <c r="V37" s="63" t="n">
        <v>24821.201171875</v>
      </c>
      <c r="W37" s="62" t="n">
        <v>108661</v>
      </c>
      <c r="X37" s="62" t="n">
        <v>15741</v>
      </c>
      <c r="Y37" s="62" t="n">
        <v>70835</v>
      </c>
      <c r="Z37" s="64" t="n">
        <v>9654</v>
      </c>
    </row>
    <row r="38">
      <c r="A38" s="4" t="n">
        <v>2007</v>
      </c>
      <c r="B38" s="62">
        <f>C38+D38+E38+F38</f>
        <v/>
      </c>
      <c r="C38" s="62">
        <f>I38+M38+Q38+U38+X38</f>
        <v/>
      </c>
      <c r="D38" s="62">
        <f>R38+W38+Y38</f>
        <v/>
      </c>
      <c r="E38" s="62">
        <f>S38+Z38</f>
        <v/>
      </c>
      <c r="F38" s="62">
        <f>J38+N38</f>
        <v/>
      </c>
      <c r="G38" s="63" t="n">
        <v>6928.8759765625</v>
      </c>
      <c r="H38" s="62">
        <f>I38+J38</f>
        <v/>
      </c>
      <c r="I38" s="62" t="n">
        <v>1738585</v>
      </c>
      <c r="J38" s="62" t="n">
        <v>15822</v>
      </c>
      <c r="K38" s="63" t="n">
        <v>110212.046875</v>
      </c>
      <c r="L38" s="62">
        <f>M38+N38</f>
        <v/>
      </c>
      <c r="M38" s="62" t="n">
        <v>129493</v>
      </c>
      <c r="N38" s="62" t="n">
        <v>11655</v>
      </c>
      <c r="O38" s="63" t="n">
        <v>105402.609375</v>
      </c>
      <c r="P38" s="62">
        <f>Q38+R38+S38</f>
        <v/>
      </c>
      <c r="Q38" s="62" t="n">
        <v>4142</v>
      </c>
      <c r="R38" s="62" t="n">
        <v>9904</v>
      </c>
      <c r="S38" s="62" t="n">
        <v>100368</v>
      </c>
      <c r="T38" s="63" t="n">
        <v>11719.958984375</v>
      </c>
      <c r="U38" s="62" t="n">
        <v>45843</v>
      </c>
      <c r="V38" s="63" t="n">
        <v>23783.66015625</v>
      </c>
      <c r="W38" s="62" t="n">
        <v>102673</v>
      </c>
      <c r="X38" s="62" t="n">
        <v>14577</v>
      </c>
      <c r="Y38" s="62" t="n">
        <v>73862</v>
      </c>
      <c r="Z38" s="64" t="n">
        <v>8708</v>
      </c>
    </row>
    <row r="39">
      <c r="A39" s="4" t="n">
        <v>2008</v>
      </c>
      <c r="B39" s="62">
        <f>C39+D39+E39+F39</f>
        <v/>
      </c>
      <c r="C39" s="62">
        <f>I39+M39+Q39+U39+X39</f>
        <v/>
      </c>
      <c r="D39" s="62">
        <f>R39+W39+Y39</f>
        <v/>
      </c>
      <c r="E39" s="62">
        <f>S39+Z39</f>
        <v/>
      </c>
      <c r="F39" s="62">
        <f>J39+N39</f>
        <v/>
      </c>
      <c r="G39" s="63" t="n">
        <v>6666.84375</v>
      </c>
      <c r="H39" s="62">
        <f>I39+J39</f>
        <v/>
      </c>
      <c r="I39" s="62" t="n">
        <v>1954679</v>
      </c>
      <c r="J39" s="62" t="n">
        <v>13765</v>
      </c>
      <c r="K39" s="63" t="n">
        <v>181127.390625</v>
      </c>
      <c r="L39" s="62">
        <f>M39+N39</f>
        <v/>
      </c>
      <c r="M39" s="62" t="n">
        <v>135388</v>
      </c>
      <c r="N39" s="62" t="n">
        <v>11816</v>
      </c>
      <c r="O39" s="63" t="n">
        <v>103364.1796875</v>
      </c>
      <c r="P39" s="62">
        <f>Q39+R39+S39</f>
        <v/>
      </c>
      <c r="Q39" s="62" t="n">
        <v>4782</v>
      </c>
      <c r="R39" s="62" t="n">
        <v>9753</v>
      </c>
      <c r="S39" s="62" t="n">
        <v>99346</v>
      </c>
      <c r="T39" s="63" t="n">
        <v>4263.80322265625</v>
      </c>
      <c r="U39" s="62" t="n">
        <v>48363</v>
      </c>
      <c r="V39" s="63" t="n">
        <v>25190.716796875</v>
      </c>
      <c r="W39" s="62" t="n">
        <v>101075</v>
      </c>
      <c r="X39" s="62" t="n">
        <v>14385</v>
      </c>
      <c r="Y39" s="62" t="n">
        <v>73945</v>
      </c>
      <c r="Z39" s="64" t="n">
        <v>8084</v>
      </c>
    </row>
    <row r="40">
      <c r="A40" s="4" t="n">
        <v>2009</v>
      </c>
      <c r="B40" s="62">
        <f>C40+D40+E40+F40</f>
        <v/>
      </c>
      <c r="C40" s="62">
        <f>I40+M40+Q40+U40+X40</f>
        <v/>
      </c>
      <c r="D40" s="62">
        <f>R40+W40+Y40</f>
        <v/>
      </c>
      <c r="E40" s="62">
        <f>S40+Z40</f>
        <v/>
      </c>
      <c r="F40" s="62">
        <f>J40+N40</f>
        <v/>
      </c>
      <c r="G40" s="63" t="n">
        <v>6940.35986328125</v>
      </c>
      <c r="H40" s="62">
        <f>I40+J40</f>
        <v/>
      </c>
      <c r="I40" s="62" t="n">
        <v>1706631</v>
      </c>
      <c r="J40" s="62" t="n">
        <v>18664</v>
      </c>
      <c r="K40" s="63" t="n">
        <v>53552.50390625</v>
      </c>
      <c r="L40" s="62">
        <f>M40+N40</f>
        <v/>
      </c>
      <c r="M40" s="62" t="n">
        <v>124276</v>
      </c>
      <c r="N40" s="62" t="n">
        <v>11182</v>
      </c>
      <c r="O40" s="63" t="n">
        <v>88689.8046875</v>
      </c>
      <c r="P40" s="62">
        <f>Q40+R40+S40</f>
        <v/>
      </c>
      <c r="Q40" s="62" t="n">
        <v>3923</v>
      </c>
      <c r="R40" s="62" t="n">
        <v>7622</v>
      </c>
      <c r="S40" s="62" t="n">
        <v>101467</v>
      </c>
      <c r="T40" s="63" t="n">
        <v>9008.2353515625</v>
      </c>
      <c r="U40" s="62" t="n">
        <v>51985</v>
      </c>
      <c r="V40" s="63" t="n">
        <v>25799.05078125</v>
      </c>
      <c r="W40" s="62" t="n">
        <v>107625</v>
      </c>
      <c r="X40" s="62" t="n">
        <v>14716</v>
      </c>
      <c r="Y40" s="62" t="n">
        <v>74512</v>
      </c>
      <c r="Z40" s="64" t="n">
        <v>9245</v>
      </c>
    </row>
    <row r="41">
      <c r="A41" s="4" t="n">
        <v>2010</v>
      </c>
      <c r="B41" s="62">
        <f>C41+D41+E41+F41</f>
        <v/>
      </c>
      <c r="C41" s="62">
        <f>I41+M41+Q41+U41+X41</f>
        <v/>
      </c>
      <c r="D41" s="62">
        <f>R41+W41+Y41</f>
        <v/>
      </c>
      <c r="E41" s="62">
        <f>S41+Z41</f>
        <v/>
      </c>
      <c r="F41" s="62">
        <f>J41+N41</f>
        <v/>
      </c>
      <c r="G41" s="63" t="n">
        <v>92681.3984375</v>
      </c>
      <c r="H41" s="62">
        <f>I41+J41</f>
        <v/>
      </c>
      <c r="I41" s="62" t="n">
        <v>1709714</v>
      </c>
      <c r="J41" s="62" t="n">
        <v>18018</v>
      </c>
      <c r="K41" s="63" t="n">
        <v>217982.515625</v>
      </c>
      <c r="L41" s="62">
        <f>M41+N41</f>
        <v/>
      </c>
      <c r="M41" s="62" t="n">
        <v>137230</v>
      </c>
      <c r="N41" s="62" t="n">
        <v>11776</v>
      </c>
      <c r="O41" s="63" t="n">
        <v>284465.90625</v>
      </c>
      <c r="P41" s="62">
        <f>Q41+R41+S41</f>
        <v/>
      </c>
      <c r="Q41" s="62" t="n">
        <v>4748</v>
      </c>
      <c r="R41" s="62" t="n">
        <v>6511</v>
      </c>
      <c r="S41" s="62" t="n">
        <v>99650</v>
      </c>
      <c r="T41" s="63" t="n">
        <v>51414.06640625</v>
      </c>
      <c r="U41" s="62" t="n">
        <v>53235</v>
      </c>
      <c r="V41" s="63" t="n">
        <v>26253.455078125</v>
      </c>
      <c r="W41" s="62" t="n">
        <v>102252</v>
      </c>
      <c r="X41" s="62" t="n">
        <v>13553</v>
      </c>
      <c r="Y41" s="62" t="n">
        <v>70288</v>
      </c>
      <c r="Z41" s="64" t="n">
        <v>10171</v>
      </c>
    </row>
    <row r="42">
      <c r="A42" s="4" t="n">
        <v>2011</v>
      </c>
      <c r="B42" s="62">
        <f>C42+D42+E42+F42</f>
        <v/>
      </c>
      <c r="C42" s="62">
        <f>I42+M42+Q42+U42+X42</f>
        <v/>
      </c>
      <c r="D42" s="62">
        <f>R42+W42+Y42</f>
        <v/>
      </c>
      <c r="E42" s="62">
        <f>S42+Z42</f>
        <v/>
      </c>
      <c r="F42" s="62">
        <f>J42+N42</f>
        <v/>
      </c>
      <c r="G42" s="63" t="n">
        <v>5172.9365234375</v>
      </c>
      <c r="H42" s="62">
        <f>I42+J42</f>
        <v/>
      </c>
      <c r="I42" s="62" t="n">
        <v>1781049</v>
      </c>
      <c r="J42" s="62" t="n">
        <v>18970</v>
      </c>
      <c r="K42" s="63" t="n">
        <v>43484.81640625</v>
      </c>
      <c r="L42" s="62">
        <f>M42+N42</f>
        <v/>
      </c>
      <c r="M42" s="62" t="n">
        <v>142267</v>
      </c>
      <c r="N42" s="62" t="n">
        <v>11471</v>
      </c>
      <c r="O42" s="63" t="n">
        <v>272912.3125</v>
      </c>
      <c r="P42" s="62">
        <f>Q42+R42+S42</f>
        <v/>
      </c>
      <c r="Q42" s="62" t="n">
        <v>7670</v>
      </c>
      <c r="R42" s="62" t="n">
        <v>7230</v>
      </c>
      <c r="S42" s="62" t="n">
        <v>118795</v>
      </c>
      <c r="T42" s="63" t="n">
        <v>8776.4287109375</v>
      </c>
      <c r="U42" s="62" t="n">
        <v>50725</v>
      </c>
      <c r="V42" s="63" t="n">
        <v>26509.923828125</v>
      </c>
      <c r="W42" s="62" t="n">
        <v>113737</v>
      </c>
      <c r="X42" s="62" t="n">
        <v>18477</v>
      </c>
      <c r="Y42" s="62" t="n">
        <v>71667</v>
      </c>
      <c r="Z42" s="64" t="n">
        <v>12990</v>
      </c>
    </row>
    <row r="43">
      <c r="A43" s="4" t="n">
        <v>2012</v>
      </c>
      <c r="B43" s="62">
        <f>C43+D43+E43+F43</f>
        <v/>
      </c>
      <c r="C43" s="62">
        <f>I43+M43+Q43+U43+X43</f>
        <v/>
      </c>
      <c r="D43" s="62">
        <f>R43+W43+Y43</f>
        <v/>
      </c>
      <c r="E43" s="62">
        <f>S43+Z43</f>
        <v/>
      </c>
      <c r="F43" s="62">
        <f>J43+N43</f>
        <v/>
      </c>
      <c r="G43" s="63" t="n">
        <v>5688.12158203125</v>
      </c>
      <c r="H43" s="62">
        <f>I43+J43</f>
        <v/>
      </c>
      <c r="I43" s="62" t="n">
        <v>1787428</v>
      </c>
      <c r="J43" s="62" t="n">
        <v>23896</v>
      </c>
      <c r="K43" s="63" t="n">
        <v>52925.25390625</v>
      </c>
      <c r="L43" s="62">
        <f>M43+N43</f>
        <v/>
      </c>
      <c r="M43" s="62" t="n">
        <v>128541</v>
      </c>
      <c r="N43" s="62" t="n">
        <v>11861</v>
      </c>
      <c r="O43" s="63" t="n">
        <v>122084.8671875</v>
      </c>
      <c r="P43" s="62">
        <f>Q43+R43+S43</f>
        <v/>
      </c>
      <c r="Q43" s="62" t="n">
        <v>7125</v>
      </c>
      <c r="R43" s="62" t="n">
        <v>7476</v>
      </c>
      <c r="S43" s="62" t="n">
        <v>119286</v>
      </c>
      <c r="T43" s="63" t="n">
        <v>6282.96240234375</v>
      </c>
      <c r="U43" s="62" t="n">
        <v>44122</v>
      </c>
      <c r="V43" s="63" t="n">
        <v>27808.48828125</v>
      </c>
      <c r="W43" s="62" t="n">
        <v>115893</v>
      </c>
      <c r="X43" s="62" t="n">
        <v>14375</v>
      </c>
      <c r="Y43" s="62" t="n">
        <v>75063</v>
      </c>
      <c r="Z43" s="64" t="n">
        <v>10896</v>
      </c>
    </row>
    <row r="44">
      <c r="A44" s="4" t="n">
        <v>2013</v>
      </c>
      <c r="B44" s="62">
        <f>C44+D44+E44+F44</f>
        <v/>
      </c>
      <c r="C44" s="62">
        <f>I44+M44+Q44+U44+X44</f>
        <v/>
      </c>
      <c r="D44" s="62">
        <f>R44+W44+Y44</f>
        <v/>
      </c>
      <c r="E44" s="62">
        <f>S44+Z44</f>
        <v/>
      </c>
      <c r="F44" s="62">
        <f>J44+N44</f>
        <v/>
      </c>
      <c r="G44" s="63" t="n">
        <v>5844.81689453125</v>
      </c>
      <c r="H44" s="62">
        <f>I44+J44</f>
        <v/>
      </c>
      <c r="I44" s="62" t="n">
        <v>1808006</v>
      </c>
      <c r="J44" s="62" t="n">
        <v>17973</v>
      </c>
      <c r="K44" s="63" t="n">
        <v>134641.796875</v>
      </c>
      <c r="L44" s="62">
        <f>M44+N44</f>
        <v/>
      </c>
      <c r="M44" s="62" t="n">
        <v>140511</v>
      </c>
      <c r="N44" s="62" t="n">
        <v>12218</v>
      </c>
      <c r="O44" s="63" t="n">
        <v>111589.0078125</v>
      </c>
      <c r="P44" s="62">
        <f>Q44+R44+S44</f>
        <v/>
      </c>
      <c r="Q44" s="62" t="n">
        <v>6232</v>
      </c>
      <c r="R44" s="62" t="n">
        <v>5724</v>
      </c>
      <c r="S44" s="62" t="n">
        <v>114864</v>
      </c>
      <c r="T44" s="63" t="n">
        <v>5940.62060546875</v>
      </c>
      <c r="U44" s="62" t="n">
        <v>43793</v>
      </c>
      <c r="V44" s="63" t="n">
        <v>28632.037109375</v>
      </c>
      <c r="W44" s="62" t="n">
        <v>109525</v>
      </c>
      <c r="X44" s="62" t="n">
        <v>16261</v>
      </c>
      <c r="Y44" s="62" t="n">
        <v>76136</v>
      </c>
      <c r="Z44" s="64" t="n">
        <v>11599</v>
      </c>
    </row>
    <row r="45">
      <c r="A45" s="4" t="n">
        <v>2014</v>
      </c>
      <c r="B45" s="62">
        <f>C45+D45+E45+F45</f>
        <v/>
      </c>
      <c r="C45" s="62">
        <f>I45+M45+Q45+U45+X45</f>
        <v/>
      </c>
      <c r="D45" s="62">
        <f>R45+W45+Y45</f>
        <v/>
      </c>
      <c r="E45" s="62">
        <f>S45+Z45</f>
        <v/>
      </c>
      <c r="F45" s="62">
        <f>J45+N45</f>
        <v/>
      </c>
      <c r="G45" s="63" t="n">
        <v>5003.47412109375</v>
      </c>
      <c r="H45" s="62">
        <f>I45+J45</f>
        <v/>
      </c>
      <c r="I45" s="62" t="n">
        <v>2018333</v>
      </c>
      <c r="J45" s="62" t="n">
        <v>17792</v>
      </c>
      <c r="K45" s="63" t="n">
        <v>33961.91796875</v>
      </c>
      <c r="L45" s="62">
        <f>M45+N45</f>
        <v/>
      </c>
      <c r="M45" s="62" t="n">
        <v>125866</v>
      </c>
      <c r="N45" s="62" t="n">
        <v>12878</v>
      </c>
      <c r="O45" s="63" t="n">
        <v>104918.0546875</v>
      </c>
      <c r="P45" s="62">
        <f>Q45+R45+S45</f>
        <v/>
      </c>
      <c r="Q45" s="62" t="n">
        <v>5435</v>
      </c>
      <c r="R45" s="62" t="n">
        <v>5548</v>
      </c>
      <c r="S45" s="62" t="n">
        <v>109444</v>
      </c>
      <c r="T45" s="63" t="n">
        <v>2122.440673828125</v>
      </c>
      <c r="U45" s="62" t="n">
        <v>39384</v>
      </c>
      <c r="V45" s="63" t="n">
        <v>31585.205078125</v>
      </c>
      <c r="W45" s="62" t="n">
        <v>112444</v>
      </c>
      <c r="X45" s="62" t="n">
        <v>21323</v>
      </c>
      <c r="Y45" s="62" t="n">
        <v>83176</v>
      </c>
      <c r="Z45" s="64" t="n">
        <v>10424</v>
      </c>
    </row>
    <row r="46">
      <c r="A46" s="4" t="n">
        <v>2015</v>
      </c>
      <c r="B46" s="62">
        <f>C46+D46+E46+F46</f>
        <v/>
      </c>
      <c r="C46" s="62">
        <f>I46+M46+Q46+U46+X46</f>
        <v/>
      </c>
      <c r="D46" s="62">
        <f>R46+W46+Y46</f>
        <v/>
      </c>
      <c r="E46" s="62">
        <f>S46+Z46</f>
        <v/>
      </c>
      <c r="F46" s="62">
        <f>J46+N46</f>
        <v/>
      </c>
      <c r="G46" s="63" t="n">
        <v>3729.99560546875</v>
      </c>
      <c r="H46" s="62">
        <f>I46+J46</f>
        <v/>
      </c>
      <c r="I46" s="62" t="n">
        <v>2221053</v>
      </c>
      <c r="J46" s="62" t="n">
        <v>18020</v>
      </c>
      <c r="K46" s="63" t="n">
        <v>81942.7890625</v>
      </c>
      <c r="L46" s="62">
        <f>M46+N46</f>
        <v/>
      </c>
      <c r="M46" s="62" t="n">
        <v>141602</v>
      </c>
      <c r="N46" s="62" t="n">
        <v>13143</v>
      </c>
      <c r="O46" s="63" t="n">
        <v>93308.4453125</v>
      </c>
      <c r="P46" s="62">
        <f>Q46+R46+S46</f>
        <v/>
      </c>
      <c r="Q46" s="62" t="n">
        <v>6679</v>
      </c>
      <c r="R46" s="62" t="n">
        <v>5644</v>
      </c>
      <c r="S46" s="62" t="n">
        <v>118222</v>
      </c>
      <c r="T46" s="63" t="n">
        <v>715.1361694335938</v>
      </c>
      <c r="U46" s="62" t="n">
        <v>43110</v>
      </c>
      <c r="V46" s="63" t="n">
        <v>30409.78515625</v>
      </c>
      <c r="W46" s="62" t="n">
        <v>114286</v>
      </c>
      <c r="X46" s="62" t="n">
        <v>45899</v>
      </c>
      <c r="Y46" s="62" t="n">
        <v>79219</v>
      </c>
      <c r="Z46" s="64" t="n">
        <v>15096</v>
      </c>
    </row>
    <row r="47">
      <c r="A47" s="4" t="n">
        <v>2016</v>
      </c>
      <c r="B47" s="62">
        <f>C47+D47+E47+F47</f>
        <v/>
      </c>
      <c r="C47" s="62">
        <f>I47+M47+Q47+U47+X47</f>
        <v/>
      </c>
      <c r="D47" s="62">
        <f>R47+W47+Y47</f>
        <v/>
      </c>
      <c r="E47" s="62">
        <f>S47+Z47</f>
        <v/>
      </c>
      <c r="F47" s="62">
        <f>J47+N47</f>
        <v/>
      </c>
      <c r="G47" s="63" t="n">
        <v>7276.81005859375</v>
      </c>
      <c r="H47" s="62">
        <f>I47+J47</f>
        <v/>
      </c>
      <c r="I47" s="62" t="n">
        <v>1958742</v>
      </c>
      <c r="J47" s="62" t="n">
        <v>20620</v>
      </c>
      <c r="K47" s="63" t="n">
        <v>51512.5234375</v>
      </c>
      <c r="L47" s="62">
        <f>M47+N47</f>
        <v/>
      </c>
      <c r="M47" s="62" t="n">
        <v>100953</v>
      </c>
      <c r="N47" s="62" t="n">
        <v>13294</v>
      </c>
      <c r="O47" s="63" t="n">
        <v>117854.5703125</v>
      </c>
      <c r="P47" s="62">
        <f>Q47+R47+S47</f>
        <v/>
      </c>
      <c r="Q47" s="62" t="n">
        <v>3324</v>
      </c>
      <c r="R47" s="62" t="n">
        <v>4622</v>
      </c>
      <c r="S47" s="62" t="n">
        <v>86242</v>
      </c>
      <c r="T47" s="63" t="n">
        <v>0</v>
      </c>
      <c r="U47" s="62" t="n">
        <v>38590</v>
      </c>
      <c r="V47" s="63" t="n">
        <v>30643.44921875</v>
      </c>
      <c r="W47" s="62" t="n">
        <v>77544</v>
      </c>
      <c r="X47" s="62" t="n">
        <v>38868</v>
      </c>
      <c r="Y47" s="62" t="n">
        <v>74921</v>
      </c>
      <c r="Z47" s="64" t="n">
        <v>9292</v>
      </c>
    </row>
    <row r="48">
      <c r="A48" s="4" t="n">
        <v>2017</v>
      </c>
      <c r="B48" s="62">
        <f>C48+D48+E48+F48</f>
        <v/>
      </c>
      <c r="C48" s="62">
        <f>I48+M48+Q48+U48+X48</f>
        <v/>
      </c>
      <c r="D48" s="62">
        <f>R48+W48+Y48</f>
        <v/>
      </c>
      <c r="E48" s="62">
        <f>S48+Z48</f>
        <v/>
      </c>
      <c r="F48" s="62">
        <f>J48+N48</f>
        <v/>
      </c>
      <c r="G48" s="63" t="n">
        <v>5892.81787109375</v>
      </c>
      <c r="H48" s="62">
        <f>I48+J48</f>
        <v/>
      </c>
      <c r="I48" s="62" t="n">
        <v>2119354</v>
      </c>
      <c r="J48" s="62" t="n">
        <v>23628</v>
      </c>
      <c r="K48" s="63" t="n">
        <v>112805.296875</v>
      </c>
      <c r="L48" s="62">
        <f>M48+N48</f>
        <v/>
      </c>
      <c r="M48" s="62" t="n">
        <v>108282</v>
      </c>
      <c r="N48" s="62" t="n">
        <v>13600</v>
      </c>
      <c r="O48" s="63" t="n">
        <v>157531.0625</v>
      </c>
      <c r="P48" s="62">
        <f>Q48+R48+S48</f>
        <v/>
      </c>
      <c r="Q48" s="62" t="n">
        <v>3516</v>
      </c>
      <c r="R48" s="62" t="n">
        <v>4991</v>
      </c>
      <c r="S48" s="62" t="n">
        <v>88517</v>
      </c>
      <c r="T48" s="63" t="n">
        <v>0</v>
      </c>
      <c r="U48" s="62" t="n">
        <v>53989</v>
      </c>
      <c r="V48" s="63" t="n">
        <v>30621.81640625</v>
      </c>
      <c r="W48" s="62" t="n">
        <v>73949</v>
      </c>
      <c r="X48" s="62" t="n">
        <v>38364</v>
      </c>
      <c r="Y48" s="62" t="n">
        <v>76068</v>
      </c>
      <c r="Z48" s="64" t="n">
        <v>8035</v>
      </c>
    </row>
    <row r="49">
      <c r="A49" s="4" t="n">
        <v>2018</v>
      </c>
      <c r="B49" s="62">
        <f>C49+D49+E49+F49</f>
        <v/>
      </c>
      <c r="C49" s="62">
        <f>I49+M49+Q49+U49+X49</f>
        <v/>
      </c>
      <c r="D49" s="62">
        <f>R49+W49+Y49</f>
        <v/>
      </c>
      <c r="E49" s="62">
        <f>S49+Z49</f>
        <v/>
      </c>
      <c r="F49" s="62">
        <f>J49+N49</f>
        <v/>
      </c>
      <c r="G49" s="63" t="n">
        <v>8109.63427734375</v>
      </c>
      <c r="H49" s="62">
        <f>I49+J49</f>
        <v/>
      </c>
      <c r="I49" s="62" t="n">
        <v>1944255</v>
      </c>
      <c r="J49" s="62" t="n">
        <v>22379</v>
      </c>
      <c r="K49" s="63" t="n">
        <v>80283.3671875</v>
      </c>
      <c r="L49" s="62">
        <f>M49+N49</f>
        <v/>
      </c>
      <c r="M49" s="62" t="n">
        <v>91338</v>
      </c>
      <c r="N49" s="62" t="n">
        <v>13297</v>
      </c>
      <c r="O49" s="63" t="n">
        <v>91521.7578125</v>
      </c>
      <c r="P49" s="62">
        <f>Q49+R49+S49</f>
        <v/>
      </c>
      <c r="Q49" s="62" t="n">
        <v>3162</v>
      </c>
      <c r="R49" s="62" t="n">
        <v>4924</v>
      </c>
      <c r="S49" s="62" t="n">
        <v>85711</v>
      </c>
      <c r="T49" s="63" t="n">
        <v>23564.146484375</v>
      </c>
      <c r="U49" s="62" t="n">
        <v>44361</v>
      </c>
      <c r="V49" s="63" t="n">
        <v>30820.166015625</v>
      </c>
      <c r="W49" s="62" t="n">
        <v>73117</v>
      </c>
      <c r="X49" s="62" t="n">
        <v>21397</v>
      </c>
      <c r="Y49" s="62" t="n">
        <v>77708</v>
      </c>
      <c r="Z49" s="64" t="n">
        <v>8126</v>
      </c>
    </row>
    <row r="50">
      <c r="A50" s="4" t="n">
        <v>2019</v>
      </c>
      <c r="B50" s="62">
        <f>C50+D50+E50+F50</f>
        <v/>
      </c>
      <c r="C50" s="62">
        <f>I50+M50+Q50+U50+X50</f>
        <v/>
      </c>
      <c r="D50" s="62">
        <f>R50+W50+Y50</f>
        <v/>
      </c>
      <c r="E50" s="62">
        <f>S50+Z50</f>
        <v/>
      </c>
      <c r="F50" s="62">
        <f>J50+N50</f>
        <v/>
      </c>
      <c r="G50" s="63" t="n">
        <v>7129.86083984375</v>
      </c>
      <c r="H50" s="62">
        <f>I50+J50</f>
        <v/>
      </c>
      <c r="I50" s="62" t="n">
        <v>1933675</v>
      </c>
      <c r="J50" s="62" t="n">
        <v>18751</v>
      </c>
      <c r="K50" s="63" t="n">
        <v>151729.078125</v>
      </c>
      <c r="L50" s="62">
        <f>M50+N50</f>
        <v/>
      </c>
      <c r="M50" s="62" t="n">
        <v>91936</v>
      </c>
      <c r="N50" s="62" t="n">
        <v>13330</v>
      </c>
      <c r="O50" s="63" t="n">
        <v>231859.625</v>
      </c>
      <c r="P50" s="62">
        <f>Q50+R50+S50</f>
        <v/>
      </c>
      <c r="Q50" s="62" t="n">
        <v>3085</v>
      </c>
      <c r="R50" s="62" t="n">
        <v>5267</v>
      </c>
      <c r="S50" s="62" t="n">
        <v>88041</v>
      </c>
      <c r="T50" s="63" t="n">
        <v>3513.259765625</v>
      </c>
      <c r="U50" s="62" t="n">
        <v>49848</v>
      </c>
      <c r="V50" s="63" t="n">
        <v>30741.833984375</v>
      </c>
      <c r="W50" s="62" t="n">
        <v>76431</v>
      </c>
      <c r="X50" s="62" t="n">
        <v>16600</v>
      </c>
      <c r="Y50" s="62" t="n">
        <v>62066</v>
      </c>
      <c r="Z50" s="64" t="n">
        <v>9654</v>
      </c>
    </row>
    <row r="51">
      <c r="A51" s="4" t="n">
        <v>2020</v>
      </c>
      <c r="B51" s="62">
        <f>C51+D51+E51+F51</f>
        <v/>
      </c>
      <c r="C51" s="62">
        <f>I51+M51+Q51+U51+X51</f>
        <v/>
      </c>
      <c r="D51" s="62">
        <f>R51+W51+Y51</f>
        <v/>
      </c>
      <c r="E51" s="62">
        <f>S51+Z51</f>
        <v/>
      </c>
      <c r="F51" s="62">
        <f>J51+N51</f>
        <v/>
      </c>
      <c r="G51" s="63" t="n">
        <v>6186.11083984375</v>
      </c>
      <c r="H51" s="62">
        <f>I51+J51</f>
        <v/>
      </c>
      <c r="I51" s="62" t="n">
        <v>2170342</v>
      </c>
      <c r="J51" s="62" t="n">
        <v>19764</v>
      </c>
      <c r="K51" s="63" t="n">
        <v>74753.3125</v>
      </c>
      <c r="L51" s="62">
        <f>M51+N51</f>
        <v/>
      </c>
      <c r="M51" s="62" t="n">
        <v>97645</v>
      </c>
      <c r="N51" s="62" t="n">
        <v>13607</v>
      </c>
      <c r="O51" s="63" t="n">
        <v>126030.953125</v>
      </c>
      <c r="P51" s="62">
        <f>Q51+R51+S51</f>
        <v/>
      </c>
      <c r="Q51" s="62" t="n">
        <v>2874</v>
      </c>
      <c r="R51" s="62" t="n">
        <v>5929</v>
      </c>
      <c r="S51" s="62" t="n">
        <v>95854</v>
      </c>
      <c r="T51" s="63" t="n">
        <v>43577.09765625</v>
      </c>
      <c r="U51" s="62" t="n">
        <v>55815</v>
      </c>
      <c r="V51" s="63" t="n">
        <v>30672.21875</v>
      </c>
      <c r="W51" s="62" t="n">
        <v>81619</v>
      </c>
      <c r="X51" s="62" t="n">
        <v>17234</v>
      </c>
      <c r="Y51" s="62" t="n">
        <v>73785</v>
      </c>
      <c r="Z51" s="64" t="n">
        <v>8131</v>
      </c>
    </row>
    <row r="52">
      <c r="A52" s="4" t="n">
        <v>2021</v>
      </c>
      <c r="B52" s="62">
        <f>C52+D52+E52+F52</f>
        <v/>
      </c>
      <c r="C52" s="62">
        <f>I52+M52+Q52+U52+X52</f>
        <v/>
      </c>
      <c r="D52" s="62">
        <f>R52+W52+Y52</f>
        <v/>
      </c>
      <c r="E52" s="62">
        <f>S52+Z52</f>
        <v/>
      </c>
      <c r="F52" s="62">
        <f>J52+N52</f>
        <v/>
      </c>
      <c r="G52" s="63" t="n">
        <v>6536.3681640625</v>
      </c>
      <c r="H52" s="62">
        <f>I52+J52</f>
        <v/>
      </c>
      <c r="I52" s="62" t="n">
        <v>2267632</v>
      </c>
      <c r="J52" s="62" t="n">
        <v>16610</v>
      </c>
      <c r="K52" s="63" t="n">
        <v>70284.421875</v>
      </c>
      <c r="L52" s="62">
        <f>M52+N52</f>
        <v/>
      </c>
      <c r="M52" s="62" t="n">
        <v>86198</v>
      </c>
      <c r="N52" s="62" t="n">
        <v>13186</v>
      </c>
      <c r="O52" s="63" t="n">
        <v>93315.8046875</v>
      </c>
      <c r="P52" s="62">
        <f>Q52+R52+S52</f>
        <v/>
      </c>
      <c r="Q52" s="62" t="n">
        <v>2959</v>
      </c>
      <c r="R52" s="62" t="n">
        <v>5034</v>
      </c>
      <c r="S52" s="62" t="n">
        <v>91328</v>
      </c>
      <c r="T52" s="63" t="n">
        <v>7416.54833984375</v>
      </c>
      <c r="U52" s="62" t="n">
        <v>50172</v>
      </c>
      <c r="V52" s="63" t="n">
        <v>29904.2109375</v>
      </c>
      <c r="W52" s="62" t="n">
        <v>78732</v>
      </c>
      <c r="X52" s="62" t="n">
        <v>14821</v>
      </c>
      <c r="Y52" s="62" t="n">
        <v>77387</v>
      </c>
      <c r="Z52" s="64" t="n">
        <v>8128</v>
      </c>
    </row>
    <row r="53">
      <c r="A53" s="4" t="n">
        <v>2022</v>
      </c>
      <c r="B53" s="62">
        <f>C53+D53+E53+F53</f>
        <v/>
      </c>
      <c r="C53" s="62">
        <f>I53+M53+Q53+U53+X53</f>
        <v/>
      </c>
      <c r="D53" s="62">
        <f>R53+W53+Y53</f>
        <v/>
      </c>
      <c r="E53" s="62">
        <f>S53+Z53</f>
        <v/>
      </c>
      <c r="F53" s="62">
        <f>J53+N53</f>
        <v/>
      </c>
      <c r="G53" s="63" t="n">
        <v>5927.11083984375</v>
      </c>
      <c r="H53" s="62">
        <f>I53+J53</f>
        <v/>
      </c>
      <c r="I53" s="62" t="n">
        <v>2351372</v>
      </c>
      <c r="J53" s="62" t="n">
        <v>15244</v>
      </c>
      <c r="K53" s="63" t="n">
        <v>184895.203125</v>
      </c>
      <c r="L53" s="62">
        <f>M53+N53</f>
        <v/>
      </c>
      <c r="M53" s="62" t="n">
        <v>93167</v>
      </c>
      <c r="N53" s="62" t="n">
        <v>12959</v>
      </c>
      <c r="O53" s="63" t="n">
        <v>112543.4453125</v>
      </c>
      <c r="P53" s="62">
        <f>Q53+R53+S53</f>
        <v/>
      </c>
      <c r="Q53" s="62" t="n">
        <v>3189</v>
      </c>
      <c r="R53" s="62" t="n">
        <v>5095</v>
      </c>
      <c r="S53" s="62" t="n">
        <v>92588</v>
      </c>
      <c r="T53" s="63" t="n">
        <v>6731.24267578125</v>
      </c>
      <c r="U53" s="62" t="n">
        <v>48730</v>
      </c>
      <c r="V53" s="63" t="n">
        <v>29882.212890625</v>
      </c>
      <c r="W53" s="62" t="n">
        <v>76312</v>
      </c>
      <c r="X53" s="62" t="n">
        <v>16301</v>
      </c>
      <c r="Y53" s="62" t="n">
        <v>76306</v>
      </c>
      <c r="Z53" s="64" t="n">
        <v>9365</v>
      </c>
    </row>
    <row r="54">
      <c r="A54" s="4" t="n">
        <v>2023</v>
      </c>
      <c r="B54" s="62">
        <f>C54+D54+E54+F54</f>
        <v/>
      </c>
      <c r="C54" s="62">
        <f>I54+M54+Q54+U54+X54</f>
        <v/>
      </c>
      <c r="D54" s="62">
        <f>R54+W54+Y54</f>
        <v/>
      </c>
      <c r="E54" s="62">
        <f>S54+Z54</f>
        <v/>
      </c>
      <c r="F54" s="62">
        <f>J54+N54</f>
        <v/>
      </c>
      <c r="G54" s="63" t="n">
        <v>93201.078125</v>
      </c>
      <c r="H54" s="62">
        <f>I54+J54</f>
        <v/>
      </c>
      <c r="I54" s="62" t="n">
        <v>2495973</v>
      </c>
      <c r="J54" s="62" t="n">
        <v>22689</v>
      </c>
      <c r="K54" s="63" t="n">
        <v>205307.828125</v>
      </c>
      <c r="L54" s="62">
        <f>M54+N54</f>
        <v/>
      </c>
      <c r="M54" s="62" t="n">
        <v>91704</v>
      </c>
      <c r="N54" s="62" t="n">
        <v>13121</v>
      </c>
      <c r="O54" s="63" t="n">
        <v>337950.90625</v>
      </c>
      <c r="P54" s="62">
        <f>Q54+R54+S54</f>
        <v/>
      </c>
      <c r="Q54" s="62" t="n">
        <v>2985</v>
      </c>
      <c r="R54" s="62" t="n">
        <v>5529</v>
      </c>
      <c r="S54" s="62" t="n">
        <v>92780</v>
      </c>
      <c r="T54" s="63" t="n">
        <v>115799.984375</v>
      </c>
      <c r="U54" s="62" t="n">
        <v>57012</v>
      </c>
      <c r="V54" s="63" t="n">
        <v>29974.0234375</v>
      </c>
      <c r="W54" s="62" t="n">
        <v>76648</v>
      </c>
      <c r="X54" s="62" t="n">
        <v>16090</v>
      </c>
      <c r="Y54" s="62" t="n">
        <v>77833</v>
      </c>
      <c r="Z54" s="64" t="n">
        <v>9732</v>
      </c>
    </row>
    <row r="55">
      <c r="A55" s="22" t="n">
        <v>2024</v>
      </c>
      <c r="B55" s="65">
        <f>C55+D55+E55+F55</f>
        <v/>
      </c>
      <c r="C55" s="65">
        <f>I55+M55+Q55+U55+X55</f>
        <v/>
      </c>
      <c r="D55" s="65">
        <f>R55+W55+Y55</f>
        <v/>
      </c>
      <c r="E55" s="65">
        <f>S55+Z55</f>
        <v/>
      </c>
      <c r="F55" s="65">
        <f>J55+N55</f>
        <v/>
      </c>
      <c r="G55" s="66" t="n">
        <v>9284.2578125</v>
      </c>
      <c r="H55" s="65">
        <f>I55+J55</f>
        <v/>
      </c>
      <c r="I55" s="65" t="n">
        <v>2380956</v>
      </c>
      <c r="J55" s="65" t="n">
        <v>24125</v>
      </c>
      <c r="K55" s="66" t="n">
        <v>50470.328125</v>
      </c>
      <c r="L55" s="65">
        <f>M55+N55</f>
        <v/>
      </c>
      <c r="M55" s="65" t="n">
        <v>101582</v>
      </c>
      <c r="N55" s="65" t="n">
        <v>12923</v>
      </c>
      <c r="O55" s="66" t="n">
        <v>122410.1796875</v>
      </c>
      <c r="P55" s="65">
        <f>Q55+R55+S55</f>
        <v/>
      </c>
      <c r="Q55" s="65" t="n">
        <v>3479</v>
      </c>
      <c r="R55" s="65" t="n">
        <v>5456</v>
      </c>
      <c r="S55" s="65" t="n">
        <v>92894</v>
      </c>
      <c r="T55" s="66" t="n">
        <v>6132</v>
      </c>
      <c r="U55" s="65" t="n">
        <v>54202</v>
      </c>
      <c r="V55" s="66" t="n">
        <v>29978.015625</v>
      </c>
      <c r="W55" s="65" t="n">
        <v>87588</v>
      </c>
      <c r="X55" s="65" t="n">
        <v>14189</v>
      </c>
      <c r="Y55" s="65" t="n">
        <v>74397</v>
      </c>
      <c r="Z55" s="67" t="n">
        <v>7570</v>
      </c>
    </row>
    <row r="56">
      <c r="A56" s="31" t="inlineStr">
        <is>
          <t>Avg</t>
        </is>
      </c>
      <c r="B56" s="68">
        <f>AVERAGE(B2:B55)</f>
        <v/>
      </c>
      <c r="C56" s="68">
        <f>AVERAGE(C2:C55)</f>
        <v/>
      </c>
      <c r="D56" s="68">
        <f>AVERAGE(D2:D55)</f>
        <v/>
      </c>
      <c r="E56" s="68">
        <f>AVERAGE(E2:E55)</f>
        <v/>
      </c>
      <c r="F56" s="68">
        <f>AVERAGE(F2:F55)</f>
        <v/>
      </c>
      <c r="G56" s="69">
        <f>AVERAGE(G2:G55)</f>
        <v/>
      </c>
      <c r="H56" s="68">
        <f>AVERAGE(H2:H55)</f>
        <v/>
      </c>
      <c r="I56" s="68">
        <f>AVERAGE(I2:I55)</f>
        <v/>
      </c>
      <c r="J56" s="68">
        <f>AVERAGE(J2:J55)</f>
        <v/>
      </c>
      <c r="K56" s="69">
        <f>AVERAGE(K2:K55)</f>
        <v/>
      </c>
      <c r="L56" s="68">
        <f>AVERAGE(L2:L55)</f>
        <v/>
      </c>
      <c r="M56" s="68">
        <f>AVERAGE(M2:M55)</f>
        <v/>
      </c>
      <c r="N56" s="68">
        <f>AVERAGE(N2:N55)</f>
        <v/>
      </c>
      <c r="O56" s="69">
        <f>AVERAGE(O2:O55)</f>
        <v/>
      </c>
      <c r="P56" s="68">
        <f>AVERAGE(P2:P55)</f>
        <v/>
      </c>
      <c r="Q56" s="68">
        <f>AVERAGE(Q2:Q55)</f>
        <v/>
      </c>
      <c r="R56" s="68">
        <f>AVERAGE(R2:R55)</f>
        <v/>
      </c>
      <c r="S56" s="68">
        <f>AVERAGE(S2:S55)</f>
        <v/>
      </c>
      <c r="T56" s="69">
        <f>AVERAGE(T2:T55)</f>
        <v/>
      </c>
      <c r="U56" s="68">
        <f>AVERAGE(U2:U55)</f>
        <v/>
      </c>
      <c r="V56" s="69">
        <f>AVERAGE(V2:V55)</f>
        <v/>
      </c>
      <c r="W56" s="68">
        <f>AVERAGE(W2:W55)</f>
        <v/>
      </c>
      <c r="X56" s="68">
        <f>AVERAGE(X2:X55)</f>
        <v/>
      </c>
      <c r="Y56" s="68">
        <f>AVERAGE(Y2:Y55)</f>
        <v/>
      </c>
      <c r="Z56" s="70">
        <f>AVERAGE(Z2:Z55)</f>
        <v/>
      </c>
    </row>
    <row r="57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47" t="n"/>
      <c r="X57" s="47" t="n"/>
      <c r="Y57" s="47" t="n"/>
      <c r="Z57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 ht="25" customHeight="1">
      <c r="A1" s="1" t="inlineStr">
        <is>
          <t>Year</t>
        </is>
      </c>
      <c r="B1" s="2" t="inlineStr">
        <is>
          <t>Mead CUL</t>
        </is>
      </c>
      <c r="C1" s="2" t="inlineStr">
        <is>
          <t>LC Reservoir Total CUL</t>
        </is>
      </c>
      <c r="D1" s="2" t="inlineStr">
        <is>
          <t>Mohave CUL</t>
        </is>
      </c>
      <c r="E1" s="2" t="inlineStr">
        <is>
          <t>Havasu CUL</t>
        </is>
      </c>
      <c r="F1" s="2" t="inlineStr">
        <is>
          <t>Senator Wash CUL</t>
        </is>
      </c>
      <c r="G1" s="3" t="inlineStr">
        <is>
          <t>Diversion Dams CUL</t>
        </is>
      </c>
    </row>
    <row r="2">
      <c r="A2" s="4" t="n">
        <v>1971</v>
      </c>
      <c r="B2" s="71" t="n">
        <v>669055</v>
      </c>
      <c r="C2" s="71">
        <f>D2+E2+B2+G2</f>
        <v/>
      </c>
      <c r="D2" s="71" t="n">
        <v>141310</v>
      </c>
      <c r="E2" s="71" t="n">
        <v>134678</v>
      </c>
      <c r="F2" s="71" t="n">
        <v>2006</v>
      </c>
      <c r="G2" s="72" t="n">
        <v>26275</v>
      </c>
    </row>
    <row r="3">
      <c r="A3" s="4" t="n">
        <v>1972</v>
      </c>
      <c r="B3" s="71" t="n">
        <v>686300</v>
      </c>
      <c r="C3" s="71">
        <f>D3+E3+B3+G3</f>
        <v/>
      </c>
      <c r="D3" s="71" t="n">
        <v>139296</v>
      </c>
      <c r="E3" s="71" t="n">
        <v>128949</v>
      </c>
      <c r="F3" s="71" t="n">
        <v>1805</v>
      </c>
      <c r="G3" s="72" t="n">
        <v>25622</v>
      </c>
    </row>
    <row r="4">
      <c r="A4" s="4" t="n">
        <v>1973</v>
      </c>
      <c r="B4" s="71" t="n">
        <v>777382</v>
      </c>
      <c r="C4" s="71">
        <f>D4+E4+B4+G4</f>
        <v/>
      </c>
      <c r="D4" s="71" t="n">
        <v>134442</v>
      </c>
      <c r="E4" s="71" t="n">
        <v>132251</v>
      </c>
      <c r="F4" s="71" t="n">
        <v>1934</v>
      </c>
      <c r="G4" s="72" t="n">
        <v>25923</v>
      </c>
    </row>
    <row r="5">
      <c r="A5" s="4" t="n">
        <v>1974</v>
      </c>
      <c r="B5" s="71" t="n">
        <v>744248</v>
      </c>
      <c r="C5" s="71">
        <f>D5+E5+B5+G5</f>
        <v/>
      </c>
      <c r="D5" s="71" t="n">
        <v>136491</v>
      </c>
      <c r="E5" s="71" t="n">
        <v>133289</v>
      </c>
      <c r="F5" s="71" t="n">
        <v>1714</v>
      </c>
      <c r="G5" s="72" t="n">
        <v>26375</v>
      </c>
    </row>
    <row r="6">
      <c r="A6" s="4" t="n">
        <v>1975</v>
      </c>
      <c r="B6" s="71" t="n">
        <v>770827</v>
      </c>
      <c r="C6" s="71">
        <f>D6+E6+B6+G6</f>
        <v/>
      </c>
      <c r="D6" s="71" t="n">
        <v>140326</v>
      </c>
      <c r="E6" s="71" t="n">
        <v>135698</v>
      </c>
      <c r="F6" s="71" t="n">
        <v>2091</v>
      </c>
      <c r="G6" s="72" t="n">
        <v>26301</v>
      </c>
    </row>
    <row r="7">
      <c r="A7" s="4" t="n">
        <v>1976</v>
      </c>
      <c r="B7" s="71" t="n">
        <v>756702</v>
      </c>
      <c r="C7" s="71">
        <f>D7+E7+B7+G7</f>
        <v/>
      </c>
      <c r="D7" s="71" t="n">
        <v>132431</v>
      </c>
      <c r="E7" s="71" t="n">
        <v>129121</v>
      </c>
      <c r="F7" s="71" t="n">
        <v>1993</v>
      </c>
      <c r="G7" s="72" t="n">
        <v>25100</v>
      </c>
    </row>
    <row r="8">
      <c r="A8" s="4" t="n">
        <v>1977</v>
      </c>
      <c r="B8" s="71" t="n">
        <v>769901</v>
      </c>
      <c r="C8" s="71">
        <f>D8+E8+B8+G8</f>
        <v/>
      </c>
      <c r="D8" s="71" t="n">
        <v>138614</v>
      </c>
      <c r="E8" s="71" t="n">
        <v>132559</v>
      </c>
      <c r="F8" s="71" t="n">
        <v>1853</v>
      </c>
      <c r="G8" s="72" t="n">
        <v>25844</v>
      </c>
    </row>
    <row r="9">
      <c r="A9" s="4" t="n">
        <v>1978</v>
      </c>
      <c r="B9" s="71" t="n">
        <v>726839</v>
      </c>
      <c r="C9" s="71">
        <f>D9+E9+B9+G9</f>
        <v/>
      </c>
      <c r="D9" s="71" t="n">
        <v>121495</v>
      </c>
      <c r="E9" s="71" t="n">
        <v>119465</v>
      </c>
      <c r="F9" s="71" t="n">
        <v>1949</v>
      </c>
      <c r="G9" s="72" t="n">
        <v>24775</v>
      </c>
    </row>
    <row r="10">
      <c r="A10" s="4" t="n">
        <v>1979</v>
      </c>
      <c r="B10" s="71" t="n">
        <v>820204</v>
      </c>
      <c r="C10" s="71">
        <f>D10+E10+B10+G10</f>
        <v/>
      </c>
      <c r="D10" s="71" t="n">
        <v>131050</v>
      </c>
      <c r="E10" s="71" t="n">
        <v>127594</v>
      </c>
      <c r="F10" s="71" t="n">
        <v>2154</v>
      </c>
      <c r="G10" s="72" t="n">
        <v>25373</v>
      </c>
    </row>
    <row r="11">
      <c r="A11" s="4" t="n">
        <v>1980</v>
      </c>
      <c r="B11" s="71" t="n">
        <v>820107</v>
      </c>
      <c r="C11" s="71">
        <f>D11+E11+B11+G11</f>
        <v/>
      </c>
      <c r="D11" s="71" t="n">
        <v>128690</v>
      </c>
      <c r="E11" s="71" t="n">
        <v>121266</v>
      </c>
      <c r="F11" s="71" t="n">
        <v>2112</v>
      </c>
      <c r="G11" s="72" t="n">
        <v>25944</v>
      </c>
    </row>
    <row r="12">
      <c r="A12" s="4" t="n">
        <v>1981</v>
      </c>
      <c r="B12" s="71" t="n">
        <v>823862</v>
      </c>
      <c r="C12" s="71">
        <f>D12+E12+B12+G12</f>
        <v/>
      </c>
      <c r="D12" s="71" t="n">
        <v>136411</v>
      </c>
      <c r="E12" s="71" t="n">
        <v>130580</v>
      </c>
      <c r="F12" s="71" t="n">
        <v>2253</v>
      </c>
      <c r="G12" s="72" t="n">
        <v>26139</v>
      </c>
    </row>
    <row r="13">
      <c r="A13" s="4" t="n">
        <v>1982</v>
      </c>
      <c r="B13" s="71" t="n">
        <v>828337</v>
      </c>
      <c r="C13" s="71">
        <f>D13+E13+B13+G13</f>
        <v/>
      </c>
      <c r="D13" s="71" t="n">
        <v>129434</v>
      </c>
      <c r="E13" s="71" t="n">
        <v>128365</v>
      </c>
      <c r="F13" s="71" t="n">
        <v>2306</v>
      </c>
      <c r="G13" s="72" t="n">
        <v>25526</v>
      </c>
    </row>
    <row r="14">
      <c r="A14" s="4" t="n">
        <v>1983</v>
      </c>
      <c r="B14" s="71" t="n">
        <v>863695</v>
      </c>
      <c r="C14" s="71">
        <f>D14+E14+B14+G14</f>
        <v/>
      </c>
      <c r="D14" s="71" t="n">
        <v>125292</v>
      </c>
      <c r="E14" s="71" t="n">
        <v>122338</v>
      </c>
      <c r="F14" s="71" t="n">
        <v>2093</v>
      </c>
      <c r="G14" s="72" t="n">
        <v>25154</v>
      </c>
    </row>
    <row r="15">
      <c r="A15" s="4" t="n">
        <v>1984</v>
      </c>
      <c r="B15" s="71" t="n">
        <v>825948</v>
      </c>
      <c r="C15" s="71">
        <f>D15+E15+B15+G15</f>
        <v/>
      </c>
      <c r="D15" s="71" t="n">
        <v>129024</v>
      </c>
      <c r="E15" s="71" t="n">
        <v>127567</v>
      </c>
      <c r="F15" s="71" t="n">
        <v>1919</v>
      </c>
      <c r="G15" s="72" t="n">
        <v>24923</v>
      </c>
    </row>
    <row r="16">
      <c r="A16" s="4" t="n">
        <v>1985</v>
      </c>
      <c r="B16" s="71" t="n">
        <v>905146</v>
      </c>
      <c r="C16" s="71">
        <f>D16+E16+B16+G16</f>
        <v/>
      </c>
      <c r="D16" s="71" t="n">
        <v>141605</v>
      </c>
      <c r="E16" s="71" t="n">
        <v>129656</v>
      </c>
      <c r="F16" s="71" t="n">
        <v>1863</v>
      </c>
      <c r="G16" s="72" t="n">
        <v>25841</v>
      </c>
    </row>
    <row r="17">
      <c r="A17" s="4" t="n">
        <v>1986</v>
      </c>
      <c r="B17" s="71" t="n">
        <v>883860</v>
      </c>
      <c r="C17" s="71">
        <f>D17+E17+B17+G17</f>
        <v/>
      </c>
      <c r="D17" s="71" t="n">
        <v>133881</v>
      </c>
      <c r="E17" s="71" t="n">
        <v>127133</v>
      </c>
      <c r="F17" s="71" t="n">
        <v>1962</v>
      </c>
      <c r="G17" s="72" t="n">
        <v>25701</v>
      </c>
    </row>
    <row r="18">
      <c r="A18" s="4" t="n">
        <v>1987</v>
      </c>
      <c r="B18" s="71" t="n">
        <v>854146</v>
      </c>
      <c r="C18" s="71">
        <f>D18+E18+B18+G18</f>
        <v/>
      </c>
      <c r="D18" s="71" t="n">
        <v>135140</v>
      </c>
      <c r="E18" s="71" t="n">
        <v>134573</v>
      </c>
      <c r="F18" s="71" t="n">
        <v>2025</v>
      </c>
      <c r="G18" s="72" t="n">
        <v>25778</v>
      </c>
    </row>
    <row r="19">
      <c r="A19" s="4" t="n">
        <v>1988</v>
      </c>
      <c r="B19" s="71" t="n">
        <v>865427</v>
      </c>
      <c r="C19" s="71">
        <f>D19+E19+B19+G19</f>
        <v/>
      </c>
      <c r="D19" s="71" t="n">
        <v>134206</v>
      </c>
      <c r="E19" s="71" t="n">
        <v>130974</v>
      </c>
      <c r="F19" s="71" t="n">
        <v>1759</v>
      </c>
      <c r="G19" s="72" t="n">
        <v>26317</v>
      </c>
    </row>
    <row r="20">
      <c r="A20" s="4" t="n">
        <v>1989</v>
      </c>
      <c r="B20" s="71" t="n">
        <v>847688</v>
      </c>
      <c r="C20" s="71">
        <f>D20+E20+B20+G20</f>
        <v/>
      </c>
      <c r="D20" s="71" t="n">
        <v>145158</v>
      </c>
      <c r="E20" s="71" t="n">
        <v>136297</v>
      </c>
      <c r="F20" s="71" t="n">
        <v>2097</v>
      </c>
      <c r="G20" s="72" t="n">
        <v>26398</v>
      </c>
    </row>
    <row r="21">
      <c r="A21" s="4" t="n">
        <v>1990</v>
      </c>
      <c r="B21" s="71" t="n">
        <v>775899</v>
      </c>
      <c r="C21" s="71">
        <f>D21+E21+B21+G21</f>
        <v/>
      </c>
      <c r="D21" s="71" t="n">
        <v>136523</v>
      </c>
      <c r="E21" s="71" t="n">
        <v>132485</v>
      </c>
      <c r="F21" s="71" t="n">
        <v>2157</v>
      </c>
      <c r="G21" s="72" t="n">
        <v>26184</v>
      </c>
    </row>
    <row r="22">
      <c r="A22" s="4" t="n">
        <v>1991</v>
      </c>
      <c r="B22" s="71" t="n">
        <v>740702</v>
      </c>
      <c r="C22" s="71">
        <f>D22+E22+B22+G22</f>
        <v/>
      </c>
      <c r="D22" s="71" t="n">
        <v>133344</v>
      </c>
      <c r="E22" s="71" t="n">
        <v>129911</v>
      </c>
      <c r="F22" s="71" t="n">
        <v>2203</v>
      </c>
      <c r="G22" s="72" t="n">
        <v>25657</v>
      </c>
    </row>
    <row r="23">
      <c r="A23" s="4" t="n">
        <v>1992</v>
      </c>
      <c r="B23" s="71" t="n">
        <v>694778</v>
      </c>
      <c r="C23" s="71">
        <f>D23+E23+B23+G23</f>
        <v/>
      </c>
      <c r="D23" s="71" t="n">
        <v>124663</v>
      </c>
      <c r="E23" s="71" t="n">
        <v>119487</v>
      </c>
      <c r="F23" s="71" t="n">
        <v>1897</v>
      </c>
      <c r="G23" s="72" t="n">
        <v>24225</v>
      </c>
    </row>
    <row r="24">
      <c r="A24" s="4" t="n">
        <v>1993</v>
      </c>
      <c r="B24" s="71" t="n">
        <v>783355</v>
      </c>
      <c r="C24" s="71">
        <f>D24+E24+B24+G24</f>
        <v/>
      </c>
      <c r="D24" s="71" t="n">
        <v>125112</v>
      </c>
      <c r="E24" s="71" t="n">
        <v>125613</v>
      </c>
      <c r="F24" s="71" t="n">
        <v>1812</v>
      </c>
      <c r="G24" s="72" t="n">
        <v>25074</v>
      </c>
    </row>
    <row r="25">
      <c r="A25" s="4" t="n">
        <v>1994</v>
      </c>
      <c r="B25" s="71" t="n">
        <v>789860</v>
      </c>
      <c r="C25" s="71">
        <f>D25+E25+B25+G25</f>
        <v/>
      </c>
      <c r="D25" s="71" t="n">
        <v>139153</v>
      </c>
      <c r="E25" s="71" t="n">
        <v>131677</v>
      </c>
      <c r="F25" s="71" t="n">
        <v>1946</v>
      </c>
      <c r="G25" s="72" t="n">
        <v>25901</v>
      </c>
    </row>
    <row r="26">
      <c r="A26" s="4" t="n">
        <v>1995</v>
      </c>
      <c r="B26" s="71" t="n">
        <v>783408</v>
      </c>
      <c r="C26" s="71">
        <f>D26+E26+B26+G26</f>
        <v/>
      </c>
      <c r="D26" s="71" t="n">
        <v>138365</v>
      </c>
      <c r="E26" s="71" t="n">
        <v>130909</v>
      </c>
      <c r="F26" s="71" t="n">
        <v>1810</v>
      </c>
      <c r="G26" s="72" t="n">
        <v>26244</v>
      </c>
    </row>
    <row r="27">
      <c r="A27" s="4" t="n">
        <v>1996</v>
      </c>
      <c r="B27" s="71" t="n">
        <v>840286</v>
      </c>
      <c r="C27" s="71">
        <f>D27+E27+B27+G27</f>
        <v/>
      </c>
      <c r="D27" s="71" t="n">
        <v>145918</v>
      </c>
      <c r="E27" s="71" t="n">
        <v>137470</v>
      </c>
      <c r="F27" s="71" t="n">
        <v>2038</v>
      </c>
      <c r="G27" s="72" t="n">
        <v>26863</v>
      </c>
    </row>
    <row r="28">
      <c r="A28" s="4" t="n">
        <v>1997</v>
      </c>
      <c r="B28" s="71" t="n">
        <v>867060</v>
      </c>
      <c r="C28" s="71">
        <f>D28+E28+B28+G28</f>
        <v/>
      </c>
      <c r="D28" s="71" t="n">
        <v>139734</v>
      </c>
      <c r="E28" s="71" t="n">
        <v>130300</v>
      </c>
      <c r="F28" s="71" t="n">
        <v>1697</v>
      </c>
      <c r="G28" s="72" t="n">
        <v>25296</v>
      </c>
    </row>
    <row r="29">
      <c r="A29" s="4" t="n">
        <v>1998</v>
      </c>
      <c r="B29" s="71" t="n">
        <v>858954</v>
      </c>
      <c r="C29" s="71">
        <f>D29+E29+B29+G29</f>
        <v/>
      </c>
      <c r="D29" s="71" t="n">
        <v>131782</v>
      </c>
      <c r="E29" s="71" t="n">
        <v>125036</v>
      </c>
      <c r="F29" s="71" t="n">
        <v>2006</v>
      </c>
      <c r="G29" s="72" t="n">
        <v>25919</v>
      </c>
    </row>
    <row r="30">
      <c r="A30" s="4" t="n">
        <v>1999</v>
      </c>
      <c r="B30" s="71" t="n">
        <v>893112</v>
      </c>
      <c r="C30" s="71">
        <f>D30+E30+B30+G30</f>
        <v/>
      </c>
      <c r="D30" s="71" t="n">
        <v>143170</v>
      </c>
      <c r="E30" s="71" t="n">
        <v>135221</v>
      </c>
      <c r="F30" s="71" t="n">
        <v>2149</v>
      </c>
      <c r="G30" s="72" t="n">
        <v>26388</v>
      </c>
    </row>
    <row r="31">
      <c r="A31" s="4" t="n">
        <v>2000</v>
      </c>
      <c r="B31" s="71" t="n">
        <v>876306</v>
      </c>
      <c r="C31" s="71">
        <f>D31+E31+B31+G31</f>
        <v/>
      </c>
      <c r="D31" s="71" t="n">
        <v>143667</v>
      </c>
      <c r="E31" s="71" t="n">
        <v>136347</v>
      </c>
      <c r="F31" s="71" t="n">
        <v>1848</v>
      </c>
      <c r="G31" s="72" t="n">
        <v>26529</v>
      </c>
    </row>
    <row r="32">
      <c r="A32" s="4" t="n">
        <v>2001</v>
      </c>
      <c r="B32" s="71" t="n">
        <v>784565</v>
      </c>
      <c r="C32" s="71">
        <f>D32+E32+B32+G32</f>
        <v/>
      </c>
      <c r="D32" s="71" t="n">
        <v>140480</v>
      </c>
      <c r="E32" s="71" t="n">
        <v>132440</v>
      </c>
      <c r="F32" s="71" t="n">
        <v>1844</v>
      </c>
      <c r="G32" s="72" t="n">
        <v>25864</v>
      </c>
    </row>
    <row r="33">
      <c r="A33" s="4" t="n">
        <v>2002</v>
      </c>
      <c r="B33" s="71" t="n">
        <v>731320</v>
      </c>
      <c r="C33" s="71">
        <f>D33+E33+B33+G33</f>
        <v/>
      </c>
      <c r="D33" s="71" t="n">
        <v>149146</v>
      </c>
      <c r="E33" s="71" t="n">
        <v>135207</v>
      </c>
      <c r="F33" s="71" t="n">
        <v>2067</v>
      </c>
      <c r="G33" s="72" t="n">
        <v>27024</v>
      </c>
    </row>
    <row r="34">
      <c r="A34" s="4" t="n">
        <v>2003</v>
      </c>
      <c r="B34" s="71" t="n">
        <v>628134</v>
      </c>
      <c r="C34" s="71">
        <f>D34+E34+B34+G34</f>
        <v/>
      </c>
      <c r="D34" s="71" t="n">
        <v>139641</v>
      </c>
      <c r="E34" s="71" t="n">
        <v>130527</v>
      </c>
      <c r="F34" s="71" t="n">
        <v>1794</v>
      </c>
      <c r="G34" s="72" t="n">
        <v>26143</v>
      </c>
    </row>
    <row r="35">
      <c r="A35" s="4" t="n">
        <v>2004</v>
      </c>
      <c r="B35" s="71" t="n">
        <v>555485</v>
      </c>
      <c r="C35" s="71">
        <f>D35+E35+B35+G35</f>
        <v/>
      </c>
      <c r="D35" s="71" t="n">
        <v>133897</v>
      </c>
      <c r="E35" s="71" t="n">
        <v>123284</v>
      </c>
      <c r="F35" s="71" t="n">
        <v>1693</v>
      </c>
      <c r="G35" s="72" t="n">
        <v>25473</v>
      </c>
    </row>
    <row r="36">
      <c r="A36" s="4" t="n">
        <v>2005</v>
      </c>
      <c r="B36" s="71" t="n">
        <v>585342</v>
      </c>
      <c r="C36" s="71">
        <f>D36+E36+B36+G36</f>
        <v/>
      </c>
      <c r="D36" s="71" t="n">
        <v>131531</v>
      </c>
      <c r="E36" s="71" t="n">
        <v>120798</v>
      </c>
      <c r="F36" s="71" t="n">
        <v>2095</v>
      </c>
      <c r="G36" s="72" t="n">
        <v>25841</v>
      </c>
    </row>
    <row r="37">
      <c r="A37" s="4" t="n">
        <v>2006</v>
      </c>
      <c r="B37" s="71" t="n">
        <v>606105</v>
      </c>
      <c r="C37" s="71">
        <f>D37+E37+B37+G37</f>
        <v/>
      </c>
      <c r="D37" s="71" t="n">
        <v>146081</v>
      </c>
      <c r="E37" s="71" t="n">
        <v>133029</v>
      </c>
      <c r="F37" s="71" t="n">
        <v>2146</v>
      </c>
      <c r="G37" s="72" t="n">
        <v>26649</v>
      </c>
    </row>
    <row r="38">
      <c r="A38" s="4" t="n">
        <v>2007</v>
      </c>
      <c r="B38" s="71" t="n">
        <v>561059</v>
      </c>
      <c r="C38" s="71">
        <f>D38+E38+B38+G38</f>
        <v/>
      </c>
      <c r="D38" s="71" t="n">
        <v>144491</v>
      </c>
      <c r="E38" s="71" t="n">
        <v>134265</v>
      </c>
      <c r="F38" s="71" t="n">
        <v>2030</v>
      </c>
      <c r="G38" s="72" t="n">
        <v>26485</v>
      </c>
    </row>
    <row r="39">
      <c r="A39" s="4" t="n">
        <v>2008</v>
      </c>
      <c r="B39" s="71" t="n">
        <v>551415</v>
      </c>
      <c r="C39" s="71">
        <f>D39+E39+B39+G39</f>
        <v/>
      </c>
      <c r="D39" s="71" t="n">
        <v>137764</v>
      </c>
      <c r="E39" s="71" t="n">
        <v>130970</v>
      </c>
      <c r="F39" s="71" t="n">
        <v>1993</v>
      </c>
      <c r="G39" s="72" t="n">
        <v>25587</v>
      </c>
    </row>
    <row r="40">
      <c r="A40" s="4" t="n">
        <v>2009</v>
      </c>
      <c r="B40" s="71" t="n">
        <v>537340</v>
      </c>
      <c r="C40" s="71">
        <f>D40+E40+B40+G40</f>
        <v/>
      </c>
      <c r="D40" s="71" t="n">
        <v>142986</v>
      </c>
      <c r="E40" s="71" t="n">
        <v>133379</v>
      </c>
      <c r="F40" s="71" t="n">
        <v>2170</v>
      </c>
      <c r="G40" s="72" t="n">
        <v>26792</v>
      </c>
    </row>
    <row r="41">
      <c r="A41" s="4" t="n">
        <v>2010</v>
      </c>
      <c r="B41" s="71" t="n">
        <v>466564</v>
      </c>
      <c r="C41" s="71">
        <f>D41+E41+B41+G41</f>
        <v/>
      </c>
      <c r="D41" s="71" t="n">
        <v>129170</v>
      </c>
      <c r="E41" s="71" t="n">
        <v>130619</v>
      </c>
      <c r="F41" s="71" t="n">
        <v>2107</v>
      </c>
      <c r="G41" s="72" t="n">
        <v>25383</v>
      </c>
    </row>
    <row r="42">
      <c r="A42" s="4" t="n">
        <v>2011</v>
      </c>
      <c r="B42" s="71" t="n">
        <v>558625</v>
      </c>
      <c r="C42" s="71">
        <f>D42+E42+B42+G42</f>
        <v/>
      </c>
      <c r="D42" s="71" t="n">
        <v>140676</v>
      </c>
      <c r="E42" s="71" t="n">
        <v>131788</v>
      </c>
      <c r="F42" s="71" t="n">
        <v>2174</v>
      </c>
      <c r="G42" s="72" t="n">
        <v>26050</v>
      </c>
    </row>
    <row r="43">
      <c r="A43" s="4" t="n">
        <v>2012</v>
      </c>
      <c r="B43" s="71" t="n">
        <v>567635</v>
      </c>
      <c r="C43" s="71">
        <f>D43+E43+B43+G43</f>
        <v/>
      </c>
      <c r="D43" s="71" t="n">
        <v>137070</v>
      </c>
      <c r="E43" s="71" t="n">
        <v>134373</v>
      </c>
      <c r="F43" s="71" t="n">
        <v>2165</v>
      </c>
      <c r="G43" s="72" t="n">
        <v>26009</v>
      </c>
    </row>
    <row r="44">
      <c r="A44" s="4" t="n">
        <v>2013</v>
      </c>
      <c r="B44" s="71" t="n">
        <v>542431</v>
      </c>
      <c r="C44" s="71">
        <f>D44+E44+B44+G44</f>
        <v/>
      </c>
      <c r="D44" s="71" t="n">
        <v>142176</v>
      </c>
      <c r="E44" s="71" t="n">
        <v>132663</v>
      </c>
      <c r="F44" s="71" t="n">
        <v>1910</v>
      </c>
      <c r="G44" s="72" t="n">
        <v>25652</v>
      </c>
    </row>
    <row r="45">
      <c r="A45" s="4" t="n">
        <v>2014</v>
      </c>
      <c r="B45" s="71" t="n">
        <v>503086</v>
      </c>
      <c r="C45" s="71">
        <f>D45+E45+B45+G45</f>
        <v/>
      </c>
      <c r="D45" s="71" t="n">
        <v>142581</v>
      </c>
      <c r="E45" s="71" t="n">
        <v>129887</v>
      </c>
      <c r="F45" s="71" t="n">
        <v>2090</v>
      </c>
      <c r="G45" s="72" t="n">
        <v>26274</v>
      </c>
    </row>
    <row r="46">
      <c r="A46" s="4" t="n">
        <v>2015</v>
      </c>
      <c r="B46" s="71" t="n">
        <v>483534</v>
      </c>
      <c r="C46" s="71">
        <f>D46+E46+B46+G46</f>
        <v/>
      </c>
      <c r="D46" s="71" t="n">
        <v>138893</v>
      </c>
      <c r="E46" s="71" t="n">
        <v>133868</v>
      </c>
      <c r="F46" s="71" t="n">
        <v>1893</v>
      </c>
      <c r="G46" s="72" t="n">
        <v>26240</v>
      </c>
    </row>
    <row r="47">
      <c r="A47" s="4" t="n">
        <v>2016</v>
      </c>
      <c r="B47" s="71" t="n">
        <v>465653</v>
      </c>
      <c r="C47" s="71">
        <f>D47+E47+B47+G47</f>
        <v/>
      </c>
      <c r="D47" s="71" t="n">
        <v>144242</v>
      </c>
      <c r="E47" s="71" t="n">
        <v>131537</v>
      </c>
      <c r="F47" s="71" t="n">
        <v>2075</v>
      </c>
      <c r="G47" s="72" t="n">
        <v>26059</v>
      </c>
    </row>
    <row r="48">
      <c r="A48" s="4" t="n">
        <v>2017</v>
      </c>
      <c r="B48" s="71" t="n">
        <v>492659</v>
      </c>
      <c r="C48" s="71">
        <f>D48+E48+B48+G48</f>
        <v/>
      </c>
      <c r="D48" s="71" t="n">
        <v>148688</v>
      </c>
      <c r="E48" s="71" t="n">
        <v>133567</v>
      </c>
      <c r="F48" s="71" t="n">
        <v>2095</v>
      </c>
      <c r="G48" s="72" t="n">
        <v>26142</v>
      </c>
    </row>
    <row r="49">
      <c r="A49" s="4" t="n">
        <v>2018</v>
      </c>
      <c r="B49" s="71" t="n">
        <v>483820</v>
      </c>
      <c r="C49" s="71">
        <f>D49+E49+B49+G49</f>
        <v/>
      </c>
      <c r="D49" s="71" t="n">
        <v>148814</v>
      </c>
      <c r="E49" s="71" t="n">
        <v>134919</v>
      </c>
      <c r="F49" s="71" t="n">
        <v>1839</v>
      </c>
      <c r="G49" s="72" t="n">
        <v>25905</v>
      </c>
    </row>
    <row r="50">
      <c r="A50" s="4" t="n">
        <v>2019</v>
      </c>
      <c r="B50" s="71" t="n">
        <v>466365</v>
      </c>
      <c r="C50" s="71">
        <f>D50+E50+B50+G50</f>
        <v/>
      </c>
      <c r="D50" s="71" t="n">
        <v>135710</v>
      </c>
      <c r="E50" s="71" t="n">
        <v>126091</v>
      </c>
      <c r="F50" s="71" t="n">
        <v>2162</v>
      </c>
      <c r="G50" s="72" t="n">
        <v>25722</v>
      </c>
    </row>
    <row r="51">
      <c r="A51" s="4" t="n">
        <v>2020</v>
      </c>
      <c r="B51" s="71" t="n">
        <v>515050</v>
      </c>
      <c r="C51" s="71">
        <f>D51+E51+B51+G51</f>
        <v/>
      </c>
      <c r="D51" s="71" t="n">
        <v>148108</v>
      </c>
      <c r="E51" s="71" t="n">
        <v>133331</v>
      </c>
      <c r="F51" s="71" t="n">
        <v>2021</v>
      </c>
      <c r="G51" s="72" t="n">
        <v>25729</v>
      </c>
    </row>
    <row r="52">
      <c r="A52" s="4" t="n">
        <v>2021</v>
      </c>
      <c r="B52" s="71" t="n">
        <v>472843</v>
      </c>
      <c r="C52" s="71">
        <f>D52+E52+B52+G52</f>
        <v/>
      </c>
      <c r="D52" s="71" t="n">
        <v>151132</v>
      </c>
      <c r="E52" s="71" t="n">
        <v>134672</v>
      </c>
      <c r="F52" s="71" t="n">
        <v>2036</v>
      </c>
      <c r="G52" s="72" t="n">
        <v>26009</v>
      </c>
    </row>
    <row r="53">
      <c r="A53" s="4" t="n">
        <v>2022</v>
      </c>
      <c r="B53" s="71" t="n">
        <v>427229</v>
      </c>
      <c r="C53" s="71">
        <f>D53+E53+B53+G53</f>
        <v/>
      </c>
      <c r="D53" s="71" t="n">
        <v>148810</v>
      </c>
      <c r="E53" s="71" t="n">
        <v>131688</v>
      </c>
      <c r="F53" s="71" t="n">
        <v>2142</v>
      </c>
      <c r="G53" s="72" t="n">
        <v>26472</v>
      </c>
    </row>
    <row r="54">
      <c r="A54" s="4" t="n">
        <v>2023</v>
      </c>
      <c r="B54" s="71" t="n">
        <v>427826</v>
      </c>
      <c r="C54" s="71">
        <f>D54+E54+B54+G54</f>
        <v/>
      </c>
      <c r="D54" s="71" t="n">
        <v>142206</v>
      </c>
      <c r="E54" s="71" t="n">
        <v>132228</v>
      </c>
      <c r="F54" s="71" t="n">
        <v>2051</v>
      </c>
      <c r="G54" s="72" t="n">
        <v>25918</v>
      </c>
    </row>
    <row r="55">
      <c r="A55" s="22" t="n">
        <v>2024</v>
      </c>
      <c r="B55" s="73" t="n">
        <v>465976</v>
      </c>
      <c r="C55" s="73">
        <f>D55+E55+B55+G55</f>
        <v/>
      </c>
      <c r="D55" s="73" t="n">
        <v>148342</v>
      </c>
      <c r="E55" s="73" t="n">
        <v>133944</v>
      </c>
      <c r="F55" s="73" t="n">
        <v>2066</v>
      </c>
      <c r="G55" s="74" t="n">
        <v>26269</v>
      </c>
    </row>
    <row r="56">
      <c r="A56" s="31" t="inlineStr">
        <is>
          <t>Avg</t>
        </is>
      </c>
      <c r="B56" s="75">
        <f>AVERAGE(B2:B55)</f>
        <v/>
      </c>
      <c r="C56" s="75">
        <f>AVERAGE(C2:C55)</f>
        <v/>
      </c>
      <c r="D56" s="75">
        <f>AVERAGE(D2:D55)</f>
        <v/>
      </c>
      <c r="E56" s="75">
        <f>AVERAGE(E2:E55)</f>
        <v/>
      </c>
      <c r="F56" s="75">
        <f>AVERAGE(F2:F55)</f>
        <v/>
      </c>
      <c r="G56" s="76">
        <f>AVERAGE(G2:G55)</f>
        <v/>
      </c>
    </row>
    <row r="57">
      <c r="A57" s="47" t="n"/>
      <c r="B57" s="47" t="n"/>
      <c r="C57" s="47" t="n"/>
      <c r="D57" s="47" t="n"/>
      <c r="E57" s="47" t="n"/>
      <c r="F57" s="47" t="n"/>
      <c r="G57" s="4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</cols>
  <sheetData>
    <row r="1" ht="25" customHeight="1">
      <c r="A1" s="1" t="inlineStr">
        <is>
          <t>Year</t>
        </is>
      </c>
      <c r="B1" s="2" t="inlineStr">
        <is>
          <t>Havasu</t>
        </is>
      </c>
      <c r="C1" s="2" t="inlineStr">
        <is>
          <t>Mead</t>
        </is>
      </c>
      <c r="D1" s="2" t="inlineStr">
        <is>
          <t>Powell</t>
        </is>
      </c>
      <c r="E1" s="2" t="inlineStr">
        <is>
          <t>Flaming Gorge</t>
        </is>
      </c>
      <c r="F1" s="2" t="inlineStr">
        <is>
          <t>Blue Mesa</t>
        </is>
      </c>
      <c r="G1" s="2" t="inlineStr">
        <is>
          <t>Mead Evaporation</t>
        </is>
      </c>
      <c r="H1" s="2" t="inlineStr">
        <is>
          <t>Powell Evaporation</t>
        </is>
      </c>
      <c r="I1" s="2" t="inlineStr">
        <is>
          <t>Mead Elevation</t>
        </is>
      </c>
      <c r="J1" s="3" t="inlineStr">
        <is>
          <t>Powell Elevation</t>
        </is>
      </c>
    </row>
    <row r="2">
      <c r="A2" s="48" t="n">
        <v>1964</v>
      </c>
      <c r="B2" s="77" t="n">
        <v>0.0004456499882508069</v>
      </c>
      <c r="C2" s="77" t="n">
        <v>11.13599967956543</v>
      </c>
      <c r="D2" s="77" t="n">
        <v>4.109600067138672</v>
      </c>
      <c r="E2" s="77" t="n">
        <v>1.097900032997131</v>
      </c>
      <c r="F2" s="77" t="inlineStr"/>
      <c r="G2" s="78" t="inlineStr"/>
      <c r="H2" s="78" t="n">
        <v>0.1100043281912804</v>
      </c>
      <c r="I2" s="79" t="n">
        <v>1088.140014648438</v>
      </c>
      <c r="J2" s="79" t="inlineStr"/>
    </row>
    <row r="3">
      <c r="A3" s="48" t="n">
        <v>1965</v>
      </c>
      <c r="B3" s="77" t="n">
        <v>0.0004465999954845756</v>
      </c>
      <c r="C3" s="77" t="n">
        <v>15.23299980163574</v>
      </c>
      <c r="D3" s="77" t="n">
        <v>6.551400184631348</v>
      </c>
      <c r="E3" s="77" t="n">
        <v>2.395299911499023</v>
      </c>
      <c r="F3" s="77" t="inlineStr"/>
      <c r="G3" s="78" t="inlineStr"/>
      <c r="H3" s="78" t="n">
        <v>0.1818643808364868</v>
      </c>
      <c r="I3" s="79" t="n">
        <v>1129.739990234375</v>
      </c>
      <c r="J3" s="79" t="n">
        <v>3534.6298828125</v>
      </c>
    </row>
    <row r="4">
      <c r="A4" s="48" t="n">
        <v>1966</v>
      </c>
      <c r="B4" s="77" t="n">
        <v>0.0004456499882508069</v>
      </c>
      <c r="C4" s="77" t="n">
        <v>15.48099994659424</v>
      </c>
      <c r="D4" s="77" t="n">
        <v>5.725900173187256</v>
      </c>
      <c r="E4" s="77" t="n">
        <v>2.243299961090088</v>
      </c>
      <c r="F4" s="77" t="inlineStr"/>
      <c r="G4" s="78" t="inlineStr"/>
      <c r="H4" s="78" t="n">
        <v>0.2139052301645279</v>
      </c>
      <c r="I4" s="79" t="n">
        <v>1132.050048828125</v>
      </c>
      <c r="J4" s="79" t="n">
        <v>3521.449951171875</v>
      </c>
    </row>
    <row r="5">
      <c r="A5" s="48" t="n">
        <v>1967</v>
      </c>
      <c r="B5" s="77" t="n">
        <v>0.0004459500196389854</v>
      </c>
      <c r="C5" s="77" t="n">
        <v>14.33800029754639</v>
      </c>
      <c r="D5" s="77" t="n">
        <v>6.068099975585938</v>
      </c>
      <c r="E5" s="77" t="n">
        <v>2.288300037384033</v>
      </c>
      <c r="F5" s="77" t="n">
        <v>0.3216609954833984</v>
      </c>
      <c r="G5" s="78" t="inlineStr"/>
      <c r="H5" s="78" t="n">
        <v>0.192960187792778</v>
      </c>
      <c r="I5" s="79" t="n">
        <v>1129.839965820312</v>
      </c>
      <c r="J5" s="79" t="n">
        <v>3527.06005859375</v>
      </c>
    </row>
    <row r="6">
      <c r="A6" s="48" t="n">
        <v>1968</v>
      </c>
      <c r="B6" s="77" t="n">
        <v>0.0004456000169739127</v>
      </c>
      <c r="C6" s="77" t="n">
        <v>15.35499954223633</v>
      </c>
      <c r="D6" s="77" t="n">
        <v>6.85699987411499</v>
      </c>
      <c r="E6" s="77" t="n">
        <v>1.91509997844696</v>
      </c>
      <c r="F6" s="77" t="n">
        <v>0.5118309855461121</v>
      </c>
      <c r="G6" s="78" t="inlineStr"/>
      <c r="H6" s="78" t="n">
        <v>0.2200408279895782</v>
      </c>
      <c r="I6" s="79" t="n">
        <v>1139.650024414062</v>
      </c>
      <c r="J6" s="79" t="n">
        <v>3539.2900390625</v>
      </c>
    </row>
    <row r="7">
      <c r="A7" s="48" t="n">
        <v>1969</v>
      </c>
      <c r="B7" s="77" t="n">
        <v>0.0004456499882508069</v>
      </c>
      <c r="C7" s="77" t="n">
        <v>16.76000022888184</v>
      </c>
      <c r="D7" s="77" t="n">
        <v>9.291500091552734</v>
      </c>
      <c r="E7" s="77" t="n">
        <v>1.566709995269775</v>
      </c>
      <c r="F7" s="77" t="n">
        <v>0.6523429751396179</v>
      </c>
      <c r="G7" s="78" t="inlineStr"/>
      <c r="H7" s="78" t="n">
        <v>0.287304013967514</v>
      </c>
      <c r="I7" s="79" t="n">
        <v>1152.5</v>
      </c>
      <c r="J7" s="79" t="n">
        <v>3572.110107421875</v>
      </c>
    </row>
    <row r="8">
      <c r="A8" s="48" t="n">
        <v>1970</v>
      </c>
      <c r="B8" s="77" t="n">
        <v>0.0004459999909158796</v>
      </c>
      <c r="C8" s="77" t="n">
        <v>16.81100082397461</v>
      </c>
      <c r="D8" s="77" t="n">
        <v>11.74120044708252</v>
      </c>
      <c r="E8" s="77" t="n">
        <v>1.763450026512146</v>
      </c>
      <c r="F8" s="77" t="n">
        <v>0.6476669907569885</v>
      </c>
      <c r="G8" s="78" t="inlineStr"/>
      <c r="H8" s="78" t="n">
        <v>0.3380661904811859</v>
      </c>
      <c r="I8" s="79" t="n">
        <v>1152.949951171875</v>
      </c>
      <c r="J8" s="79" t="n">
        <v>3599.780029296875</v>
      </c>
    </row>
    <row r="9">
      <c r="A9" s="48" t="n">
        <v>1971</v>
      </c>
      <c r="B9" s="77" t="n">
        <v>0.0004457600007299334</v>
      </c>
      <c r="C9" s="77" t="n">
        <v>17.64500045776367</v>
      </c>
      <c r="D9" s="77" t="n">
        <v>12.69750022888184</v>
      </c>
      <c r="E9" s="77" t="n">
        <v>2.706870079040527</v>
      </c>
      <c r="F9" s="77" t="n">
        <v>0.4310770034790039</v>
      </c>
      <c r="G9" s="78" t="inlineStr"/>
      <c r="H9" s="78" t="n">
        <v>0.3916507363319397</v>
      </c>
      <c r="I9" s="79" t="n">
        <v>1160.130004882812</v>
      </c>
      <c r="J9" s="79" t="n">
        <v>3609.56005859375</v>
      </c>
    </row>
    <row r="10">
      <c r="A10" s="48" t="n">
        <v>1972</v>
      </c>
      <c r="B10" s="77" t="n">
        <v>0.0004457499890122563</v>
      </c>
      <c r="C10" s="77" t="n">
        <v>18.64500045776367</v>
      </c>
      <c r="D10" s="77" t="n">
        <v>12.36229991912842</v>
      </c>
      <c r="E10" s="77" t="n">
        <v>3.089509963989258</v>
      </c>
      <c r="F10" s="77" t="n">
        <v>0.4159609973430634</v>
      </c>
      <c r="G10" s="78" t="inlineStr"/>
      <c r="H10" s="78" t="n">
        <v>0.386411726474762</v>
      </c>
      <c r="I10" s="79" t="n">
        <v>1168.349975585938</v>
      </c>
      <c r="J10" s="79" t="n">
        <v>3606.199951171875</v>
      </c>
    </row>
    <row r="11">
      <c r="A11" s="48" t="n">
        <v>1973</v>
      </c>
      <c r="B11" s="77" t="n">
        <v>0.0004459500196389854</v>
      </c>
      <c r="C11" s="77" t="n">
        <v>19.73699951171875</v>
      </c>
      <c r="D11" s="77" t="n">
        <v>17.08180046081543</v>
      </c>
      <c r="E11" s="77" t="n">
        <v>2.940579891204834</v>
      </c>
      <c r="F11" s="77" t="n">
        <v>0.5986940264701843</v>
      </c>
      <c r="G11" s="78" t="inlineStr"/>
      <c r="H11" s="78" t="n">
        <v>0.4485256671905518</v>
      </c>
      <c r="I11" s="79" t="n">
        <v>1176.920043945312</v>
      </c>
      <c r="J11" s="79" t="n">
        <v>3648.840087890625</v>
      </c>
    </row>
    <row r="12">
      <c r="A12" s="48" t="n">
        <v>1974</v>
      </c>
      <c r="B12" s="77" t="n">
        <v>0.0004453999863471836</v>
      </c>
      <c r="C12" s="77" t="n">
        <v>19.72100067138672</v>
      </c>
      <c r="D12" s="77" t="n">
        <v>17.01070022583008</v>
      </c>
      <c r="E12" s="77" t="n">
        <v>3.264909982681274</v>
      </c>
      <c r="F12" s="77" t="n">
        <v>0.4764310121536255</v>
      </c>
      <c r="G12" s="78" t="inlineStr"/>
      <c r="H12" s="78" t="n">
        <v>0.5234674215316772</v>
      </c>
      <c r="I12" s="79" t="n">
        <v>1176.800048828125</v>
      </c>
      <c r="J12" s="79" t="n">
        <v>3648.27001953125</v>
      </c>
    </row>
    <row r="13">
      <c r="A13" s="48" t="n">
        <v>1975</v>
      </c>
      <c r="B13" s="77" t="n">
        <v>0.0004459999909158796</v>
      </c>
      <c r="C13" s="77" t="n">
        <v>20.09199905395508</v>
      </c>
      <c r="D13" s="77" t="n">
        <v>19.55570030212402</v>
      </c>
      <c r="E13" s="77" t="n">
        <v>3.433520078659058</v>
      </c>
      <c r="F13" s="77" t="n">
        <v>0.5335749983787537</v>
      </c>
      <c r="G13" s="78" t="inlineStr"/>
      <c r="H13" s="78" t="n">
        <v>0.5509838461875916</v>
      </c>
      <c r="I13" s="79" t="n">
        <v>1179.630004882812</v>
      </c>
      <c r="J13" s="79" t="n">
        <v>3667.8798828125</v>
      </c>
    </row>
    <row r="14">
      <c r="A14" s="48" t="n">
        <v>1976</v>
      </c>
      <c r="B14" s="77" t="n">
        <v>0.0004473099834285676</v>
      </c>
      <c r="C14" s="77" t="n">
        <v>21.25799942016602</v>
      </c>
      <c r="D14" s="77" t="n">
        <v>17.89380073547363</v>
      </c>
      <c r="E14" s="77" t="n">
        <v>3.131850004196167</v>
      </c>
      <c r="F14" s="77" t="n">
        <v>0.4782760143280029</v>
      </c>
      <c r="G14" s="78" t="inlineStr"/>
      <c r="H14" s="78" t="n">
        <v>0.557325541973114</v>
      </c>
      <c r="I14" s="79" t="n">
        <v>1187.869995117188</v>
      </c>
      <c r="J14" s="79" t="n">
        <v>3655.31005859375</v>
      </c>
    </row>
    <row r="15">
      <c r="A15" s="48" t="n">
        <v>1977</v>
      </c>
      <c r="B15" s="77" t="n">
        <v>0.0004461700154934078</v>
      </c>
      <c r="C15" s="77" t="n">
        <v>20.25</v>
      </c>
      <c r="D15" s="77" t="n">
        <v>14.86579990386963</v>
      </c>
      <c r="E15" s="77" t="n">
        <v>1.992310047149658</v>
      </c>
      <c r="F15" s="77" t="n">
        <v>0.2353280037641525</v>
      </c>
      <c r="G15" s="78" t="inlineStr"/>
      <c r="H15" s="78" t="n">
        <v>0.48857781291008</v>
      </c>
      <c r="I15" s="79" t="n">
        <v>1180.819946289062</v>
      </c>
      <c r="J15" s="79" t="n">
        <v>3630.050048828125</v>
      </c>
    </row>
    <row r="16">
      <c r="A16" s="48" t="n">
        <v>1978</v>
      </c>
      <c r="B16" s="77" t="n">
        <v>0.0004461099742911756</v>
      </c>
      <c r="C16" s="77" t="n">
        <v>21.95999908447266</v>
      </c>
      <c r="D16" s="77" t="n">
        <v>15.17889976501465</v>
      </c>
      <c r="E16" s="77" t="n">
        <v>2.676009893417358</v>
      </c>
      <c r="F16" s="77" t="n">
        <v>0.5943509936332703</v>
      </c>
      <c r="G16" s="78" t="inlineStr"/>
      <c r="H16" s="78" t="n">
        <v>0.4695392251014709</v>
      </c>
      <c r="I16" s="79" t="n">
        <v>1193.31005859375</v>
      </c>
      <c r="J16" s="79" t="n">
        <v>3632.830078125</v>
      </c>
    </row>
    <row r="17">
      <c r="A17" s="48" t="n">
        <v>1979</v>
      </c>
      <c r="B17" s="77" t="n">
        <v>0.0004462999932002276</v>
      </c>
      <c r="C17" s="77" t="n">
        <v>22.62299919128418</v>
      </c>
      <c r="D17" s="77" t="n">
        <v>20.21759986877441</v>
      </c>
      <c r="E17" s="77" t="n">
        <v>2.399189949035645</v>
      </c>
      <c r="F17" s="77" t="n">
        <v>0.5797880291938782</v>
      </c>
      <c r="G17" s="78" t="inlineStr"/>
      <c r="H17" s="78" t="n">
        <v>0.5727777481079102</v>
      </c>
      <c r="I17" s="79" t="n">
        <v>1197.969970703125</v>
      </c>
      <c r="J17" s="79" t="n">
        <v>3672.679931640625</v>
      </c>
    </row>
    <row r="18">
      <c r="A18" s="48" t="n">
        <v>1980</v>
      </c>
      <c r="B18" s="77" t="n">
        <v>0.0004472600121516734</v>
      </c>
      <c r="C18" s="77" t="n">
        <v>23.33600044250488</v>
      </c>
      <c r="D18" s="77" t="n">
        <v>21.45039939880371</v>
      </c>
      <c r="E18" s="77" t="n">
        <v>3.016119956970215</v>
      </c>
      <c r="F18" s="77" t="n">
        <v>0.5582259893417358</v>
      </c>
      <c r="G18" s="78" t="inlineStr"/>
      <c r="H18" s="78" t="n">
        <v>0.6406543850898743</v>
      </c>
      <c r="I18" s="79" t="n">
        <v>1202.880004882812</v>
      </c>
      <c r="J18" s="79" t="n">
        <v>3681.280029296875</v>
      </c>
    </row>
    <row r="19">
      <c r="A19" s="48" t="n">
        <v>1981</v>
      </c>
      <c r="B19" s="77" t="n">
        <v>0.000445659999968484</v>
      </c>
      <c r="C19" s="77" t="n">
        <v>22.66799926757812</v>
      </c>
      <c r="D19" s="77" t="n">
        <v>19.4955997467041</v>
      </c>
      <c r="E19" s="77" t="n">
        <v>2.78548002243042</v>
      </c>
      <c r="F19" s="77" t="n">
        <v>0.3406420052051544</v>
      </c>
      <c r="G19" s="78" t="inlineStr"/>
      <c r="H19" s="78" t="n">
        <v>0.593180775642395</v>
      </c>
      <c r="I19" s="79" t="n">
        <v>1198.280029296875</v>
      </c>
      <c r="J19" s="79" t="n">
        <v>3667.469970703125</v>
      </c>
    </row>
    <row r="20">
      <c r="A20" s="48" t="n">
        <v>1982</v>
      </c>
      <c r="B20" s="77" t="n">
        <v>0.0004456900060176849</v>
      </c>
      <c r="C20" s="77" t="n">
        <v>24.15099906921387</v>
      </c>
      <c r="D20" s="77" t="n">
        <v>21.96080017089844</v>
      </c>
      <c r="E20" s="77" t="n">
        <v>3.309819936752319</v>
      </c>
      <c r="F20" s="77" t="n">
        <v>0.6074169874191284</v>
      </c>
      <c r="G20" s="78" t="inlineStr"/>
      <c r="H20" s="78" t="n">
        <v>0.6137268543243408</v>
      </c>
      <c r="I20" s="79" t="n">
        <v>1208.369995117188</v>
      </c>
      <c r="J20" s="79" t="n">
        <v>3684.739990234375</v>
      </c>
    </row>
    <row r="21">
      <c r="A21" s="48" t="n">
        <v>1983</v>
      </c>
      <c r="B21" s="77" t="n">
        <v>0.0004451799904927611</v>
      </c>
      <c r="C21" s="77" t="n">
        <v>24.75099945068359</v>
      </c>
      <c r="D21" s="77" t="n">
        <v>22.0349006652832</v>
      </c>
      <c r="E21" s="77" t="n">
        <v>3.454410076141357</v>
      </c>
      <c r="F21" s="77" t="n">
        <v>0.5936139822006226</v>
      </c>
      <c r="G21" s="78" t="inlineStr"/>
      <c r="H21" s="78" t="n">
        <v>0.6759202480316162</v>
      </c>
      <c r="I21" s="79" t="n">
        <v>1212.329956054688</v>
      </c>
      <c r="J21" s="79" t="n">
        <v>3685.239990234375</v>
      </c>
    </row>
    <row r="22">
      <c r="A22" s="48" t="n">
        <v>1984</v>
      </c>
      <c r="B22" s="77" t="n">
        <v>0.0004480499774217606</v>
      </c>
      <c r="C22" s="77" t="n">
        <v>24.08099937438965</v>
      </c>
      <c r="D22" s="77" t="n">
        <v>21.96249961853027</v>
      </c>
      <c r="E22" s="77" t="n">
        <v>3.382299900054932</v>
      </c>
      <c r="F22" s="77" t="n">
        <v>0.6663680076599121</v>
      </c>
      <c r="G22" s="78" t="inlineStr"/>
      <c r="H22" s="78" t="n">
        <v>0.6560078263282776</v>
      </c>
      <c r="I22" s="79" t="n">
        <v>1207.900024414062</v>
      </c>
      <c r="J22" s="79" t="n">
        <v>3684.760009765625</v>
      </c>
    </row>
    <row r="23">
      <c r="A23" s="48" t="n">
        <v>1985</v>
      </c>
      <c r="B23" s="77" t="n">
        <v>0.000448309991043061</v>
      </c>
      <c r="C23" s="77" t="n">
        <v>23.72100067138672</v>
      </c>
      <c r="D23" s="77" t="n">
        <v>22.32670021057129</v>
      </c>
      <c r="E23" s="77" t="n">
        <v>3.119029998779297</v>
      </c>
      <c r="F23" s="77" t="n">
        <v>0.5676509737968445</v>
      </c>
      <c r="G23" s="78" t="n">
        <v>0.9051</v>
      </c>
      <c r="H23" s="78" t="n">
        <v>0.6472430825233459</v>
      </c>
      <c r="I23" s="79" t="n">
        <v>1205.489990234375</v>
      </c>
      <c r="J23" s="79" t="n">
        <v>3687.18994140625</v>
      </c>
    </row>
    <row r="24">
      <c r="A24" s="48" t="n">
        <v>1986</v>
      </c>
      <c r="B24" s="77" t="n">
        <v>0.0004486799880396575</v>
      </c>
      <c r="C24" s="77" t="n">
        <v>24.45599937438965</v>
      </c>
      <c r="D24" s="77" t="n">
        <v>21.9015007019043</v>
      </c>
      <c r="E24" s="77" t="n">
        <v>3.259609937667847</v>
      </c>
      <c r="F24" s="77" t="n">
        <v>0.5768409967422485</v>
      </c>
      <c r="G24" s="78" t="n">
        <v>0.8839</v>
      </c>
      <c r="H24" s="78" t="n">
        <v>0.6492236256599426</v>
      </c>
      <c r="I24" s="79" t="n">
        <v>1210.390014648438</v>
      </c>
      <c r="J24" s="79" t="n">
        <v>3684.360107421875</v>
      </c>
    </row>
    <row r="25">
      <c r="A25" s="48" t="n">
        <v>1987</v>
      </c>
      <c r="B25" s="77" t="n">
        <v>0.0004473199951462448</v>
      </c>
      <c r="C25" s="77" t="n">
        <v>24.55299949645996</v>
      </c>
      <c r="D25" s="77" t="n">
        <v>22.04109954833984</v>
      </c>
      <c r="E25" s="77" t="n">
        <v>3.219340085983276</v>
      </c>
      <c r="F25" s="77" t="n">
        <v>0.5475119948387146</v>
      </c>
      <c r="G25" s="78" t="n">
        <v>0.8541</v>
      </c>
      <c r="H25" s="78" t="n">
        <v>0.6482013463973999</v>
      </c>
      <c r="I25" s="79" t="n">
        <v>1211.030029296875</v>
      </c>
      <c r="J25" s="79" t="n">
        <v>3685.300048828125</v>
      </c>
    </row>
    <row r="26">
      <c r="A26" s="48" t="n">
        <v>1988</v>
      </c>
      <c r="B26" s="77" t="n">
        <v>0.0004465600068215281</v>
      </c>
      <c r="C26" s="77" t="n">
        <v>22.8799991607666</v>
      </c>
      <c r="D26" s="77" t="n">
        <v>21.22310066223145</v>
      </c>
      <c r="E26" s="77" t="n">
        <v>2.960920095443726</v>
      </c>
      <c r="F26" s="77" t="n">
        <v>0.4588490128517151</v>
      </c>
      <c r="G26" s="78" t="n">
        <v>0.8653999999999999</v>
      </c>
      <c r="H26" s="78" t="n">
        <v>0.6350654363632202</v>
      </c>
      <c r="I26" s="79" t="n">
        <v>1199.75</v>
      </c>
      <c r="J26" s="79" t="n">
        <v>3679.760009765625</v>
      </c>
    </row>
    <row r="27">
      <c r="A27" s="48" t="n">
        <v>1989</v>
      </c>
      <c r="B27" s="77" t="n">
        <v>0.0004461199860088527</v>
      </c>
      <c r="C27" s="77" t="n">
        <v>21.4689998626709</v>
      </c>
      <c r="D27" s="77" t="n">
        <v>18.29179954528809</v>
      </c>
      <c r="E27" s="77" t="n">
        <v>2.945849895477295</v>
      </c>
      <c r="F27" s="77" t="n">
        <v>0.5636569857597351</v>
      </c>
      <c r="G27" s="78" t="n">
        <v>0.8477</v>
      </c>
      <c r="H27" s="78" t="n">
        <v>0.5762922167778015</v>
      </c>
      <c r="I27" s="79" t="n">
        <v>1189.800048828125</v>
      </c>
      <c r="J27" s="79" t="n">
        <v>3658.4599609375</v>
      </c>
    </row>
    <row r="28">
      <c r="A28" s="48" t="n">
        <v>1990</v>
      </c>
      <c r="B28" s="77" t="n">
        <v>0.0004458200128283352</v>
      </c>
      <c r="C28" s="77" t="n">
        <v>19.86400032043457</v>
      </c>
      <c r="D28" s="77" t="n">
        <v>15.24619960784912</v>
      </c>
      <c r="E28" s="77" t="n">
        <v>3.051929950714111</v>
      </c>
      <c r="F28" s="77" t="n">
        <v>0.647271990776062</v>
      </c>
      <c r="G28" s="78" t="n">
        <v>0.7759</v>
      </c>
      <c r="H28" s="78" t="n">
        <v>0.4853485524654388</v>
      </c>
      <c r="I28" s="79" t="n">
        <v>1177.890014648438</v>
      </c>
      <c r="J28" s="79" t="n">
        <v>3633.47998046875</v>
      </c>
    </row>
    <row r="29">
      <c r="A29" s="48" t="n">
        <v>1991</v>
      </c>
      <c r="B29" s="77" t="n">
        <v>0.0004463900113478303</v>
      </c>
      <c r="C29" s="77" t="n">
        <v>19.28800010681152</v>
      </c>
      <c r="D29" s="77" t="n">
        <v>14.25150012969971</v>
      </c>
      <c r="E29" s="77" t="n">
        <v>3.330899953842163</v>
      </c>
      <c r="F29" s="77" t="n">
        <v>0.5713499784469604</v>
      </c>
      <c r="G29" s="78" t="n">
        <v>0.7407</v>
      </c>
      <c r="H29" s="78" t="n">
        <v>0.4432906806468964</v>
      </c>
      <c r="I29" s="79" t="n">
        <v>1173.43994140625</v>
      </c>
      <c r="J29" s="79" t="n">
        <v>3624.550048828125</v>
      </c>
    </row>
    <row r="30">
      <c r="A30" s="48" t="n">
        <v>1992</v>
      </c>
      <c r="B30" s="77" t="n">
        <v>0.0004464200173970312</v>
      </c>
      <c r="C30" s="77" t="n">
        <v>19.72900009155273</v>
      </c>
      <c r="D30" s="77" t="n">
        <v>13.33440017700195</v>
      </c>
      <c r="E30" s="77" t="n">
        <v>3.016839981079102</v>
      </c>
      <c r="F30" s="77" t="n">
        <v>0.581188976764679</v>
      </c>
      <c r="G30" s="78" t="n">
        <v>0.6948</v>
      </c>
      <c r="H30" s="78" t="n">
        <v>0.426063597202301</v>
      </c>
      <c r="I30" s="79" t="n">
        <v>1176.859985351562</v>
      </c>
      <c r="J30" s="79" t="n">
        <v>3615.909912109375</v>
      </c>
    </row>
    <row r="31">
      <c r="A31" s="48" t="n">
        <v>1993</v>
      </c>
      <c r="B31" s="77" t="n">
        <v>0.0004464300000108778</v>
      </c>
      <c r="C31" s="77" t="n">
        <v>21.32399940490723</v>
      </c>
      <c r="D31" s="77" t="n">
        <v>18.40239906311035</v>
      </c>
      <c r="E31" s="77" t="n">
        <v>3.320159912109375</v>
      </c>
      <c r="F31" s="77" t="n">
        <v>0.5951060056686401</v>
      </c>
      <c r="G31" s="78" t="n">
        <v>0.7834</v>
      </c>
      <c r="H31" s="78" t="n">
        <v>0.5164245963096619</v>
      </c>
      <c r="I31" s="79" t="n">
        <v>1188.75</v>
      </c>
      <c r="J31" s="79" t="n">
        <v>3659.31005859375</v>
      </c>
    </row>
    <row r="32">
      <c r="A32" s="48" t="n">
        <v>1994</v>
      </c>
      <c r="B32" s="77" t="n">
        <v>0.0004479100171010941</v>
      </c>
      <c r="C32" s="77" t="n">
        <v>19.68460083007812</v>
      </c>
      <c r="D32" s="77" t="n">
        <v>17.22069931030273</v>
      </c>
      <c r="E32" s="77" t="n">
        <v>2.838000059127808</v>
      </c>
      <c r="F32" s="77" t="n">
        <v>0.5795570015907288</v>
      </c>
      <c r="G32" s="78" t="n">
        <v>0.7899</v>
      </c>
      <c r="H32" s="78" t="n">
        <v>0.5274332165718079</v>
      </c>
      <c r="I32" s="79" t="n">
        <v>1176.52001953125</v>
      </c>
      <c r="J32" s="79" t="n">
        <v>3650.0400390625</v>
      </c>
    </row>
    <row r="33">
      <c r="A33" s="48" t="n">
        <v>1995</v>
      </c>
      <c r="B33" s="77" t="n">
        <v>0.0004466199898160994</v>
      </c>
      <c r="C33" s="77" t="n">
        <v>21.62490081787109</v>
      </c>
      <c r="D33" s="77" t="n">
        <v>21.39240074157715</v>
      </c>
      <c r="E33" s="77" t="n">
        <v>3.285789966583252</v>
      </c>
      <c r="F33" s="77" t="n">
        <v>0.5864109992980957</v>
      </c>
      <c r="G33" s="78" t="n">
        <v>0.7834</v>
      </c>
      <c r="H33" s="78" t="n">
        <v>0.5969233512878418</v>
      </c>
      <c r="I33" s="79" t="n">
        <v>1190.920043945312</v>
      </c>
      <c r="J33" s="79" t="n">
        <v>3680.919921875</v>
      </c>
    </row>
    <row r="34">
      <c r="A34" s="48" t="n">
        <v>1996</v>
      </c>
      <c r="B34" s="77" t="n">
        <v>0.0004466800019145012</v>
      </c>
      <c r="C34" s="77" t="n">
        <v>22.11160087585449</v>
      </c>
      <c r="D34" s="77" t="n">
        <v>20.49790000915527</v>
      </c>
      <c r="E34" s="77" t="n">
        <v>3.248290061950684</v>
      </c>
      <c r="F34" s="77" t="n">
        <v>0.6017220020294189</v>
      </c>
      <c r="G34" s="78" t="n">
        <v>0.8403</v>
      </c>
      <c r="H34" s="78" t="n">
        <v>0.6112616658210754</v>
      </c>
      <c r="I34" s="79" t="n">
        <v>1194.380004882812</v>
      </c>
      <c r="J34" s="79" t="n">
        <v>3674.7099609375</v>
      </c>
    </row>
    <row r="35">
      <c r="A35" s="48" t="n">
        <v>1997</v>
      </c>
      <c r="B35" s="77" t="n">
        <v>0.0004489400016609579</v>
      </c>
      <c r="C35" s="77" t="n">
        <v>25.10460090637207</v>
      </c>
      <c r="D35" s="77" t="n">
        <v>21.59510040283203</v>
      </c>
      <c r="E35" s="77" t="n">
        <v>3.323230028152466</v>
      </c>
      <c r="F35" s="77" t="n">
        <v>0.5783920288085938</v>
      </c>
      <c r="G35" s="78" t="n">
        <v>0.8671</v>
      </c>
      <c r="H35" s="78" t="n">
        <v>0.6274906992912292</v>
      </c>
      <c r="I35" s="79" t="n">
        <v>1214.640014648438</v>
      </c>
      <c r="J35" s="79" t="n">
        <v>3682.300048828125</v>
      </c>
    </row>
    <row r="36">
      <c r="A36" s="48" t="n">
        <v>1998</v>
      </c>
      <c r="B36" s="77" t="n">
        <v>0.0004493949818424881</v>
      </c>
      <c r="C36" s="77" t="n">
        <v>24.78109931945801</v>
      </c>
      <c r="D36" s="77" t="n">
        <v>21.65410041809082</v>
      </c>
      <c r="E36" s="77" t="n">
        <v>3.399840116500854</v>
      </c>
      <c r="F36" s="77" t="n">
        <v>0.5779269933700562</v>
      </c>
      <c r="G36" s="78" t="n">
        <v>0.859</v>
      </c>
      <c r="H36" s="78" t="n">
        <v>0.6392131447792053</v>
      </c>
      <c r="I36" s="79" t="n">
        <v>1212.530029296875</v>
      </c>
      <c r="J36" s="79" t="n">
        <v>3682.699951171875</v>
      </c>
    </row>
    <row r="37">
      <c r="A37" s="48" t="n">
        <v>1999</v>
      </c>
      <c r="B37" s="77" t="n">
        <v>0.0004461990029085428</v>
      </c>
      <c r="C37" s="77" t="n">
        <v>24.99679946899414</v>
      </c>
      <c r="D37" s="77" t="n">
        <v>21.44359970092773</v>
      </c>
      <c r="E37" s="77" t="n">
        <v>3.269089937210083</v>
      </c>
      <c r="F37" s="77" t="n">
        <v>0.5891469717025757</v>
      </c>
      <c r="G37" s="78" t="n">
        <v>0.8931</v>
      </c>
      <c r="H37" s="78" t="n">
        <v>0.6393141746520996</v>
      </c>
      <c r="I37" s="79" t="n">
        <v>1213.93994140625</v>
      </c>
      <c r="J37" s="79" t="n">
        <v>3681.27001953125</v>
      </c>
    </row>
    <row r="38">
      <c r="A38" s="48" t="n">
        <v>2000</v>
      </c>
      <c r="B38" s="77" t="n">
        <v>0.0004462579963728786</v>
      </c>
      <c r="C38" s="77" t="n">
        <v>22.35820007324219</v>
      </c>
      <c r="D38" s="77" t="n">
        <v>19.82320022583008</v>
      </c>
      <c r="E38" s="77" t="n">
        <v>2.991270065307617</v>
      </c>
      <c r="F38" s="77" t="n">
        <v>0.5046110153198242</v>
      </c>
      <c r="G38" s="78" t="n">
        <v>0.8763</v>
      </c>
      <c r="H38" s="78" t="n">
        <v>0.6044212579727173</v>
      </c>
      <c r="I38" s="79" t="n">
        <v>1196.119995117188</v>
      </c>
      <c r="J38" s="79" t="n">
        <v>3669.889892578125</v>
      </c>
    </row>
    <row r="39">
      <c r="A39" s="48" t="n">
        <v>2001</v>
      </c>
      <c r="B39" s="77" t="n">
        <v>0.0004465020028874278</v>
      </c>
      <c r="C39" s="77" t="n">
        <v>19.79549980163574</v>
      </c>
      <c r="D39" s="77" t="n">
        <v>17.99600028991699</v>
      </c>
      <c r="E39" s="77" t="n">
        <v>2.876389980316162</v>
      </c>
      <c r="F39" s="77" t="n">
        <v>0.544264018535614</v>
      </c>
      <c r="G39" s="78" t="n">
        <v>0.842089</v>
      </c>
      <c r="H39" s="78" t="n">
        <v>0.557401180267334</v>
      </c>
      <c r="I39" s="79" t="n">
        <v>1177.369995117188</v>
      </c>
      <c r="J39" s="79" t="n">
        <v>3656.169921875</v>
      </c>
    </row>
    <row r="40">
      <c r="A40" s="48" t="n">
        <v>2002</v>
      </c>
      <c r="B40" s="77" t="n">
        <v>0.000446215010015294</v>
      </c>
      <c r="C40" s="77" t="n">
        <v>16.71769905090332</v>
      </c>
      <c r="D40" s="77" t="n">
        <v>13.77379989624023</v>
      </c>
      <c r="E40" s="77" t="n">
        <v>2.6318199634552</v>
      </c>
      <c r="F40" s="77" t="n">
        <v>0.2831909954547882</v>
      </c>
      <c r="G40" s="78" t="n">
        <v>0.744923</v>
      </c>
      <c r="H40" s="78" t="n">
        <v>0.4553134739398956</v>
      </c>
      <c r="I40" s="79" t="n">
        <v>1152.130004882812</v>
      </c>
      <c r="J40" s="79" t="n">
        <v>3620.10009765625</v>
      </c>
    </row>
    <row r="41">
      <c r="A41" s="48" t="n">
        <v>2003</v>
      </c>
      <c r="B41" s="77" t="n">
        <v>0.0004445200029294938</v>
      </c>
      <c r="C41" s="77" t="n">
        <v>15.29959964752197</v>
      </c>
      <c r="D41" s="77" t="n">
        <v>11.48680019378662</v>
      </c>
      <c r="E41" s="77" t="n">
        <v>2.606060028076172</v>
      </c>
      <c r="F41" s="77" t="n">
        <v>0.3765639960765839</v>
      </c>
      <c r="G41" s="78" t="n">
        <v>0.67824</v>
      </c>
      <c r="H41" s="78" t="n">
        <v>0.3766491711139679</v>
      </c>
      <c r="I41" s="79" t="n">
        <v>1139.119995117188</v>
      </c>
      <c r="J41" s="79" t="n">
        <v>3597.219970703125</v>
      </c>
    </row>
    <row r="42">
      <c r="A42" s="48" t="n">
        <v>2004</v>
      </c>
      <c r="B42" s="77" t="n">
        <v>0.000446959980763495</v>
      </c>
      <c r="C42" s="77" t="n">
        <v>14.35499954223633</v>
      </c>
      <c r="D42" s="77" t="n">
        <v>8.663619995117188</v>
      </c>
      <c r="E42" s="77" t="n">
        <v>2.742640018463135</v>
      </c>
      <c r="F42" s="77" t="n">
        <v>0.4920980036258698</v>
      </c>
      <c r="G42" s="78" t="n">
        <v>0.635472</v>
      </c>
      <c r="H42" s="78" t="n">
        <v>0.3056894242763519</v>
      </c>
      <c r="I42" s="79" t="n">
        <v>1130.010009765625</v>
      </c>
      <c r="J42" s="79" t="n">
        <v>3564.419921875</v>
      </c>
    </row>
    <row r="43">
      <c r="A43" s="48" t="n">
        <v>2005</v>
      </c>
      <c r="B43" s="77" t="n">
        <v>0.0004479700000956655</v>
      </c>
      <c r="C43" s="77" t="n">
        <v>15.13109970092773</v>
      </c>
      <c r="D43" s="77" t="n">
        <v>11.5762996673584</v>
      </c>
      <c r="E43" s="77" t="n">
        <v>3.081540107727051</v>
      </c>
      <c r="F43" s="77" t="n">
        <v>0.5812690258026123</v>
      </c>
      <c r="G43" s="78" t="n">
        <v>0.66162</v>
      </c>
      <c r="H43" s="78" t="n">
        <v>0.3424948751926422</v>
      </c>
      <c r="I43" s="79" t="n">
        <v>1137.52001953125</v>
      </c>
      <c r="J43" s="79" t="n">
        <v>3598.169921875</v>
      </c>
    </row>
    <row r="44">
      <c r="A44" s="48" t="n">
        <v>2006</v>
      </c>
      <c r="B44" s="77" t="n">
        <v>0.0004482300137169659</v>
      </c>
      <c r="C44" s="77" t="n">
        <v>14.16409969329834</v>
      </c>
      <c r="D44" s="77" t="n">
        <v>12.07649993896484</v>
      </c>
      <c r="E44" s="77" t="n">
        <v>3.123059988021851</v>
      </c>
      <c r="F44" s="77" t="n">
        <v>0.587427020072937</v>
      </c>
      <c r="G44" s="78" t="n">
        <v>0.635222</v>
      </c>
      <c r="H44" s="78" t="n">
        <v>0.3657447397708893</v>
      </c>
      <c r="I44" s="79" t="n">
        <v>1128.119995117188</v>
      </c>
      <c r="J44" s="79" t="n">
        <v>3603.389892578125</v>
      </c>
    </row>
    <row r="45">
      <c r="A45" s="48" t="n">
        <v>2007</v>
      </c>
      <c r="B45" s="77" t="n">
        <v>0.0004467699909582734</v>
      </c>
      <c r="C45" s="77" t="n">
        <v>12.85980033874512</v>
      </c>
      <c r="D45" s="77" t="n">
        <v>11.24580001831055</v>
      </c>
      <c r="E45" s="77" t="n">
        <v>3.029340028762817</v>
      </c>
      <c r="F45" s="77" t="n">
        <v>0.5805670022964478</v>
      </c>
      <c r="G45" s="78" t="n">
        <v>0.598044</v>
      </c>
      <c r="H45" s="78" t="n">
        <v>0.3669516444206238</v>
      </c>
      <c r="I45" s="79" t="n">
        <v>1114.81005859375</v>
      </c>
      <c r="J45" s="79" t="n">
        <v>3594.639892578125</v>
      </c>
    </row>
    <row r="46">
      <c r="A46" s="48" t="n">
        <v>2008</v>
      </c>
      <c r="B46" s="77" t="n">
        <v>0.0004468100087251514</v>
      </c>
      <c r="C46" s="77" t="n">
        <v>12.49619960784912</v>
      </c>
      <c r="D46" s="77" t="n">
        <v>13.54090023040771</v>
      </c>
      <c r="E46" s="77" t="n">
        <v>2.979949951171875</v>
      </c>
      <c r="F46" s="77" t="n">
        <v>0.5832909941673279</v>
      </c>
      <c r="G46" s="78" t="n">
        <v>0.577847</v>
      </c>
      <c r="H46" s="78" t="n">
        <v>0.4105307459831238</v>
      </c>
      <c r="I46" s="79" t="n">
        <v>1110.969970703125</v>
      </c>
      <c r="J46" s="79" t="n">
        <v>3617.889892578125</v>
      </c>
    </row>
    <row r="47">
      <c r="A47" s="48" t="n">
        <v>2009</v>
      </c>
      <c r="B47" s="77" t="n">
        <v>0.0004473399894777685</v>
      </c>
      <c r="C47" s="77" t="n">
        <v>11.1624002456665</v>
      </c>
      <c r="D47" s="77" t="n">
        <v>14.43379974365234</v>
      </c>
      <c r="E47" s="77" t="n">
        <v>3.24904990196228</v>
      </c>
      <c r="F47" s="77" t="n">
        <v>0.5792459845542908</v>
      </c>
      <c r="G47" s="78" t="n">
        <v>0.553559</v>
      </c>
      <c r="H47" s="78" t="n">
        <v>0.4438364207744598</v>
      </c>
      <c r="I47" s="79" t="n">
        <v>1096.300048828125</v>
      </c>
      <c r="J47" s="79" t="n">
        <v>3626.219970703125</v>
      </c>
    </row>
    <row r="48">
      <c r="A48" s="48" t="n">
        <v>2010</v>
      </c>
      <c r="B48" s="77" t="n">
        <v>0.0004481000069063157</v>
      </c>
      <c r="C48" s="77" t="n">
        <v>10.3011999130249</v>
      </c>
      <c r="D48" s="77" t="n">
        <v>14.4689998626709</v>
      </c>
      <c r="E48" s="77" t="n">
        <v>3.1113600730896</v>
      </c>
      <c r="F48" s="77" t="n">
        <v>0.557004988193512</v>
      </c>
      <c r="G48" s="78" t="n">
        <v>0.537015</v>
      </c>
      <c r="H48" s="78" t="n">
        <v>0.4433950185775757</v>
      </c>
      <c r="I48" s="79" t="n">
        <v>1086.300048828125</v>
      </c>
      <c r="J48" s="79" t="n">
        <v>3626.5400390625</v>
      </c>
    </row>
    <row r="49">
      <c r="A49" s="48" t="n">
        <v>2011</v>
      </c>
      <c r="B49" s="77" t="n">
        <v>0.0004456900060176849</v>
      </c>
      <c r="C49" s="77" t="n">
        <v>14.64369964599609</v>
      </c>
      <c r="D49" s="77" t="n">
        <v>15.97360038757324</v>
      </c>
      <c r="E49" s="77" t="n">
        <v>3.403739929199219</v>
      </c>
      <c r="F49" s="77" t="n">
        <v>0.5741310119628906</v>
      </c>
      <c r="G49" s="78" t="n">
        <v>0.577495</v>
      </c>
      <c r="H49" s="78" t="n">
        <v>0.4791955053806305</v>
      </c>
      <c r="I49" s="79" t="n">
        <v>1132.829956054688</v>
      </c>
      <c r="J49" s="79" t="n">
        <v>3639.75</v>
      </c>
    </row>
    <row r="50">
      <c r="A50" s="48" t="n">
        <v>2012</v>
      </c>
      <c r="B50" s="77" t="n">
        <v>0.0004464100056793541</v>
      </c>
      <c r="C50" s="77" t="n">
        <v>13.63650035858154</v>
      </c>
      <c r="D50" s="77" t="n">
        <v>12.71249961853027</v>
      </c>
      <c r="E50" s="77" t="n">
        <v>3.00189995765686</v>
      </c>
      <c r="F50" s="77" t="n">
        <v>0.3275359869003296</v>
      </c>
      <c r="G50" s="78" t="n">
        <v>0.608277</v>
      </c>
      <c r="H50" s="78" t="n">
        <v>0.4328030645847321</v>
      </c>
      <c r="I50" s="79" t="n">
        <v>1120.359985351562</v>
      </c>
      <c r="J50" s="79" t="n">
        <v>3609.820068359375</v>
      </c>
    </row>
    <row r="51">
      <c r="A51" s="48" t="n">
        <v>2013</v>
      </c>
      <c r="B51" s="77" t="n">
        <v>0.0004453680012375116</v>
      </c>
      <c r="C51" s="77" t="n">
        <v>12.34440040588379</v>
      </c>
      <c r="D51" s="77" t="n">
        <v>10.3238000869751</v>
      </c>
      <c r="E51" s="77" t="n">
        <v>2.833580017089844</v>
      </c>
      <c r="F51" s="77" t="n">
        <v>0.3809260129928589</v>
      </c>
      <c r="G51" s="78" t="n">
        <v>0.580228</v>
      </c>
      <c r="H51" s="78" t="n">
        <v>0.3439302444458008</v>
      </c>
      <c r="I51" s="79" t="n">
        <v>1106.72998046875</v>
      </c>
      <c r="J51" s="79" t="n">
        <v>3584.429931640625</v>
      </c>
    </row>
    <row r="52">
      <c r="A52" s="48" t="n">
        <v>2014</v>
      </c>
      <c r="B52" s="77" t="n">
        <v>0.0004463549994397908</v>
      </c>
      <c r="C52" s="77" t="n">
        <v>10.66699981689453</v>
      </c>
      <c r="D52" s="77" t="n">
        <v>11.53670024871826</v>
      </c>
      <c r="E52" s="77" t="n">
        <v>3.261509895324707</v>
      </c>
      <c r="F52" s="77" t="n">
        <v>0.5744400024414062</v>
      </c>
      <c r="G52" s="78" t="n">
        <v>0.533534</v>
      </c>
      <c r="H52" s="78" t="n">
        <v>0.3554488122463226</v>
      </c>
      <c r="I52" s="79" t="n">
        <v>1087.7900390625</v>
      </c>
      <c r="J52" s="79" t="n">
        <v>3597.75</v>
      </c>
    </row>
    <row r="53">
      <c r="A53" s="48" t="n">
        <v>2015</v>
      </c>
      <c r="B53" s="77" t="n">
        <v>0.0004469200212042779</v>
      </c>
      <c r="C53" s="77" t="n">
        <v>10.08650016784668</v>
      </c>
      <c r="D53" s="77" t="n">
        <v>11.82660007476807</v>
      </c>
      <c r="E53" s="77" t="n">
        <v>3.225349903106689</v>
      </c>
      <c r="F53" s="77" t="n">
        <v>0.6244800090789795</v>
      </c>
      <c r="G53" s="78" t="n">
        <v>0.515859</v>
      </c>
      <c r="H53" s="78" t="n">
        <v>0.3692984879016876</v>
      </c>
      <c r="I53" s="79" t="n">
        <v>1080.910034179688</v>
      </c>
      <c r="J53" s="79" t="n">
        <v>3600.800048828125</v>
      </c>
    </row>
    <row r="54">
      <c r="A54" s="48" t="n">
        <v>2016</v>
      </c>
      <c r="B54" s="77" t="n">
        <v>0.0004476380127016455</v>
      </c>
      <c r="C54" s="77" t="n">
        <v>10.07900047302246</v>
      </c>
      <c r="D54" s="77" t="n">
        <v>11.79689979553223</v>
      </c>
      <c r="E54" s="77" t="n">
        <v>3.130389928817749</v>
      </c>
      <c r="F54" s="77" t="n">
        <v>0.5925149917602539</v>
      </c>
      <c r="G54" s="78" t="n">
        <v>0.50891</v>
      </c>
      <c r="H54" s="78" t="n">
        <v>0.3795418441295624</v>
      </c>
      <c r="I54" s="79" t="n">
        <v>1080.819946289062</v>
      </c>
      <c r="J54" s="79" t="n">
        <v>3600.489990234375</v>
      </c>
    </row>
    <row r="55">
      <c r="A55" s="48" t="n">
        <v>2017</v>
      </c>
      <c r="B55" s="77" t="n">
        <v>0.0004467980179470032</v>
      </c>
      <c r="C55" s="77" t="n">
        <v>10.22089958190918</v>
      </c>
      <c r="D55" s="77" t="n">
        <v>14.06760025024414</v>
      </c>
      <c r="E55" s="77" t="n">
        <v>3.343219995498657</v>
      </c>
      <c r="F55" s="77" t="n">
        <v>0.5925940275192261</v>
      </c>
      <c r="G55" s="78" t="n">
        <v>0.521725</v>
      </c>
      <c r="H55" s="78" t="n">
        <v>0.4211649596691132</v>
      </c>
      <c r="I55" s="79" t="n">
        <v>1082.52001953125</v>
      </c>
      <c r="J55" s="79" t="n">
        <v>3622.85009765625</v>
      </c>
    </row>
    <row r="56">
      <c r="A56" s="48" t="n">
        <v>2018</v>
      </c>
      <c r="B56" s="77" t="n">
        <v>0.0004465260135475546</v>
      </c>
      <c r="C56" s="77" t="n">
        <v>10.13230037689209</v>
      </c>
      <c r="D56" s="77" t="n">
        <v>10.09889984130859</v>
      </c>
      <c r="E56" s="77" t="n">
        <v>3.253200054168701</v>
      </c>
      <c r="F56" s="77" t="n">
        <v>0.2488059997558594</v>
      </c>
      <c r="G56" s="78" t="n">
        <v>0.518023</v>
      </c>
      <c r="H56" s="78" t="n">
        <v>0.3627613186836243</v>
      </c>
      <c r="I56" s="79" t="n">
        <v>1081.4599609375</v>
      </c>
      <c r="J56" s="79" t="n">
        <v>3581.85009765625</v>
      </c>
    </row>
    <row r="57">
      <c r="A57" s="48" t="n">
        <v>2019</v>
      </c>
      <c r="B57" s="77" t="n">
        <v>0.0004481619980651885</v>
      </c>
      <c r="C57" s="77" t="n">
        <v>10.89939975738525</v>
      </c>
      <c r="D57" s="77" t="n">
        <v>12.60389995574951</v>
      </c>
      <c r="E57" s="77" t="n">
        <v>3.327059984207153</v>
      </c>
      <c r="F57" s="77" t="n">
        <v>0.5875049829483032</v>
      </c>
      <c r="G57" s="78" t="n">
        <v>0.5239279999999999</v>
      </c>
      <c r="H57" s="78" t="n">
        <v>0.369798332452774</v>
      </c>
      <c r="I57" s="79" t="n">
        <v>1090.489990234375</v>
      </c>
      <c r="J57" s="79" t="n">
        <v>3608.739990234375</v>
      </c>
    </row>
    <row r="58">
      <c r="A58" s="48" t="n">
        <v>2020</v>
      </c>
      <c r="B58" s="77" t="n">
        <v>0.0004464620142243803</v>
      </c>
      <c r="C58" s="77" t="n">
        <v>10.32159996032715</v>
      </c>
      <c r="D58" s="77" t="n">
        <v>10.13000011444092</v>
      </c>
      <c r="E58" s="77" t="n">
        <v>3.156879901885986</v>
      </c>
      <c r="F58" s="77" t="n">
        <v>0.3968009948730469</v>
      </c>
      <c r="G58" s="78" t="n">
        <v>0.532147</v>
      </c>
      <c r="H58" s="78" t="n">
        <v>0.3588596880435944</v>
      </c>
      <c r="I58" s="79" t="n">
        <v>1083.719970703125</v>
      </c>
      <c r="J58" s="79" t="n">
        <v>3582.2099609375</v>
      </c>
    </row>
    <row r="59">
      <c r="A59" s="48" t="n">
        <v>2021</v>
      </c>
      <c r="B59" s="77" t="n">
        <v>0.0004473279986996204</v>
      </c>
      <c r="C59" s="77" t="n">
        <v>8.91504955291748</v>
      </c>
      <c r="D59" s="77" t="n">
        <v>6.713119983673096</v>
      </c>
      <c r="E59" s="77" t="n">
        <v>2.899879932403564</v>
      </c>
      <c r="F59" s="77" t="n">
        <v>0.2308740019798279</v>
      </c>
      <c r="G59" s="78" t="n">
        <v>0.500743</v>
      </c>
      <c r="H59" s="78" t="n">
        <v>0.2515082657337189</v>
      </c>
      <c r="I59" s="79" t="n">
        <v>1066.390014648438</v>
      </c>
      <c r="J59" s="79" t="n">
        <v>3537.330078125</v>
      </c>
    </row>
    <row r="60">
      <c r="A60" s="48" t="n">
        <v>2022</v>
      </c>
      <c r="B60" s="77" t="n">
        <v>0.0004470629792194813</v>
      </c>
      <c r="C60" s="77" t="n">
        <v>7.313370227813721</v>
      </c>
      <c r="D60" s="77" t="n">
        <v>5.530550003051758</v>
      </c>
      <c r="E60" s="77" t="n">
        <v>2.540110111236572</v>
      </c>
      <c r="F60" s="77" t="n">
        <v>0.2901720106601715</v>
      </c>
      <c r="G60" s="78" t="n">
        <v>0.5</v>
      </c>
      <c r="H60" s="78" t="n">
        <v>0.1920609176158905</v>
      </c>
      <c r="I60" s="79" t="n">
        <v>1044.819946289062</v>
      </c>
      <c r="J60" s="79" t="n">
        <v>3524.75</v>
      </c>
    </row>
    <row r="61">
      <c r="A61" s="48" t="n">
        <v>2023</v>
      </c>
      <c r="B61" s="77" t="n">
        <v>0.0004478089977055788</v>
      </c>
      <c r="C61" s="77" t="n">
        <v>9.045269966125488</v>
      </c>
      <c r="D61" s="77" t="n">
        <v>8.440670013427734</v>
      </c>
      <c r="E61" s="77" t="n">
        <v>3.177180051803589</v>
      </c>
      <c r="F61" s="77" t="n">
        <v>0.5780689716339111</v>
      </c>
      <c r="G61" s="78" t="n">
        <v>0.475</v>
      </c>
      <c r="H61" s="78" t="n">
        <v>0.2495806515216827</v>
      </c>
      <c r="I61" s="79" t="n">
        <v>1068.050048828125</v>
      </c>
      <c r="J61" s="79" t="n">
        <v>3568.969970703125</v>
      </c>
    </row>
    <row r="62">
      <c r="A62" s="48" t="n">
        <v>2024</v>
      </c>
      <c r="B62" s="77" t="n">
        <v>0.0004464740050025284</v>
      </c>
      <c r="C62" s="77" t="n">
        <v>8.67455005645752</v>
      </c>
      <c r="D62" s="77" t="n">
        <v>8.668889999389648</v>
      </c>
      <c r="E62" s="77" t="n">
        <v>3.120069980621338</v>
      </c>
      <c r="F62" s="77" t="n">
        <v>0.5245739817619324</v>
      </c>
      <c r="G62" s="78" t="n">
        <v>0.45</v>
      </c>
      <c r="H62" s="78" t="n">
        <v>0.2707011103630066</v>
      </c>
      <c r="I62" s="79" t="n">
        <v>1063.2900390625</v>
      </c>
      <c r="J62" s="79" t="n">
        <v>3571.989990234375</v>
      </c>
    </row>
    <row r="63">
      <c r="A63" s="48" t="n">
        <v>2025</v>
      </c>
      <c r="B63" s="77" t="n">
        <v>0.0004477539914660156</v>
      </c>
      <c r="C63" s="77" t="n">
        <v>8.593870162963867</v>
      </c>
      <c r="D63" s="77" t="n">
        <v>6.468520164489746</v>
      </c>
      <c r="E63" s="77" t="n">
        <v>2.995120048522949</v>
      </c>
      <c r="F63" s="77" t="n">
        <v>0.4116640090942383</v>
      </c>
      <c r="G63" s="78" t="n">
        <v>0.43</v>
      </c>
      <c r="H63" s="78" t="n">
        <v>0.2241215109825134</v>
      </c>
      <c r="I63" s="79" t="n">
        <v>1062.239990234375</v>
      </c>
      <c r="J63" s="79" t="n">
        <v>3540.31005859375</v>
      </c>
    </row>
    <row r="64">
      <c r="A64" s="48" t="n">
        <v>2026</v>
      </c>
      <c r="B64" s="77" t="n">
        <v>0.0004480490169953555</v>
      </c>
      <c r="C64" s="77" t="n">
        <v>8.798239707946777</v>
      </c>
      <c r="D64" s="77" t="n">
        <v>5.813980102539062</v>
      </c>
      <c r="E64" s="77" t="n">
        <v>3.005840063095093</v>
      </c>
      <c r="F64" s="77" t="n">
        <v>0.4159440100193024</v>
      </c>
      <c r="G64" s="78" t="inlineStr"/>
      <c r="H64" s="78" t="n">
        <v>0.01133860554546118</v>
      </c>
      <c r="I64" s="79" t="n">
        <v>1064.890014648438</v>
      </c>
      <c r="J64" s="79" t="n">
        <v>3529.610107421875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 ht="25" customHeight="1">
      <c r="A1" s="1" t="inlineStr">
        <is>
          <t>Year</t>
        </is>
      </c>
      <c r="B1" s="2" t="inlineStr">
        <is>
          <t>Salton Elevation</t>
        </is>
      </c>
      <c r="C1" s="2" t="inlineStr">
        <is>
          <t>Salton Inflow</t>
        </is>
      </c>
      <c r="D1" s="2" t="inlineStr">
        <is>
          <t>MX Alamo River</t>
        </is>
      </c>
      <c r="E1" s="2" t="inlineStr">
        <is>
          <t>Alamo River</t>
        </is>
      </c>
      <c r="F1" s="2" t="inlineStr">
        <is>
          <t>MX New River</t>
        </is>
      </c>
      <c r="G1" s="2" t="inlineStr">
        <is>
          <t>New River</t>
        </is>
      </c>
      <c r="H1" s="2" t="inlineStr">
        <is>
          <t>Whitewater</t>
        </is>
      </c>
      <c r="I1" s="2" t="inlineStr">
        <is>
          <t>Imperial Total CU</t>
        </is>
      </c>
      <c r="J1" s="2" t="inlineStr">
        <is>
          <t>Imperial CU</t>
        </is>
      </c>
      <c r="K1" s="3" t="inlineStr">
        <is>
          <t>Coachella CU</t>
        </is>
      </c>
    </row>
    <row r="2">
      <c r="A2" s="48" t="n">
        <v>1964</v>
      </c>
      <c r="B2" s="79" t="inlineStr"/>
      <c r="C2" s="80">
        <f>SUM(D2:F2)</f>
        <v/>
      </c>
      <c r="D2" s="80" t="inlineStr"/>
      <c r="E2" s="80" t="n">
        <v>0.5635383725166321</v>
      </c>
      <c r="F2" s="80" t="inlineStr"/>
      <c r="G2" s="80" t="n">
        <v>0.3658747673034668</v>
      </c>
      <c r="H2" s="80" t="n">
        <v>0.07535161077976227</v>
      </c>
      <c r="I2" s="52">
        <f>J2 + K2</f>
        <v/>
      </c>
      <c r="J2" s="52" t="n">
        <v>2.891155</v>
      </c>
      <c r="K2" s="52" t="n">
        <v>0.526417</v>
      </c>
    </row>
    <row r="3">
      <c r="A3" s="48" t="n">
        <v>1965</v>
      </c>
      <c r="B3" s="79" t="inlineStr"/>
      <c r="C3" s="80">
        <f>SUM(D3:F3)</f>
        <v/>
      </c>
      <c r="D3" s="80" t="inlineStr"/>
      <c r="E3" s="80" t="n">
        <v>0.5350480079650879</v>
      </c>
      <c r="F3" s="80" t="inlineStr"/>
      <c r="G3" s="80" t="n">
        <v>0.3577684164047241</v>
      </c>
      <c r="H3" s="80" t="n">
        <v>0.08807153254747391</v>
      </c>
      <c r="I3" s="52">
        <f>J3 + K3</f>
        <v/>
      </c>
      <c r="J3" s="52" t="n">
        <v>2.741309</v>
      </c>
      <c r="K3" s="52" t="n">
        <v>0.524686</v>
      </c>
    </row>
    <row r="4">
      <c r="A4" s="48" t="n">
        <v>1966</v>
      </c>
      <c r="B4" s="79" t="inlineStr"/>
      <c r="C4" s="80">
        <f>SUM(D4:F4)</f>
        <v/>
      </c>
      <c r="D4" s="80" t="inlineStr"/>
      <c r="E4" s="80" t="n">
        <v>0.6107308268547058</v>
      </c>
      <c r="F4" s="80" t="inlineStr"/>
      <c r="G4" s="80" t="n">
        <v>0.3834680616855621</v>
      </c>
      <c r="H4" s="80" t="n">
        <v>0.07919356971979141</v>
      </c>
      <c r="I4" s="52">
        <f>J4 + K4</f>
        <v/>
      </c>
      <c r="J4" s="52" t="n">
        <v>2.944495</v>
      </c>
      <c r="K4" s="52" t="n">
        <v>0.489429</v>
      </c>
    </row>
    <row r="5">
      <c r="A5" s="48" t="n">
        <v>1967</v>
      </c>
      <c r="B5" s="79" t="inlineStr"/>
      <c r="C5" s="80">
        <f>SUM(D5:F5)</f>
        <v/>
      </c>
      <c r="D5" s="80" t="inlineStr"/>
      <c r="E5" s="80" t="n">
        <v>0.6211003661155701</v>
      </c>
      <c r="F5" s="80" t="inlineStr"/>
      <c r="G5" s="80" t="n">
        <v>0.3832162022590637</v>
      </c>
      <c r="H5" s="80" t="n">
        <v>0.07915588468313217</v>
      </c>
      <c r="I5" s="52">
        <f>J5 + K5</f>
        <v/>
      </c>
      <c r="J5" s="52" t="n">
        <v>2.819724</v>
      </c>
      <c r="K5" s="52" t="n">
        <v>0.464053</v>
      </c>
    </row>
    <row r="6">
      <c r="A6" s="48" t="n">
        <v>1968</v>
      </c>
      <c r="B6" s="79" t="inlineStr"/>
      <c r="C6" s="80">
        <f>SUM(D6:F6)</f>
        <v/>
      </c>
      <c r="D6" s="80" t="inlineStr"/>
      <c r="E6" s="80" t="n">
        <v>0.6110838651657104</v>
      </c>
      <c r="F6" s="80" t="inlineStr"/>
      <c r="G6" s="80" t="n">
        <v>0.3840710520744324</v>
      </c>
      <c r="H6" s="80" t="n">
        <v>0.07997307181358337</v>
      </c>
      <c r="I6" s="52">
        <f>J6 + K6</f>
        <v/>
      </c>
      <c r="J6" s="52" t="n">
        <v>2.895541</v>
      </c>
      <c r="K6" s="52" t="n">
        <v>0.478583</v>
      </c>
    </row>
    <row r="7">
      <c r="A7" s="48" t="n">
        <v>1969</v>
      </c>
      <c r="B7" s="79" t="inlineStr"/>
      <c r="C7" s="80">
        <f>SUM(D7:F7)</f>
        <v/>
      </c>
      <c r="D7" s="80" t="inlineStr"/>
      <c r="E7" s="80" t="n">
        <v>0.5925047993659973</v>
      </c>
      <c r="F7" s="80" t="inlineStr"/>
      <c r="G7" s="80" t="n">
        <v>0.3754469752311707</v>
      </c>
      <c r="H7" s="80" t="n">
        <v>0.08842061460018158</v>
      </c>
      <c r="I7" s="52">
        <f>J7 + K7</f>
        <v/>
      </c>
      <c r="J7" s="52" t="n">
        <v>2.766924</v>
      </c>
      <c r="K7" s="52" t="n">
        <v>0.495082</v>
      </c>
    </row>
    <row r="8">
      <c r="A8" s="48" t="n">
        <v>1970</v>
      </c>
      <c r="B8" s="79" t="inlineStr"/>
      <c r="C8" s="80">
        <f>SUM(D8:F8)</f>
        <v/>
      </c>
      <c r="D8" s="80" t="inlineStr"/>
      <c r="E8" s="80" t="n">
        <v>0.6189621686935425</v>
      </c>
      <c r="F8" s="80" t="inlineStr"/>
      <c r="G8" s="80" t="n">
        <v>0.390485554933548</v>
      </c>
      <c r="H8" s="80" t="n">
        <v>0.07555392384529114</v>
      </c>
      <c r="I8" s="52">
        <f>J8 + K8</f>
        <v/>
      </c>
      <c r="J8" s="52" t="n">
        <v>2.848565</v>
      </c>
      <c r="K8" s="52" t="n">
        <v>0.449263</v>
      </c>
    </row>
    <row r="9">
      <c r="A9" s="48" t="n">
        <v>1971</v>
      </c>
      <c r="B9" s="79" t="inlineStr"/>
      <c r="C9" s="80">
        <f>SUM(D9:F9)</f>
        <v/>
      </c>
      <c r="D9" s="80" t="inlineStr"/>
      <c r="E9" s="80" t="n">
        <v>0.6717003583908081</v>
      </c>
      <c r="F9" s="80" t="inlineStr"/>
      <c r="G9" s="80" t="n">
        <v>0.4229885041713715</v>
      </c>
      <c r="H9" s="80" t="n">
        <v>0.07950496673583984</v>
      </c>
      <c r="I9" s="52">
        <f>J9 + K9</f>
        <v/>
      </c>
      <c r="J9" s="52" t="n">
        <v>2.932538</v>
      </c>
      <c r="K9" s="52" t="n">
        <v>0.464445</v>
      </c>
    </row>
    <row r="10">
      <c r="A10" s="48" t="n">
        <v>1972</v>
      </c>
      <c r="B10" s="79" t="inlineStr"/>
      <c r="C10" s="80">
        <f>SUM(D10:F10)</f>
        <v/>
      </c>
      <c r="D10" s="80" t="inlineStr"/>
      <c r="E10" s="80" t="n">
        <v>0.6387253999710083</v>
      </c>
      <c r="F10" s="80" t="inlineStr"/>
      <c r="G10" s="80" t="n">
        <v>0.4179564714431763</v>
      </c>
      <c r="H10" s="80" t="n">
        <v>0.09097332507371902</v>
      </c>
      <c r="I10" s="52">
        <f>J10 + K10</f>
        <v/>
      </c>
      <c r="J10" s="52" t="n">
        <v>2.96591</v>
      </c>
      <c r="K10" s="52" t="n">
        <v>0.511476</v>
      </c>
    </row>
    <row r="11">
      <c r="A11" s="48" t="n">
        <v>1973</v>
      </c>
      <c r="B11" s="79" t="inlineStr"/>
      <c r="C11" s="80">
        <f>SUM(D11:F11)</f>
        <v/>
      </c>
      <c r="D11" s="80" t="inlineStr"/>
      <c r="E11" s="80" t="n">
        <v>0.6388166546821594</v>
      </c>
      <c r="F11" s="80" t="inlineStr"/>
      <c r="G11" s="80" t="n">
        <v>0.428629457950592</v>
      </c>
      <c r="H11" s="80" t="n">
        <v>0.09679676592350006</v>
      </c>
      <c r="I11" s="52">
        <f>J11 + K11</f>
        <v/>
      </c>
      <c r="J11" s="52" t="n">
        <v>3.047899</v>
      </c>
      <c r="K11" s="52" t="n">
        <v>0.522356</v>
      </c>
    </row>
    <row r="12">
      <c r="A12" s="48" t="n">
        <v>1974</v>
      </c>
      <c r="B12" s="79" t="inlineStr"/>
      <c r="C12" s="80">
        <f>SUM(D12:F12)</f>
        <v/>
      </c>
      <c r="D12" s="80" t="inlineStr"/>
      <c r="E12" s="80" t="n">
        <v>0.6822623014450073</v>
      </c>
      <c r="F12" s="80" t="inlineStr"/>
      <c r="G12" s="80" t="n">
        <v>0.4365672469139099</v>
      </c>
      <c r="H12" s="80" t="n">
        <v>0.09138390421867371</v>
      </c>
      <c r="I12" s="52">
        <f>J12 + K12</f>
        <v/>
      </c>
      <c r="J12" s="52" t="n">
        <v>3.171977</v>
      </c>
      <c r="K12" s="52" t="n">
        <v>0.558864</v>
      </c>
    </row>
    <row r="13">
      <c r="A13" s="48" t="n">
        <v>1975</v>
      </c>
      <c r="B13" s="79" t="inlineStr"/>
      <c r="C13" s="80">
        <f>SUM(D13:F13)</f>
        <v/>
      </c>
      <c r="D13" s="80" t="inlineStr"/>
      <c r="E13" s="80" t="n">
        <v>0.6822067499160767</v>
      </c>
      <c r="F13" s="80" t="inlineStr"/>
      <c r="G13" s="80" t="n">
        <v>0.4344984889030457</v>
      </c>
      <c r="H13" s="80" t="n">
        <v>0.09845691919326782</v>
      </c>
      <c r="I13" s="52">
        <f>J13 + K13</f>
        <v/>
      </c>
      <c r="J13" s="52" t="n">
        <v>3.070974</v>
      </c>
      <c r="K13" s="52" t="n">
        <v>0.570987</v>
      </c>
    </row>
    <row r="14">
      <c r="A14" s="48" t="n">
        <v>1976</v>
      </c>
      <c r="B14" s="79" t="inlineStr"/>
      <c r="C14" s="80">
        <f>SUM(D14:F14)</f>
        <v/>
      </c>
      <c r="D14" s="80" t="inlineStr"/>
      <c r="E14" s="80" t="n">
        <v>0.6388661861419678</v>
      </c>
      <c r="F14" s="80" t="inlineStr"/>
      <c r="G14" s="80" t="n">
        <v>0.435111403465271</v>
      </c>
      <c r="H14" s="80" t="n">
        <v>0.1100918874144554</v>
      </c>
      <c r="I14" s="52">
        <f>J14 + K14</f>
        <v/>
      </c>
      <c r="J14" s="52" t="n">
        <v>2.876984</v>
      </c>
      <c r="K14" s="52" t="n">
        <v>0.524801</v>
      </c>
    </row>
    <row r="15">
      <c r="A15" s="48" t="n">
        <v>1977</v>
      </c>
      <c r="B15" s="79" t="inlineStr"/>
      <c r="C15" s="80">
        <f>SUM(D15:F15)</f>
        <v/>
      </c>
      <c r="D15" s="80" t="inlineStr"/>
      <c r="E15" s="80" t="n">
        <v>0.615054726600647</v>
      </c>
      <c r="F15" s="80" t="inlineStr"/>
      <c r="G15" s="80" t="n">
        <v>0.4129700660705566</v>
      </c>
      <c r="H15" s="80" t="n">
        <v>0.09412504732608795</v>
      </c>
      <c r="I15" s="52">
        <f>J15 + K15</f>
        <v/>
      </c>
      <c r="J15" s="52" t="n">
        <v>2.772062</v>
      </c>
      <c r="K15" s="52" t="n">
        <v>0.5086349999999999</v>
      </c>
    </row>
    <row r="16">
      <c r="A16" s="48" t="n">
        <v>1978</v>
      </c>
      <c r="B16" s="79" t="inlineStr"/>
      <c r="C16" s="80">
        <f>SUM(D16:F16)</f>
        <v/>
      </c>
      <c r="D16" s="80" t="inlineStr"/>
      <c r="E16" s="80" t="n">
        <v>0.6032333970069885</v>
      </c>
      <c r="F16" s="80" t="inlineStr"/>
      <c r="G16" s="80" t="n">
        <v>0.393036276102066</v>
      </c>
      <c r="H16" s="80" t="n">
        <v>0.09203051775693893</v>
      </c>
      <c r="I16" s="52">
        <f>J16 + K16</f>
        <v/>
      </c>
      <c r="J16" s="52" t="n">
        <v>2.757199</v>
      </c>
      <c r="K16" s="52" t="n">
        <v>0.509491</v>
      </c>
    </row>
    <row r="17">
      <c r="A17" s="48" t="n">
        <v>1979</v>
      </c>
      <c r="B17" s="79" t="inlineStr"/>
      <c r="C17" s="80">
        <f>SUM(D17:F17)</f>
        <v/>
      </c>
      <c r="D17" s="80" t="inlineStr"/>
      <c r="E17" s="80" t="n">
        <v>0.6352483630180359</v>
      </c>
      <c r="F17" s="80" t="inlineStr"/>
      <c r="G17" s="80" t="n">
        <v>0.4576395452022552</v>
      </c>
      <c r="H17" s="80" t="n">
        <v>0.09280009567737579</v>
      </c>
      <c r="I17" s="52">
        <f>J17 + K17</f>
        <v/>
      </c>
      <c r="J17" s="52" t="n">
        <v>2.884235</v>
      </c>
      <c r="K17" s="52" t="n">
        <v>0.530733</v>
      </c>
    </row>
    <row r="18">
      <c r="A18" s="48" t="n">
        <v>1980</v>
      </c>
      <c r="B18" s="79" t="inlineStr"/>
      <c r="C18" s="80">
        <f>SUM(D18:F18)</f>
        <v/>
      </c>
      <c r="D18" s="80" t="inlineStr"/>
      <c r="E18" s="80" t="n">
        <v>0.6416569352149963</v>
      </c>
      <c r="F18" s="80" t="inlineStr"/>
      <c r="G18" s="80" t="n">
        <v>0.4545334279537201</v>
      </c>
      <c r="H18" s="80" t="n">
        <v>0.1050896123051643</v>
      </c>
      <c r="I18" s="52">
        <f>J18 + K18</f>
        <v/>
      </c>
      <c r="J18" s="52" t="n">
        <v>2.845779</v>
      </c>
      <c r="K18" s="52" t="n">
        <v>0.531791</v>
      </c>
    </row>
    <row r="19">
      <c r="A19" s="48" t="n">
        <v>1981</v>
      </c>
      <c r="B19" s="79" t="inlineStr"/>
      <c r="C19" s="80">
        <f>SUM(D19:F19)</f>
        <v/>
      </c>
      <c r="D19" s="80" t="inlineStr"/>
      <c r="E19" s="80" t="n">
        <v>0.591636061668396</v>
      </c>
      <c r="F19" s="80" t="inlineStr"/>
      <c r="G19" s="80" t="n">
        <v>0.433032751083374</v>
      </c>
      <c r="H19" s="80" t="n">
        <v>0.09289530664682388</v>
      </c>
      <c r="I19" s="52">
        <f>J19 + K19</f>
        <v/>
      </c>
      <c r="J19" s="52" t="n">
        <v>2.872289</v>
      </c>
      <c r="K19" s="52" t="n">
        <v>0.45226</v>
      </c>
    </row>
    <row r="20">
      <c r="A20" s="48" t="n">
        <v>1982</v>
      </c>
      <c r="B20" s="79" t="inlineStr"/>
      <c r="C20" s="80">
        <f>SUM(D20:F20)</f>
        <v/>
      </c>
      <c r="D20" s="80" t="inlineStr"/>
      <c r="E20" s="80" t="n">
        <v>0.559980034828186</v>
      </c>
      <c r="F20" s="80" t="inlineStr"/>
      <c r="G20" s="80" t="n">
        <v>0.411756157875061</v>
      </c>
      <c r="H20" s="80" t="n">
        <v>0.09109035134315491</v>
      </c>
      <c r="I20" s="52">
        <f>J20 + K20</f>
        <v/>
      </c>
      <c r="J20" s="52" t="n">
        <v>2.595578</v>
      </c>
      <c r="K20" s="52" t="n">
        <v>0.424868</v>
      </c>
    </row>
    <row r="21">
      <c r="A21" s="48" t="n">
        <v>1983</v>
      </c>
      <c r="B21" s="79" t="inlineStr"/>
      <c r="C21" s="80">
        <f>SUM(D21:F21)</f>
        <v/>
      </c>
      <c r="D21" s="80" t="inlineStr"/>
      <c r="E21" s="80" t="n">
        <v>0.6128412485122681</v>
      </c>
      <c r="F21" s="80" t="inlineStr"/>
      <c r="G21" s="80" t="n">
        <v>0.4772360920906067</v>
      </c>
      <c r="H21" s="80" t="n">
        <v>0.0933554619550705</v>
      </c>
      <c r="I21" s="52">
        <f>J21 + K21</f>
        <v/>
      </c>
      <c r="J21" s="52" t="n">
        <v>2.555617</v>
      </c>
      <c r="K21" s="52" t="n">
        <v>0.362266</v>
      </c>
    </row>
    <row r="22">
      <c r="A22" s="48" t="n">
        <v>1984</v>
      </c>
      <c r="B22" s="79" t="inlineStr"/>
      <c r="C22" s="80">
        <f>SUM(D22:F22)</f>
        <v/>
      </c>
      <c r="D22" s="80" t="inlineStr"/>
      <c r="E22" s="80" t="n">
        <v>0.5869868397712708</v>
      </c>
      <c r="F22" s="80" t="inlineStr"/>
      <c r="G22" s="80" t="n">
        <v>0.5122500658035278</v>
      </c>
      <c r="H22" s="80" t="n">
        <v>0.0749707818031311</v>
      </c>
      <c r="I22" s="52">
        <f>J22 + K22</f>
        <v/>
      </c>
      <c r="J22" s="52" t="n">
        <v>2.666535</v>
      </c>
      <c r="K22" s="52" t="n">
        <v>0.355789</v>
      </c>
    </row>
    <row r="23">
      <c r="A23" s="48" t="n">
        <v>1985</v>
      </c>
      <c r="B23" s="79" t="inlineStr"/>
      <c r="C23" s="80">
        <f>SUM(D23:F23)</f>
        <v/>
      </c>
      <c r="D23" s="80" t="inlineStr"/>
      <c r="E23" s="80" t="n">
        <v>0.50954270362854</v>
      </c>
      <c r="F23" s="80" t="inlineStr"/>
      <c r="G23" s="80" t="n">
        <v>0.4895216524600983</v>
      </c>
      <c r="H23" s="80" t="n">
        <v>0.06410936266183853</v>
      </c>
      <c r="I23" s="52">
        <f>J23 + K23</f>
        <v/>
      </c>
      <c r="J23" s="52" t="n">
        <v>2.685837</v>
      </c>
      <c r="K23" s="52" t="n">
        <v>0.337002</v>
      </c>
    </row>
    <row r="24">
      <c r="A24" s="48" t="n">
        <v>1986</v>
      </c>
      <c r="B24" s="79" t="inlineStr"/>
      <c r="C24" s="80">
        <f>SUM(D24:F24)</f>
        <v/>
      </c>
      <c r="D24" s="80" t="inlineStr"/>
      <c r="E24" s="80" t="n">
        <v>0.4990144670009613</v>
      </c>
      <c r="F24" s="80" t="inlineStr"/>
      <c r="G24" s="80" t="n">
        <v>0.5123373866081238</v>
      </c>
      <c r="H24" s="80" t="n">
        <v>0.07227526605129242</v>
      </c>
      <c r="I24" s="52">
        <f>J24 + K24</f>
        <v/>
      </c>
      <c r="J24" s="52" t="n">
        <v>2.686875</v>
      </c>
      <c r="K24" s="52" t="n">
        <v>0.337144</v>
      </c>
    </row>
    <row r="25">
      <c r="A25" s="48" t="n">
        <v>1987</v>
      </c>
      <c r="B25" s="79" t="inlineStr"/>
      <c r="C25" s="80">
        <f>SUM(D25:F25)</f>
        <v/>
      </c>
      <c r="D25" s="80" t="inlineStr"/>
      <c r="E25" s="80" t="n">
        <v>0.5192973613739014</v>
      </c>
      <c r="F25" s="80" t="inlineStr"/>
      <c r="G25" s="80" t="n">
        <v>0.497449517250061</v>
      </c>
      <c r="H25" s="80" t="n">
        <v>0.05882542580366135</v>
      </c>
      <c r="I25" s="52">
        <f>J25 + K25</f>
        <v/>
      </c>
      <c r="J25" s="52" t="n">
        <v>2.764865</v>
      </c>
      <c r="K25" s="52" t="n">
        <v>0.332635</v>
      </c>
    </row>
    <row r="26">
      <c r="A26" s="48" t="n">
        <v>1988</v>
      </c>
      <c r="B26" s="79" t="inlineStr"/>
      <c r="C26" s="80">
        <f>SUM(D26:F26)</f>
        <v/>
      </c>
      <c r="D26" s="80" t="inlineStr"/>
      <c r="E26" s="80" t="n">
        <v>0.5840850472450256</v>
      </c>
      <c r="F26" s="80" t="inlineStr"/>
      <c r="G26" s="80" t="n">
        <v>0.4972809255123138</v>
      </c>
      <c r="H26" s="80" t="n">
        <v>0.06762801855802536</v>
      </c>
      <c r="I26" s="52">
        <f>J26 + K26</f>
        <v/>
      </c>
      <c r="J26" s="52" t="n">
        <v>2.947581</v>
      </c>
      <c r="K26" s="52" t="n">
        <v>0.331821</v>
      </c>
    </row>
    <row r="27">
      <c r="A27" s="48" t="n">
        <v>1989</v>
      </c>
      <c r="B27" s="79" t="n">
        <v>-228.3999938964844</v>
      </c>
      <c r="C27" s="80">
        <f>SUM(D27:F27)</f>
        <v/>
      </c>
      <c r="D27" s="80" t="inlineStr"/>
      <c r="E27" s="80" t="n">
        <v>0.6166375875473022</v>
      </c>
      <c r="F27" s="80" t="inlineStr"/>
      <c r="G27" s="80" t="n">
        <v>0.4466789364814758</v>
      </c>
      <c r="H27" s="80" t="n">
        <v>0.06561480462551117</v>
      </c>
      <c r="I27" s="52">
        <f>J27 + K27</f>
        <v/>
      </c>
      <c r="J27" s="52" t="n">
        <v>3.009451</v>
      </c>
      <c r="K27" s="52" t="n">
        <v>0.359419</v>
      </c>
    </row>
    <row r="28">
      <c r="A28" s="48" t="n">
        <v>1990</v>
      </c>
      <c r="B28" s="79" t="n">
        <v>-228.6999969482422</v>
      </c>
      <c r="C28" s="80">
        <f>SUM(D28:F28)</f>
        <v/>
      </c>
      <c r="D28" s="80" t="inlineStr"/>
      <c r="E28" s="80" t="n">
        <v>0.6331934928894043</v>
      </c>
      <c r="F28" s="80" t="inlineStr"/>
      <c r="G28" s="80" t="n">
        <v>0.4303531050682068</v>
      </c>
      <c r="H28" s="80" t="n">
        <v>0.06080491840839386</v>
      </c>
      <c r="I28" s="52">
        <f>J28 + K28</f>
        <v/>
      </c>
      <c r="J28" s="52" t="n">
        <v>3.054188</v>
      </c>
      <c r="K28" s="52" t="n">
        <v>0.369685</v>
      </c>
    </row>
    <row r="29">
      <c r="A29" s="48" t="n">
        <v>1991</v>
      </c>
      <c r="B29" s="79" t="n">
        <v>-228.6000061035156</v>
      </c>
      <c r="C29" s="80">
        <f>SUM(D29:F29)</f>
        <v/>
      </c>
      <c r="D29" s="80" t="inlineStr"/>
      <c r="E29" s="80" t="n">
        <v>0.6040465831756592</v>
      </c>
      <c r="F29" s="80" t="inlineStr"/>
      <c r="G29" s="80" t="n">
        <v>0.4187895357608795</v>
      </c>
      <c r="H29" s="80" t="n">
        <v>0.06202871352434158</v>
      </c>
      <c r="I29" s="52">
        <f>J29 + K29</f>
        <v/>
      </c>
      <c r="J29" s="52" t="n">
        <v>2.898963</v>
      </c>
      <c r="K29" s="52" t="n">
        <v>0.317563</v>
      </c>
    </row>
    <row r="30">
      <c r="A30" s="48" t="n">
        <v>1992</v>
      </c>
      <c r="B30" s="79" t="n">
        <v>-228.6000061035156</v>
      </c>
      <c r="C30" s="80">
        <f>SUM(D30:F30)</f>
        <v/>
      </c>
      <c r="D30" s="80" t="inlineStr"/>
      <c r="E30" s="80" t="n">
        <v>0.5562015771865845</v>
      </c>
      <c r="F30" s="80" t="inlineStr"/>
      <c r="G30" s="80" t="n">
        <v>0.4177323579788208</v>
      </c>
      <c r="H30" s="80" t="n">
        <v>0.05835931375622749</v>
      </c>
      <c r="I30" s="52">
        <f>J30 + K30</f>
        <v/>
      </c>
      <c r="J30" s="52" t="n">
        <v>2.572659</v>
      </c>
      <c r="K30" s="52" t="n">
        <v>0.309367</v>
      </c>
    </row>
    <row r="31">
      <c r="A31" s="48" t="n">
        <v>1993</v>
      </c>
      <c r="B31" s="79" t="n">
        <v>-227.8999938964844</v>
      </c>
      <c r="C31" s="80">
        <f>SUM(D31:F31)</f>
        <v/>
      </c>
      <c r="D31" s="80" t="inlineStr"/>
      <c r="E31" s="80" t="n">
        <v>0.6130316257476807</v>
      </c>
      <c r="F31" s="80" t="inlineStr"/>
      <c r="G31" s="80" t="n">
        <v>0.4911282360553741</v>
      </c>
      <c r="H31" s="80" t="n">
        <v>0.06645182520151138</v>
      </c>
      <c r="I31" s="52">
        <f>J31 + K31</f>
        <v/>
      </c>
      <c r="J31" s="52" t="n">
        <v>2.772148</v>
      </c>
      <c r="K31" s="52" t="n">
        <v>0.31899</v>
      </c>
    </row>
    <row r="32">
      <c r="A32" s="48" t="n">
        <v>1994</v>
      </c>
      <c r="B32" s="79" t="n">
        <v>-227.6000061035156</v>
      </c>
      <c r="C32" s="80">
        <f>SUM(D32:F32)</f>
        <v/>
      </c>
      <c r="D32" s="80" t="inlineStr"/>
      <c r="E32" s="80" t="n">
        <v>0.6541051268577576</v>
      </c>
      <c r="F32" s="80" t="inlineStr"/>
      <c r="G32" s="80" t="n">
        <v>0.4647720456123352</v>
      </c>
      <c r="H32" s="80" t="n">
        <v>0.0665867030620575</v>
      </c>
      <c r="I32" s="52">
        <f>J32 + K32</f>
        <v/>
      </c>
      <c r="J32" s="52" t="n">
        <v>3.048076</v>
      </c>
      <c r="K32" s="52" t="n">
        <v>0.326102</v>
      </c>
    </row>
    <row r="33">
      <c r="A33" s="48" t="n">
        <v>1995</v>
      </c>
      <c r="B33" s="79" t="n">
        <v>-227.3999938964844</v>
      </c>
      <c r="C33" s="80">
        <f>SUM(D33:F33)</f>
        <v/>
      </c>
      <c r="D33" s="80" t="inlineStr"/>
      <c r="E33" s="80" t="n">
        <v>0.612135112285614</v>
      </c>
      <c r="F33" s="80" t="inlineStr"/>
      <c r="G33" s="80" t="n">
        <v>0.4626021683216095</v>
      </c>
      <c r="H33" s="80" t="n">
        <v>0.06125715002417564</v>
      </c>
      <c r="I33" s="52">
        <f>J33 + K33</f>
        <v/>
      </c>
      <c r="J33" s="52" t="n">
        <v>3.070582</v>
      </c>
      <c r="K33" s="52" t="n">
        <v>0.326697</v>
      </c>
    </row>
    <row r="34">
      <c r="A34" s="48" t="n">
        <v>1996</v>
      </c>
      <c r="B34" s="79" t="n">
        <v>-228</v>
      </c>
      <c r="C34" s="80">
        <f>SUM(D34:F34)</f>
        <v/>
      </c>
      <c r="D34" s="80" t="inlineStr"/>
      <c r="E34" s="80" t="n">
        <v>0.6202037930488586</v>
      </c>
      <c r="F34" s="80" t="inlineStr"/>
      <c r="G34" s="80" t="n">
        <v>0.4460898339748383</v>
      </c>
      <c r="H34" s="80" t="n">
        <v>0.05892658233642578</v>
      </c>
      <c r="I34" s="52">
        <f>J34 + K34</f>
        <v/>
      </c>
      <c r="J34" s="52" t="n">
        <v>3.159609</v>
      </c>
      <c r="K34" s="52" t="n">
        <v>0.331473</v>
      </c>
    </row>
    <row r="35">
      <c r="A35" s="48" t="n">
        <v>1997</v>
      </c>
      <c r="B35" s="79" t="n">
        <v>-228</v>
      </c>
      <c r="C35" s="80">
        <f>SUM(D35:F35)</f>
        <v/>
      </c>
      <c r="D35" s="80" t="inlineStr"/>
      <c r="E35" s="80" t="n">
        <v>0.6464231610298157</v>
      </c>
      <c r="F35" s="80" t="inlineStr"/>
      <c r="G35" s="80" t="n">
        <v>0.4825993776321411</v>
      </c>
      <c r="H35" s="80" t="n">
        <v>0.05020134896039963</v>
      </c>
      <c r="I35" s="52">
        <f>J35 + K35</f>
        <v/>
      </c>
      <c r="J35" s="52" t="n">
        <v>3.158486</v>
      </c>
      <c r="K35" s="52" t="n">
        <v>0.338028</v>
      </c>
    </row>
    <row r="36">
      <c r="A36" s="48" t="n">
        <v>1998</v>
      </c>
      <c r="B36" s="79" t="n">
        <v>-227.8999938964844</v>
      </c>
      <c r="C36" s="80">
        <f>SUM(D36:F36)</f>
        <v/>
      </c>
      <c r="D36" s="80" t="inlineStr"/>
      <c r="E36" s="80" t="n">
        <v>0.6279392838478088</v>
      </c>
      <c r="F36" s="80" t="inlineStr"/>
      <c r="G36" s="80" t="n">
        <v>0.4893947243690491</v>
      </c>
      <c r="H36" s="80" t="n">
        <v>0.05233356729149818</v>
      </c>
      <c r="I36" s="52">
        <f>J36 + K36</f>
        <v/>
      </c>
      <c r="J36" s="52" t="n">
        <v>3.101548</v>
      </c>
      <c r="K36" s="52" t="n">
        <v>0.337466</v>
      </c>
    </row>
    <row r="37">
      <c r="A37" s="48" t="n">
        <v>1999</v>
      </c>
      <c r="B37" s="79" t="n">
        <v>-228.1000061035156</v>
      </c>
      <c r="C37" s="80">
        <f>SUM(D37:F37)</f>
        <v/>
      </c>
      <c r="D37" s="80" t="inlineStr"/>
      <c r="E37" s="80" t="n">
        <v>0.6171552538871765</v>
      </c>
      <c r="F37" s="80" t="inlineStr"/>
      <c r="G37" s="80" t="n">
        <v>0.4889960289001465</v>
      </c>
      <c r="H37" s="80" t="n">
        <v>0.05265091732144356</v>
      </c>
      <c r="I37" s="52">
        <f>J37 + K37</f>
        <v/>
      </c>
      <c r="J37" s="52" t="n">
        <v>3.08898</v>
      </c>
      <c r="K37" s="52" t="n">
        <v>0.33381</v>
      </c>
    </row>
    <row r="38">
      <c r="A38" s="48" t="n">
        <v>2000</v>
      </c>
      <c r="B38" s="79" t="n">
        <v>-228.1999969482422</v>
      </c>
      <c r="C38" s="80">
        <f>SUM(D38:F38)</f>
        <v/>
      </c>
      <c r="D38" s="80" t="inlineStr"/>
      <c r="E38" s="80" t="n">
        <v>0.6344887018203735</v>
      </c>
      <c r="F38" s="80" t="inlineStr"/>
      <c r="G38" s="80" t="n">
        <v>0.4602100849151611</v>
      </c>
      <c r="H38" s="80" t="n">
        <v>0.05138745531439781</v>
      </c>
      <c r="I38" s="52">
        <f>J38 + K38</f>
        <v/>
      </c>
      <c r="J38" s="52" t="n">
        <v>2.931251</v>
      </c>
      <c r="K38" s="52" t="n">
        <v>0.329367</v>
      </c>
    </row>
    <row r="39">
      <c r="A39" s="48" t="n">
        <v>2001</v>
      </c>
      <c r="B39" s="79" t="n">
        <v>-228.3999938964844</v>
      </c>
      <c r="C39" s="80">
        <f>SUM(D39:F39)</f>
        <v/>
      </c>
      <c r="D39" s="80" t="inlineStr"/>
      <c r="E39" s="80" t="n">
        <v>0.6491960883140564</v>
      </c>
      <c r="F39" s="80" t="inlineStr"/>
      <c r="G39" s="80" t="n">
        <v>0.4584130644798279</v>
      </c>
      <c r="H39" s="80" t="n">
        <v>0.04973762109875679</v>
      </c>
      <c r="I39" s="52">
        <f>J39 + K39</f>
        <v/>
      </c>
      <c r="J39" s="52" t="n">
        <v>3.089911</v>
      </c>
      <c r="K39" s="52" t="n">
        <v>0.325096</v>
      </c>
    </row>
    <row r="40">
      <c r="A40" s="48" t="n">
        <v>2002</v>
      </c>
      <c r="B40" s="79" t="n">
        <v>-228.6000061035156</v>
      </c>
      <c r="C40" s="80">
        <f>SUM(D40:F40)</f>
        <v/>
      </c>
      <c r="D40" s="80" t="inlineStr"/>
      <c r="E40" s="80" t="n">
        <v>0.6459709405899048</v>
      </c>
      <c r="F40" s="80" t="inlineStr"/>
      <c r="G40" s="80" t="n">
        <v>0.4336714148521423</v>
      </c>
      <c r="H40" s="80" t="n">
        <v>0.04844243824481964</v>
      </c>
      <c r="I40" s="52">
        <f>J40 + K40</f>
        <v/>
      </c>
      <c r="J40" s="52" t="n">
        <v>3.152984</v>
      </c>
      <c r="K40" s="52" t="n">
        <v>0.331107</v>
      </c>
    </row>
    <row r="41">
      <c r="A41" s="48" t="n">
        <v>2003</v>
      </c>
      <c r="B41" s="79" t="n">
        <v>-228.8999938964844</v>
      </c>
      <c r="C41" s="80">
        <f>SUM(D41:F41)</f>
        <v/>
      </c>
      <c r="D41" s="80" t="inlineStr"/>
      <c r="E41" s="80" t="n">
        <v>0.6042468547821045</v>
      </c>
      <c r="F41" s="80" t="inlineStr"/>
      <c r="G41" s="80" t="n">
        <v>0.4086679518222809</v>
      </c>
      <c r="H41" s="80" t="n">
        <v>0.04481684416532516</v>
      </c>
      <c r="I41" s="52">
        <f>J41 + K41</f>
        <v/>
      </c>
      <c r="J41" s="52" t="n">
        <v>2.978223</v>
      </c>
      <c r="K41" s="52" t="n">
        <v>0.296808</v>
      </c>
    </row>
    <row r="42">
      <c r="A42" s="48" t="n">
        <v>2004</v>
      </c>
      <c r="B42" s="79" t="n">
        <v>-229.1000061035156</v>
      </c>
      <c r="C42" s="80">
        <f>SUM(D42:F42)</f>
        <v/>
      </c>
      <c r="D42" s="80" t="inlineStr"/>
      <c r="E42" s="80" t="n">
        <v>0.5890615582466125</v>
      </c>
      <c r="F42" s="80" t="inlineStr"/>
      <c r="G42" s="80" t="n">
        <v>0.436579167842865</v>
      </c>
      <c r="H42" s="80" t="n">
        <v>0.04531767964363098</v>
      </c>
      <c r="I42" s="52">
        <f>J42 + K42</f>
        <v/>
      </c>
      <c r="J42" s="52" t="n">
        <v>2.743909</v>
      </c>
      <c r="K42" s="52" t="n">
        <v>0.318616</v>
      </c>
    </row>
    <row r="43">
      <c r="A43" s="48" t="n">
        <v>2005</v>
      </c>
      <c r="B43" s="79" t="n">
        <v>-228.8999938964844</v>
      </c>
      <c r="C43" s="80">
        <f>SUM(D43:F43)</f>
        <v/>
      </c>
      <c r="D43" s="80" t="inlineStr"/>
      <c r="E43" s="80" t="n">
        <v>0.6178891062736511</v>
      </c>
      <c r="F43" s="80" t="inlineStr"/>
      <c r="G43" s="80" t="n">
        <v>0.4514094591140747</v>
      </c>
      <c r="H43" s="80" t="n">
        <v>0.04456653073430061</v>
      </c>
      <c r="I43" s="52">
        <f>J43 + K43</f>
        <v/>
      </c>
      <c r="J43" s="52" t="n">
        <v>2.756846</v>
      </c>
      <c r="K43" s="52" t="n">
        <v>0.304768</v>
      </c>
    </row>
    <row r="44">
      <c r="A44" s="48" t="n">
        <v>2006</v>
      </c>
      <c r="B44" s="79" t="n">
        <v>-229.6999969482422</v>
      </c>
      <c r="C44" s="80">
        <f>SUM(D44:F44)</f>
        <v/>
      </c>
      <c r="D44" s="80" t="inlineStr"/>
      <c r="E44" s="80" t="n">
        <v>0.613210141658783</v>
      </c>
      <c r="F44" s="80" t="inlineStr"/>
      <c r="G44" s="80" t="n">
        <v>0.422490656375885</v>
      </c>
      <c r="H44" s="80" t="n">
        <v>0.04189997538924217</v>
      </c>
      <c r="I44" s="52">
        <f>J44 + K44</f>
        <v/>
      </c>
      <c r="J44" s="52" t="n">
        <v>2.90968</v>
      </c>
      <c r="K44" s="52" t="n">
        <v>0.329322</v>
      </c>
    </row>
    <row r="45">
      <c r="A45" s="48" t="n">
        <v>2007</v>
      </c>
      <c r="B45" s="79" t="n">
        <v>-230.1000061035156</v>
      </c>
      <c r="C45" s="80">
        <f>SUM(D45:F45)</f>
        <v/>
      </c>
      <c r="D45" s="80" t="inlineStr"/>
      <c r="E45" s="80" t="n">
        <v>0.6081920266151428</v>
      </c>
      <c r="F45" s="80" t="inlineStr"/>
      <c r="G45" s="80" t="n">
        <v>0.4150229394435883</v>
      </c>
      <c r="H45" s="80" t="n">
        <v>0.04647541791200638</v>
      </c>
      <c r="I45" s="52">
        <f>J45 + K45</f>
        <v/>
      </c>
      <c r="J45" s="52" t="n">
        <v>2.872754</v>
      </c>
      <c r="K45" s="52" t="n">
        <v>0.311971</v>
      </c>
    </row>
    <row r="46">
      <c r="A46" s="48" t="n">
        <v>2008</v>
      </c>
      <c r="B46" s="79" t="n">
        <v>-230.6000061035156</v>
      </c>
      <c r="C46" s="80">
        <f>SUM(D46:F46)</f>
        <v/>
      </c>
      <c r="D46" s="80" t="inlineStr"/>
      <c r="E46" s="80" t="n">
        <v>0.5832916498184204</v>
      </c>
      <c r="F46" s="80" t="inlineStr"/>
      <c r="G46" s="80" t="n">
        <v>0.4018904268741608</v>
      </c>
      <c r="H46" s="80" t="n">
        <v>0.04932960867881775</v>
      </c>
      <c r="I46" s="52">
        <f>J46 + K46</f>
        <v/>
      </c>
      <c r="J46" s="52" t="n">
        <v>2.825116</v>
      </c>
      <c r="K46" s="52" t="n">
        <v>0.299064</v>
      </c>
    </row>
    <row r="47">
      <c r="A47" s="48" t="n">
        <v>2009</v>
      </c>
      <c r="B47" s="79" t="n">
        <v>-231.6000061035156</v>
      </c>
      <c r="C47" s="80">
        <f>SUM(D47:F47)</f>
        <v/>
      </c>
      <c r="D47" s="80" t="inlineStr"/>
      <c r="E47" s="80" t="n">
        <v>0.5234387516975403</v>
      </c>
      <c r="F47" s="80" t="inlineStr"/>
      <c r="G47" s="80" t="n">
        <v>0.3780869543552399</v>
      </c>
      <c r="H47" s="80" t="n">
        <v>0.03618345409631729</v>
      </c>
      <c r="I47" s="52">
        <f>J47 + K47</f>
        <v/>
      </c>
      <c r="J47" s="52" t="n">
        <v>2.566713</v>
      </c>
      <c r="K47" s="52" t="n">
        <v>0.30856</v>
      </c>
    </row>
    <row r="48">
      <c r="A48" s="48" t="n">
        <v>2010</v>
      </c>
      <c r="B48" s="79" t="n">
        <v>-231.6000061035156</v>
      </c>
      <c r="C48" s="80">
        <f>SUM(D48:F48)</f>
        <v/>
      </c>
      <c r="D48" s="80" t="inlineStr"/>
      <c r="E48" s="80" t="n">
        <v>0.5872843861579895</v>
      </c>
      <c r="F48" s="80" t="inlineStr"/>
      <c r="G48" s="80" t="n">
        <v>0.4205448627471924</v>
      </c>
      <c r="H48" s="80" t="n">
        <v>0.03056827001273632</v>
      </c>
      <c r="I48" s="52">
        <f>J48 + K48</f>
        <v/>
      </c>
      <c r="J48" s="52" t="n">
        <v>2.534374</v>
      </c>
      <c r="K48" s="52" t="n">
        <v>0.306141</v>
      </c>
    </row>
    <row r="49">
      <c r="A49" s="48" t="n">
        <v>2011</v>
      </c>
      <c r="B49" s="79" t="n">
        <v>-232.1999969482422</v>
      </c>
      <c r="C49" s="80">
        <f>SUM(D49:F49)</f>
        <v/>
      </c>
      <c r="D49" s="80" t="inlineStr"/>
      <c r="E49" s="80" t="n">
        <v>0.6119645833969116</v>
      </c>
      <c r="F49" s="80" t="inlineStr"/>
      <c r="G49" s="80" t="n">
        <v>0.3949701488018036</v>
      </c>
      <c r="H49" s="80" t="n">
        <v>0.03257414326071739</v>
      </c>
      <c r="I49" s="52">
        <f>J49 + K49</f>
        <v/>
      </c>
      <c r="J49" s="52" t="n">
        <v>2.915784</v>
      </c>
      <c r="K49" s="52" t="n">
        <v>0.309348</v>
      </c>
    </row>
    <row r="50">
      <c r="A50" s="48" t="n">
        <v>2012</v>
      </c>
      <c r="B50" s="79" t="n">
        <v>-232.1999969482422</v>
      </c>
      <c r="C50" s="80">
        <f>SUM(D50:F50)</f>
        <v/>
      </c>
      <c r="D50" s="80" t="inlineStr"/>
      <c r="E50" s="80" t="n">
        <v>0.6667357683181763</v>
      </c>
      <c r="F50" s="80" t="inlineStr"/>
      <c r="G50" s="80" t="n">
        <v>0.4226632118225098</v>
      </c>
      <c r="H50" s="80" t="n">
        <v>0.03329571336507797</v>
      </c>
      <c r="I50" s="52">
        <f>J50 + K50</f>
        <v/>
      </c>
      <c r="J50" s="52" t="n">
        <v>2.903216</v>
      </c>
      <c r="K50" s="52" t="n">
        <v>0.329576</v>
      </c>
    </row>
    <row r="51">
      <c r="A51" s="48" t="n">
        <v>2013</v>
      </c>
      <c r="B51" s="79" t="n">
        <v>-232.8000030517578</v>
      </c>
      <c r="C51" s="80">
        <f>SUM(D51:F51)</f>
        <v/>
      </c>
      <c r="D51" s="80" t="inlineStr"/>
      <c r="E51" s="80" t="n">
        <v>0.5694035291671753</v>
      </c>
      <c r="F51" s="80" t="inlineStr"/>
      <c r="G51" s="80" t="n">
        <v>0.4020987153053284</v>
      </c>
      <c r="H51" s="80" t="n">
        <v>0.03438762947916985</v>
      </c>
      <c r="I51" s="52">
        <f>J51 + K51</f>
        <v/>
      </c>
      <c r="J51" s="52" t="n">
        <v>2.554854</v>
      </c>
      <c r="K51" s="52" t="n">
        <v>0.331137</v>
      </c>
    </row>
    <row r="52">
      <c r="A52" s="48" t="n">
        <v>2014</v>
      </c>
      <c r="B52" s="79" t="n">
        <v>-234</v>
      </c>
      <c r="C52" s="80">
        <f>SUM(D52:F52)</f>
        <v/>
      </c>
      <c r="D52" s="80" t="inlineStr"/>
      <c r="E52" s="80" t="n">
        <v>0.547756016254425</v>
      </c>
      <c r="F52" s="80" t="inlineStr"/>
      <c r="G52" s="80" t="n">
        <v>0.3840115368366241</v>
      </c>
      <c r="H52" s="80" t="n">
        <v>0.03836366906762123</v>
      </c>
      <c r="I52" s="52">
        <f>J52 + K52</f>
        <v/>
      </c>
      <c r="J52" s="52" t="n">
        <v>2.533414</v>
      </c>
      <c r="K52" s="52" t="n">
        <v>0.349372</v>
      </c>
    </row>
    <row r="53">
      <c r="A53" s="48" t="n">
        <v>2015</v>
      </c>
      <c r="B53" s="79" t="n">
        <v>-234.8999938964844</v>
      </c>
      <c r="C53" s="80">
        <f>SUM(D53:F53)</f>
        <v/>
      </c>
      <c r="D53" s="80" t="inlineStr"/>
      <c r="E53" s="80" t="n">
        <v>0.5543748140335083</v>
      </c>
      <c r="F53" s="80" t="inlineStr"/>
      <c r="G53" s="80" t="n">
        <v>0.4065138697624207</v>
      </c>
      <c r="H53" s="80" t="n">
        <v>0.04262610897421837</v>
      </c>
      <c r="I53" s="52">
        <f>J53 + K53</f>
        <v/>
      </c>
      <c r="J53" s="52" t="n">
        <v>2.480933</v>
      </c>
      <c r="K53" s="52" t="n">
        <v>0.342068</v>
      </c>
    </row>
    <row r="54">
      <c r="A54" s="48" t="n">
        <v>2016</v>
      </c>
      <c r="B54" s="79" t="n">
        <v>-235.5</v>
      </c>
      <c r="C54" s="80">
        <f>SUM(D54:F54)</f>
        <v/>
      </c>
      <c r="D54" s="80" t="inlineStr"/>
      <c r="E54" s="80" t="n">
        <v>0.5495510697364807</v>
      </c>
      <c r="F54" s="80" t="inlineStr"/>
      <c r="G54" s="80" t="n">
        <v>0.4220582544803619</v>
      </c>
      <c r="H54" s="80" t="n">
        <v>0.04613286256790161</v>
      </c>
      <c r="I54" s="52">
        <f>J54 + K54</f>
        <v/>
      </c>
      <c r="J54" s="52" t="n">
        <v>2.504258</v>
      </c>
      <c r="K54" s="52" t="n">
        <v>0.356358</v>
      </c>
    </row>
    <row r="55">
      <c r="A55" s="48" t="n">
        <v>2017</v>
      </c>
      <c r="B55" s="79" t="n">
        <v>-236.1000061035156</v>
      </c>
      <c r="C55" s="80">
        <f>SUM(D55:F55)</f>
        <v/>
      </c>
      <c r="D55" s="80" t="inlineStr"/>
      <c r="E55" s="80" t="n">
        <v>0.5343954563140869</v>
      </c>
      <c r="F55" s="80" t="inlineStr"/>
      <c r="G55" s="80" t="n">
        <v>0.3983400762081146</v>
      </c>
      <c r="H55" s="80" t="n">
        <v>0.04522822797298431</v>
      </c>
      <c r="I55" s="52">
        <f>J55 + K55</f>
        <v/>
      </c>
      <c r="J55" s="52" t="n">
        <v>2.548171</v>
      </c>
      <c r="K55" s="52" t="n">
        <v>0.335321</v>
      </c>
    </row>
    <row r="56">
      <c r="A56" s="48" t="n">
        <v>2018</v>
      </c>
      <c r="B56" s="79" t="n">
        <v>-237.1000061035156</v>
      </c>
      <c r="C56" s="80">
        <f>SUM(D56:F56)</f>
        <v/>
      </c>
      <c r="D56" s="80" t="inlineStr"/>
      <c r="E56" s="80" t="n">
        <v>0.5695284605026245</v>
      </c>
      <c r="F56" s="80" t="inlineStr"/>
      <c r="G56" s="80" t="n">
        <v>0.3285064399242401</v>
      </c>
      <c r="H56" s="80" t="n">
        <v>0.0449707917869091</v>
      </c>
      <c r="I56" s="52">
        <f>J56 + K56</f>
        <v/>
      </c>
      <c r="J56" s="52" t="n">
        <v>2.625422</v>
      </c>
      <c r="K56" s="52" t="n">
        <v>0.338035</v>
      </c>
    </row>
    <row r="57">
      <c r="A57" s="48" t="n">
        <v>2019</v>
      </c>
      <c r="B57" s="79" t="n">
        <v>-237.6999969482422</v>
      </c>
      <c r="C57" s="80">
        <f>SUM(D57:F57)</f>
        <v/>
      </c>
      <c r="D57" s="80" t="inlineStr"/>
      <c r="E57" s="80" t="n">
        <v>0.5553110241889954</v>
      </c>
      <c r="F57" s="80" t="inlineStr"/>
      <c r="G57" s="80" t="n">
        <v>0.3188866674900055</v>
      </c>
      <c r="H57" s="80" t="n">
        <v>0.05203743278980255</v>
      </c>
      <c r="I57" s="52">
        <f>J57 + K57</f>
        <v/>
      </c>
      <c r="J57" s="52" t="n">
        <v>2.558136</v>
      </c>
      <c r="K57" s="52" t="n">
        <v>0.343971</v>
      </c>
    </row>
    <row r="58">
      <c r="A58" s="48" t="n">
        <v>2020</v>
      </c>
      <c r="B58" s="79" t="n">
        <v>-238.5</v>
      </c>
      <c r="C58" s="80">
        <f>SUM(D58:F58)</f>
        <v/>
      </c>
      <c r="D58" s="80" t="inlineStr"/>
      <c r="E58" s="80" t="n">
        <v>0.553569495677948</v>
      </c>
      <c r="F58" s="80" t="inlineStr"/>
      <c r="G58" s="80" t="n">
        <v>0.3276912271976471</v>
      </c>
      <c r="H58" s="80" t="n">
        <v>0.05087454244494438</v>
      </c>
      <c r="I58" s="52">
        <f>J58 + K58</f>
        <v/>
      </c>
      <c r="J58" s="52" t="n">
        <v>2.493623</v>
      </c>
      <c r="K58" s="52" t="n">
        <v>0.350618</v>
      </c>
    </row>
    <row r="59">
      <c r="A59" s="48" t="n">
        <v>2021</v>
      </c>
      <c r="B59" s="79" t="n">
        <v>-239.1999969482422</v>
      </c>
      <c r="C59" s="80">
        <f>SUM(D59:F59)</f>
        <v/>
      </c>
      <c r="D59" s="80" t="inlineStr"/>
      <c r="E59" s="80" t="n">
        <v>0.5811673998832703</v>
      </c>
      <c r="F59" s="80" t="inlineStr"/>
      <c r="G59" s="80" t="n">
        <v>0.3375549614429474</v>
      </c>
      <c r="H59" s="80" t="n">
        <v>0.04654761031270027</v>
      </c>
      <c r="I59" s="52">
        <f>J59 + K59</f>
        <v/>
      </c>
      <c r="J59" s="52" t="n">
        <v>2.557242</v>
      </c>
      <c r="K59" s="52" t="n">
        <v>0.351904</v>
      </c>
    </row>
    <row r="60">
      <c r="A60" s="48" t="n">
        <v>2022</v>
      </c>
      <c r="B60" s="79" t="n">
        <v>-240</v>
      </c>
      <c r="C60" s="80">
        <f>SUM(D60:F60)</f>
        <v/>
      </c>
      <c r="D60" s="80" t="inlineStr"/>
      <c r="E60" s="80" t="n">
        <v>0.5698081254959106</v>
      </c>
      <c r="F60" s="80" t="inlineStr"/>
      <c r="G60" s="80" t="n">
        <v>0.3285678923130035</v>
      </c>
      <c r="H60" s="80" t="n">
        <v>0.0435773953795433</v>
      </c>
      <c r="I60" s="52">
        <f>J60 + K60</f>
        <v/>
      </c>
      <c r="J60" s="52" t="inlineStr"/>
      <c r="K60" s="52" t="inlineStr"/>
    </row>
    <row r="61">
      <c r="A61" s="48" t="n">
        <v>2023</v>
      </c>
      <c r="B61" s="79" t="n">
        <v>-240.6999969482422</v>
      </c>
      <c r="C61" s="80">
        <f>SUM(D61:F61)</f>
        <v/>
      </c>
      <c r="D61" s="80" t="inlineStr"/>
      <c r="E61" s="80" t="n">
        <v>0.523280143737793</v>
      </c>
      <c r="F61" s="80" t="inlineStr"/>
      <c r="G61" s="80" t="n">
        <v>0.3002104163169861</v>
      </c>
      <c r="H61" s="80" t="n">
        <v>0.04588199034333229</v>
      </c>
      <c r="I61" s="52">
        <f>J61 + K61</f>
        <v/>
      </c>
      <c r="J61" s="52" t="inlineStr"/>
      <c r="K61" s="52" t="inlineStr"/>
    </row>
    <row r="62">
      <c r="A62" s="48" t="n">
        <v>2024</v>
      </c>
      <c r="B62" s="79" t="n">
        <v>-242.1000061035156</v>
      </c>
      <c r="C62" s="80">
        <f>SUM(D62:F62)</f>
        <v/>
      </c>
      <c r="D62" s="80" t="inlineStr"/>
      <c r="E62" s="80" t="n">
        <v>0.4859137535095215</v>
      </c>
      <c r="F62" s="80" t="inlineStr"/>
      <c r="G62" s="80" t="n">
        <v>0.2722317278385162</v>
      </c>
      <c r="H62" s="80" t="n">
        <v>0.04298729822039604</v>
      </c>
      <c r="I62" s="52">
        <f>J62 + K62</f>
        <v/>
      </c>
      <c r="J62" s="52" t="inlineStr"/>
      <c r="K62" s="52" t="inlineStr"/>
    </row>
    <row r="63">
      <c r="A63" s="48" t="n">
        <v>2025</v>
      </c>
      <c r="B63" s="79" t="n">
        <v>-243.3200073242188</v>
      </c>
      <c r="C63" s="80">
        <f>SUM(D63:F63)</f>
        <v/>
      </c>
      <c r="D63" s="80" t="inlineStr"/>
      <c r="E63" s="80" t="n">
        <v>0.4724539816379547</v>
      </c>
      <c r="F63" s="80" t="inlineStr"/>
      <c r="G63" s="80" t="n">
        <v>0.2655950486660004</v>
      </c>
      <c r="H63" s="80" t="n">
        <v>0.04475058987736702</v>
      </c>
      <c r="I63" s="52">
        <f>J63 + K63</f>
        <v/>
      </c>
      <c r="J63" s="52" t="inlineStr"/>
      <c r="K63" s="52" t="inlineStr"/>
    </row>
    <row r="64">
      <c r="A64" s="48" t="n">
        <v>2026</v>
      </c>
      <c r="B64" s="79" t="n">
        <v>-243.0399932861328</v>
      </c>
      <c r="C64" s="80">
        <f>SUM(D64:F64)</f>
        <v/>
      </c>
      <c r="D64" s="80" t="inlineStr"/>
      <c r="E64" s="80" t="n">
        <v>0.07825340330600739</v>
      </c>
      <c r="F64" s="80" t="inlineStr"/>
      <c r="G64" s="80" t="n">
        <v>0.05105423554778099</v>
      </c>
      <c r="H64" s="80" t="n">
        <v>0.009109232574701309</v>
      </c>
      <c r="I64" s="52">
        <f>J64 + K64</f>
        <v/>
      </c>
      <c r="J64" s="52" t="inlineStr"/>
      <c r="K64" s="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54"/>
  <sheetViews>
    <sheetView workbookViewId="0">
      <selection pane="topLeft" activeCell="B7" activeCellId="0" sqref="B7"/>
    </sheetView>
  </sheetViews>
  <sheetFormatPr baseColWidth="8" defaultRowHeight="15"/>
  <cols>
    <col width="5.4" customWidth="1" min="3" max="3"/>
  </cols>
  <sheetData>
    <row r="1" ht="12.8" customHeight="1">
      <c r="B1" s="99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1" t="n"/>
    </row>
    <row r="2" ht="12.8" customHeight="1">
      <c r="B2" s="102" t="inlineStr">
        <is>
          <t>Color</t>
        </is>
      </c>
      <c r="C2" s="103" t="inlineStr">
        <is>
          <t>Year</t>
        </is>
      </c>
      <c r="D2" s="104" t="inlineStr">
        <is>
          <t>Units</t>
        </is>
      </c>
      <c r="E2" s="103" t="inlineStr">
        <is>
          <t>Description</t>
        </is>
      </c>
      <c r="F2" s="103" t="n"/>
      <c r="G2" s="103" t="n"/>
      <c r="H2" s="103" t="n"/>
      <c r="I2" s="103" t="inlineStr">
        <is>
          <t>Source</t>
        </is>
      </c>
      <c r="J2" s="103" t="n"/>
      <c r="K2" s="103" t="n"/>
      <c r="L2" s="103" t="n"/>
      <c r="M2" s="103" t="n"/>
      <c r="N2" s="103" t="n"/>
      <c r="O2" s="105" t="n"/>
    </row>
    <row r="3" ht="12.8" customHeight="1">
      <c r="B3" s="106" t="n"/>
      <c r="C3" s="107" t="inlineStr">
        <is>
          <t>CY</t>
        </is>
      </c>
      <c r="D3" s="107" t="inlineStr">
        <is>
          <t>MAF</t>
        </is>
      </c>
      <c r="E3" s="108" t="inlineStr">
        <is>
          <t>USBR Lower Basin Annual Reports Consumptive Use</t>
        </is>
      </c>
      <c r="I3" s="108" t="inlineStr">
        <is>
          <t>data/USBR_Reports/</t>
        </is>
      </c>
      <c r="O3" s="109" t="n"/>
    </row>
    <row r="4" ht="12.8" customHeight="1">
      <c r="B4" s="110" t="n"/>
      <c r="C4" s="107" t="inlineStr">
        <is>
          <t>CY</t>
        </is>
      </c>
      <c r="D4" s="107" t="inlineStr">
        <is>
          <t>MAF</t>
        </is>
      </c>
      <c r="E4" s="108" t="inlineStr">
        <is>
          <t>USBR Lower Basin Annual Report Flow</t>
        </is>
      </c>
      <c r="F4" s="108" t="n"/>
      <c r="G4" s="108" t="n"/>
      <c r="I4" s="108" t="inlineStr">
        <is>
          <t>data/USBR_Reports/</t>
        </is>
      </c>
      <c r="O4" s="109" t="n"/>
    </row>
    <row r="5" ht="12.8" customHeight="1">
      <c r="B5" s="111" t="n"/>
      <c r="C5" s="107" t="inlineStr">
        <is>
          <t>CY</t>
        </is>
      </c>
      <c r="D5" s="107" t="inlineStr">
        <is>
          <t>MAF</t>
        </is>
      </c>
      <c r="E5" s="108" t="inlineStr">
        <is>
          <t>USBR Upper Basin Consumptive Uses and Losses</t>
        </is>
      </c>
      <c r="F5" s="108" t="n"/>
      <c r="G5" s="108" t="n"/>
      <c r="I5" s="108" t="inlineStr">
        <is>
          <t>data/Colorado_River/V24.5_CUL_ResultsCU_CY.xlsx</t>
        </is>
      </c>
      <c r="O5" s="109" t="n"/>
    </row>
    <row r="6" ht="12.8" customHeight="1">
      <c r="B6" s="112" t="n"/>
      <c r="C6" s="107" t="inlineStr">
        <is>
          <t>CY</t>
        </is>
      </c>
      <c r="D6" s="107" t="inlineStr">
        <is>
          <t>AF/MAF</t>
        </is>
      </c>
      <c r="E6" s="108" t="inlineStr">
        <is>
          <t>USBR Lower Basin Mainstream CUL</t>
        </is>
      </c>
      <c r="F6" s="108" t="n"/>
      <c r="G6" s="108" t="n"/>
      <c r="I6" s="108" t="inlineStr">
        <is>
          <t>data/Colorado_River/1971-2024 Lower Colorado River System CUL Data.xlsx</t>
        </is>
      </c>
      <c r="O6" s="109" t="n"/>
    </row>
    <row r="7" ht="12.8" customHeight="1">
      <c r="B7" s="113" t="n"/>
      <c r="C7" s="107" t="inlineStr">
        <is>
          <t>CY</t>
        </is>
      </c>
      <c r="D7" s="107" t="inlineStr">
        <is>
          <t>AF/MAF</t>
        </is>
      </c>
      <c r="E7" s="108" t="inlineStr">
        <is>
          <t>USBR Lower Basin Reservoir CUL</t>
        </is>
      </c>
      <c r="F7" s="108" t="n"/>
      <c r="G7" s="108" t="n"/>
      <c r="I7" s="108" t="inlineStr">
        <is>
          <t>data/Colorado_River/1971-2024 Lower Colorado River System CUL Data.xlsx</t>
        </is>
      </c>
      <c r="O7" s="109" t="n"/>
    </row>
    <row r="8" ht="12.8" customHeight="1">
      <c r="B8" s="114" t="n"/>
      <c r="C8" s="107" t="inlineStr">
        <is>
          <t>CY</t>
        </is>
      </c>
      <c r="D8" s="107" t="inlineStr">
        <is>
          <t>AF/MAF</t>
        </is>
      </c>
      <c r="E8" s="108" t="inlineStr">
        <is>
          <t>USBR Lower Basin Tributary CUL</t>
        </is>
      </c>
      <c r="F8" s="108" t="n"/>
      <c r="G8" s="108" t="n"/>
      <c r="I8" s="108" t="inlineStr">
        <is>
          <t>data/Colorado_River/1971-2024 Lower Colorado River System CUL Data.xlsx</t>
        </is>
      </c>
      <c r="O8" s="109" t="n"/>
    </row>
    <row r="9" ht="12.8" customHeight="1">
      <c r="B9" s="115" t="n"/>
      <c r="C9" s="107" t="inlineStr">
        <is>
          <t>CY</t>
        </is>
      </c>
      <c r="D9" s="107" t="inlineStr">
        <is>
          <t>MAF</t>
        </is>
      </c>
      <c r="E9" s="108" t="inlineStr">
        <is>
          <t>USBR Natural Flow</t>
        </is>
      </c>
      <c r="F9" s="108" t="n"/>
      <c r="G9" s="108" t="n"/>
      <c r="I9" s="108" t="inlineStr">
        <is>
          <t>data/Colorado_River/NaturalFlows1906-2020_20221215.xlsx</t>
        </is>
      </c>
      <c r="O9" s="109" t="n"/>
    </row>
    <row r="10" ht="12.8" customHeight="1">
      <c r="B10" s="116" t="n"/>
      <c r="C10" s="107" t="inlineStr">
        <is>
          <t>CY</t>
        </is>
      </c>
      <c r="D10" s="107" t="inlineStr">
        <is>
          <t>MAF</t>
        </is>
      </c>
      <c r="E10" s="108" t="inlineStr">
        <is>
          <t>USGS Gage</t>
        </is>
      </c>
      <c r="I10" s="108" t="inlineStr">
        <is>
          <t>API</t>
        </is>
      </c>
      <c r="O10" s="109" t="n"/>
    </row>
    <row r="11" ht="12.8" customHeight="1">
      <c r="B11" s="117" t="n"/>
      <c r="C11" s="107" t="inlineStr">
        <is>
          <t>CY</t>
        </is>
      </c>
      <c r="D11" s="107" t="inlineStr">
        <is>
          <t>MAF</t>
        </is>
      </c>
      <c r="E11" s="108" t="inlineStr">
        <is>
          <t>USBR RISE</t>
        </is>
      </c>
      <c r="I11" s="108" t="inlineStr">
        <is>
          <t>API</t>
        </is>
      </c>
      <c r="O11" s="109" t="n"/>
    </row>
    <row r="12" ht="12.8" customHeight="1">
      <c r="B12" s="118" t="n"/>
      <c r="C12" s="107" t="inlineStr">
        <is>
          <t>CY</t>
        </is>
      </c>
      <c r="D12" s="107" t="inlineStr">
        <is>
          <t>Feet</t>
        </is>
      </c>
      <c r="E12" s="108" t="inlineStr">
        <is>
          <t>USBR RISE and USGS</t>
        </is>
      </c>
      <c r="I12" s="108" t="inlineStr">
        <is>
          <t>API</t>
        </is>
      </c>
      <c r="O12" s="109" t="n"/>
    </row>
    <row r="13" ht="12.8" customHeight="1">
      <c r="B13" s="119" t="n"/>
      <c r="C13" s="107" t="n"/>
      <c r="D13" s="107" t="n"/>
      <c r="O13" s="109" t="n"/>
    </row>
    <row r="14" ht="12.8" customHeight="1">
      <c r="B14" s="119" t="n"/>
      <c r="C14" s="107" t="n"/>
      <c r="D14" s="107" t="n"/>
      <c r="O14" s="109" t="n"/>
    </row>
    <row r="15" ht="12.8" customHeight="1">
      <c r="B15" s="119" t="n"/>
      <c r="C15" s="107" t="n"/>
      <c r="D15" s="107" t="n"/>
      <c r="O15" s="109" t="n"/>
    </row>
    <row r="16" ht="12.8" customHeight="1">
      <c r="B16" s="120" t="n"/>
      <c r="C16" s="121" t="n"/>
      <c r="D16" s="121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3" t="n"/>
    </row>
    <row r="17" ht="12.8" customHeight="1">
      <c r="B17" s="108" t="n"/>
      <c r="C17" s="107" t="n"/>
      <c r="D17" s="107" t="n"/>
    </row>
    <row r="18" ht="12.8" customHeight="1">
      <c r="B18" s="108" t="n"/>
      <c r="C18" s="107" t="n"/>
      <c r="D18" s="107" t="n"/>
    </row>
    <row r="19" ht="12.8" customHeight="1">
      <c r="B19" s="108" t="n"/>
      <c r="C19" s="107" t="n"/>
      <c r="D19" s="107" t="n"/>
    </row>
    <row r="20" ht="12.8" customHeight="1">
      <c r="B20" s="108" t="n"/>
      <c r="C20" s="107" t="n"/>
      <c r="D20" s="107" t="n"/>
    </row>
    <row r="21" ht="12.8" customHeight="1">
      <c r="B21" s="108" t="n"/>
      <c r="C21" s="107" t="n"/>
      <c r="D21" s="107" t="n"/>
    </row>
    <row r="22" ht="12.8" customHeight="1">
      <c r="B22" s="108" t="n"/>
      <c r="C22" s="107" t="n"/>
      <c r="D22" s="107" t="n"/>
    </row>
    <row r="23" ht="12.8" customHeight="1">
      <c r="B23" s="108" t="n"/>
      <c r="C23" s="107" t="n"/>
      <c r="D23" s="107" t="n"/>
    </row>
    <row r="24" ht="12.8" customHeight="1">
      <c r="B24" s="108" t="n"/>
      <c r="C24" s="107" t="n"/>
      <c r="D24" s="107" t="n"/>
    </row>
    <row r="25" ht="12.8" customHeight="1">
      <c r="B25" s="108" t="n"/>
      <c r="C25" s="107" t="n"/>
      <c r="D25" s="107" t="n"/>
    </row>
    <row r="26" ht="12.8" customHeight="1">
      <c r="B26" s="108" t="n"/>
      <c r="C26" s="107" t="n"/>
      <c r="D26" s="107" t="n"/>
    </row>
    <row r="27" ht="12.8" customHeight="1">
      <c r="B27" s="108" t="n"/>
      <c r="C27" s="107" t="n"/>
      <c r="D27" s="107" t="n"/>
    </row>
    <row r="28" ht="12.8" customHeight="1">
      <c r="B28" s="108" t="n"/>
      <c r="C28" s="107" t="n"/>
      <c r="D28" s="107" t="n"/>
    </row>
    <row r="29" ht="12.8" customHeight="1">
      <c r="B29" s="108" t="n"/>
      <c r="C29" s="107" t="n"/>
      <c r="D29" s="107" t="n"/>
    </row>
    <row r="30" ht="12.8" customHeight="1">
      <c r="B30" s="108" t="n"/>
      <c r="C30" s="107" t="n"/>
      <c r="D30" s="107" t="n"/>
    </row>
    <row r="31" ht="12.8" customHeight="1">
      <c r="B31" s="108" t="n"/>
      <c r="C31" s="107" t="n"/>
      <c r="D31" s="107" t="n"/>
    </row>
    <row r="32" ht="12.8" customHeight="1">
      <c r="B32" s="108" t="n"/>
      <c r="C32" s="107" t="n"/>
      <c r="D32" s="107" t="n"/>
    </row>
    <row r="33" ht="12.8" customHeight="1">
      <c r="B33" s="108" t="n"/>
      <c r="C33" s="107" t="n"/>
      <c r="D33" s="107" t="n"/>
    </row>
    <row r="34" ht="12.8" customHeight="1">
      <c r="B34" s="108" t="n"/>
      <c r="C34" s="107" t="n"/>
      <c r="D34" s="107" t="n"/>
    </row>
    <row r="35" ht="12.8" customHeight="1">
      <c r="B35" s="108" t="n"/>
      <c r="C35" s="107" t="n"/>
      <c r="D35" s="107" t="n"/>
    </row>
    <row r="36" ht="12.8" customHeight="1">
      <c r="B36" s="108" t="n"/>
      <c r="C36" s="107" t="n"/>
      <c r="D36" s="107" t="n"/>
    </row>
    <row r="37" ht="12.8" customHeight="1">
      <c r="B37" s="108" t="n"/>
      <c r="C37" s="107" t="n"/>
      <c r="D37" s="107" t="n"/>
    </row>
    <row r="38" ht="12.8" customHeight="1">
      <c r="B38" s="108" t="n"/>
      <c r="C38" s="107" t="n"/>
      <c r="D38" s="107" t="n"/>
    </row>
    <row r="39" ht="12.8" customHeight="1">
      <c r="B39" s="108" t="n"/>
      <c r="C39" s="107" t="n"/>
      <c r="D39" s="107" t="n"/>
    </row>
    <row r="40" ht="12.8" customHeight="1">
      <c r="B40" s="108" t="n"/>
      <c r="C40" s="107" t="n"/>
      <c r="D40" s="107" t="n"/>
    </row>
    <row r="41" ht="12.8" customHeight="1">
      <c r="B41" s="108" t="n"/>
      <c r="C41" s="107" t="n"/>
      <c r="D41" s="107" t="n"/>
    </row>
    <row r="42" ht="12.8" customHeight="1">
      <c r="B42" s="108" t="n"/>
      <c r="C42" s="107" t="n"/>
      <c r="D42" s="107" t="n"/>
    </row>
    <row r="43" ht="12.8" customHeight="1">
      <c r="B43" s="108" t="n"/>
      <c r="C43" s="107" t="n"/>
      <c r="D43" s="107" t="n"/>
    </row>
    <row r="44" ht="12.8" customHeight="1">
      <c r="B44" s="108" t="n"/>
      <c r="C44" s="107" t="n"/>
      <c r="D44" s="107" t="n"/>
    </row>
    <row r="45" ht="12.8" customHeight="1">
      <c r="B45" s="108" t="n"/>
      <c r="C45" s="107" t="n"/>
      <c r="D45" s="107" t="n"/>
    </row>
    <row r="46" ht="12.8" customHeight="1">
      <c r="B46" s="108" t="n"/>
    </row>
    <row r="47" ht="12.8" customHeight="1">
      <c r="B47" s="108" t="n"/>
    </row>
    <row r="48" ht="12.8" customHeight="1">
      <c r="B48" s="108" t="n"/>
    </row>
    <row r="49" ht="12.8" customHeight="1">
      <c r="B49" s="108" t="n"/>
    </row>
    <row r="50" ht="12.8" customHeight="1">
      <c r="B50" s="108" t="n"/>
    </row>
    <row r="51" ht="12.8" customHeight="1">
      <c r="B51" s="108" t="n"/>
    </row>
    <row r="52" ht="12.8" customHeight="1">
      <c r="B52" s="108" t="n"/>
    </row>
    <row r="53" ht="12.8" customHeight="1">
      <c r="B53" s="108" t="n"/>
    </row>
    <row r="54" ht="12.8" customHeight="1">
      <c r="B54" s="124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2026-03-21T23:05:14Z</dcterms:created>
  <dcterms:modified xmlns:dcterms="http://purl.org/dc/terms/" xmlns:xsi="http://www.w3.org/2001/XMLSchema-instance" xsi:type="dcterms:W3CDTF">2026-03-21T23:05:49Z</dcterms:modified>
</cp:coreProperties>
</file>